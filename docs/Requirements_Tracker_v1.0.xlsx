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edfd036ecc614925/Desktop/Attendance and Task management system/docs/"/>
    </mc:Choice>
  </mc:AlternateContent>
  <xr:revisionPtr revIDLastSave="0" documentId="11_8258E672FA904B8D1A6A38B4FC290E5D947FF7C3" xr6:coauthVersionLast="47" xr6:coauthVersionMax="47" xr10:uidLastSave="{00000000-0000-0000-0000-000000000000}"/>
  <bookViews>
    <workbookView xWindow="-108" yWindow="-108" windowWidth="23256" windowHeight="12456" activeTab="3" xr2:uid="{00000000-000D-0000-FFFF-FFFF00000000}"/>
  </bookViews>
  <sheets>
    <sheet name="Lists" sheetId="1" r:id="rId1"/>
    <sheet name="Epics" sheetId="2" r:id="rId2"/>
    <sheet name="User Stories" sheetId="3" r:id="rId3"/>
    <sheet name="Acceptance Criteria" sheetId="4" r:id="rId4"/>
    <sheet name="NFR &amp; Business Rules" sheetId="5" r:id="rId5"/>
    <sheet name="Technology Stack" sheetId="6" r:id="rId6"/>
    <sheet name="Screen Catalogue" sheetId="7" r:id="rId7"/>
    <sheet name="Traceability" sheetId="8" r:id="rId8"/>
    <sheet name="Risks &amp; Decisions" sheetId="9" r:id="rId9"/>
    <sheet name="Release Plan" sheetId="10" r:id="rId10"/>
    <sheet name="Dashboard"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1" l="1"/>
  <c r="B16" i="11"/>
  <c r="B15" i="11"/>
  <c r="B14" i="11"/>
  <c r="B13" i="11"/>
  <c r="E9" i="11"/>
  <c r="E8" i="11"/>
  <c r="E7" i="11"/>
  <c r="H6" i="11"/>
  <c r="E6" i="11"/>
  <c r="H5" i="11"/>
  <c r="E5" i="11"/>
  <c r="H4" i="11"/>
  <c r="E4" i="11"/>
  <c r="H76" i="8"/>
  <c r="G76" i="8"/>
  <c r="J76" i="8" s="1"/>
  <c r="F76" i="8"/>
  <c r="E76" i="8"/>
  <c r="D76" i="8"/>
  <c r="I76" i="8" s="1"/>
  <c r="H75" i="8"/>
  <c r="G75" i="8"/>
  <c r="J75" i="8" s="1"/>
  <c r="F75" i="8"/>
  <c r="E75" i="8"/>
  <c r="D75" i="8"/>
  <c r="I75" i="8" s="1"/>
  <c r="H74" i="8"/>
  <c r="G74" i="8"/>
  <c r="J74" i="8" s="1"/>
  <c r="F74" i="8"/>
  <c r="E74" i="8"/>
  <c r="D74" i="8"/>
  <c r="I74" i="8" s="1"/>
  <c r="H73" i="8"/>
  <c r="G73" i="8"/>
  <c r="J73" i="8" s="1"/>
  <c r="F73" i="8"/>
  <c r="E73" i="8"/>
  <c r="D73" i="8"/>
  <c r="I73" i="8" s="1"/>
  <c r="H72" i="8"/>
  <c r="G72" i="8"/>
  <c r="J72" i="8" s="1"/>
  <c r="F72" i="8"/>
  <c r="E72" i="8"/>
  <c r="D72" i="8"/>
  <c r="I72" i="8" s="1"/>
  <c r="H71" i="8"/>
  <c r="G71" i="8"/>
  <c r="J71" i="8" s="1"/>
  <c r="F71" i="8"/>
  <c r="E71" i="8"/>
  <c r="D71" i="8"/>
  <c r="I71" i="8" s="1"/>
  <c r="H70" i="8"/>
  <c r="G70" i="8"/>
  <c r="J70" i="8" s="1"/>
  <c r="F70" i="8"/>
  <c r="E70" i="8"/>
  <c r="D70" i="8"/>
  <c r="I70" i="8" s="1"/>
  <c r="H69" i="8"/>
  <c r="G69" i="8"/>
  <c r="J69" i="8" s="1"/>
  <c r="F69" i="8"/>
  <c r="E69" i="8"/>
  <c r="D69" i="8"/>
  <c r="I69" i="8" s="1"/>
  <c r="H68" i="8"/>
  <c r="G68" i="8"/>
  <c r="J68" i="8" s="1"/>
  <c r="F68" i="8"/>
  <c r="E68" i="8"/>
  <c r="D68" i="8"/>
  <c r="I68" i="8" s="1"/>
  <c r="H67" i="8"/>
  <c r="G67" i="8"/>
  <c r="J67" i="8" s="1"/>
  <c r="F67" i="8"/>
  <c r="E67" i="8"/>
  <c r="D67" i="8"/>
  <c r="I67" i="8" s="1"/>
  <c r="H66" i="8"/>
  <c r="G66" i="8"/>
  <c r="J66" i="8" s="1"/>
  <c r="F66" i="8"/>
  <c r="E66" i="8"/>
  <c r="D66" i="8"/>
  <c r="I66" i="8" s="1"/>
  <c r="H65" i="8"/>
  <c r="G65" i="8"/>
  <c r="J65" i="8" s="1"/>
  <c r="F65" i="8"/>
  <c r="E65" i="8"/>
  <c r="D65" i="8"/>
  <c r="I65" i="8" s="1"/>
  <c r="H64" i="8"/>
  <c r="G64" i="8"/>
  <c r="J64" i="8" s="1"/>
  <c r="F64" i="8"/>
  <c r="E64" i="8"/>
  <c r="D64" i="8"/>
  <c r="I64" i="8" s="1"/>
  <c r="H63" i="8"/>
  <c r="G63" i="8"/>
  <c r="J63" i="8" s="1"/>
  <c r="F63" i="8"/>
  <c r="E63" i="8"/>
  <c r="D63" i="8"/>
  <c r="I63" i="8" s="1"/>
  <c r="J62" i="8"/>
  <c r="H62" i="8"/>
  <c r="G62" i="8"/>
  <c r="F62" i="8"/>
  <c r="E62" i="8"/>
  <c r="D62" i="8"/>
  <c r="I62" i="8" s="1"/>
  <c r="H61" i="8"/>
  <c r="G61" i="8"/>
  <c r="J61" i="8" s="1"/>
  <c r="F61" i="8"/>
  <c r="E61" i="8"/>
  <c r="D61" i="8"/>
  <c r="I61" i="8" s="1"/>
  <c r="I60" i="8"/>
  <c r="H60" i="8"/>
  <c r="G60" i="8"/>
  <c r="J60" i="8" s="1"/>
  <c r="F60" i="8"/>
  <c r="E60" i="8"/>
  <c r="D60" i="8"/>
  <c r="H59" i="8"/>
  <c r="G59" i="8"/>
  <c r="J59" i="8" s="1"/>
  <c r="F59" i="8"/>
  <c r="E59" i="8"/>
  <c r="D59" i="8"/>
  <c r="I59" i="8" s="1"/>
  <c r="H58" i="8"/>
  <c r="G58" i="8"/>
  <c r="J58" i="8" s="1"/>
  <c r="F58" i="8"/>
  <c r="E58" i="8"/>
  <c r="D58" i="8"/>
  <c r="I58" i="8" s="1"/>
  <c r="H57" i="8"/>
  <c r="G57" i="8"/>
  <c r="J57" i="8" s="1"/>
  <c r="F57" i="8"/>
  <c r="E57" i="8"/>
  <c r="D57" i="8"/>
  <c r="I57" i="8" s="1"/>
  <c r="H56" i="8"/>
  <c r="G56" i="8"/>
  <c r="J56" i="8" s="1"/>
  <c r="F56" i="8"/>
  <c r="E56" i="8"/>
  <c r="D56" i="8"/>
  <c r="I56" i="8" s="1"/>
  <c r="H55" i="8"/>
  <c r="G55" i="8"/>
  <c r="J55" i="8" s="1"/>
  <c r="F55" i="8"/>
  <c r="E55" i="8"/>
  <c r="D55" i="8"/>
  <c r="I55" i="8" s="1"/>
  <c r="J54" i="8"/>
  <c r="H54" i="8"/>
  <c r="G54" i="8"/>
  <c r="F54" i="8"/>
  <c r="E54" i="8"/>
  <c r="D54" i="8"/>
  <c r="I54" i="8" s="1"/>
  <c r="H53" i="8"/>
  <c r="G53" i="8"/>
  <c r="J53" i="8" s="1"/>
  <c r="F53" i="8"/>
  <c r="E53" i="8"/>
  <c r="D53" i="8"/>
  <c r="I53" i="8" s="1"/>
  <c r="I52" i="8"/>
  <c r="H52" i="8"/>
  <c r="G52" i="8"/>
  <c r="J52" i="8" s="1"/>
  <c r="F52" i="8"/>
  <c r="E52" i="8"/>
  <c r="D52" i="8"/>
  <c r="H51" i="8"/>
  <c r="G51" i="8"/>
  <c r="J51" i="8" s="1"/>
  <c r="F51" i="8"/>
  <c r="E51" i="8"/>
  <c r="D51" i="8"/>
  <c r="I51" i="8" s="1"/>
  <c r="H50" i="8"/>
  <c r="G50" i="8"/>
  <c r="J50" i="8" s="1"/>
  <c r="F50" i="8"/>
  <c r="E50" i="8"/>
  <c r="D50" i="8"/>
  <c r="I50" i="8" s="1"/>
  <c r="H49" i="8"/>
  <c r="G49" i="8"/>
  <c r="J49" i="8" s="1"/>
  <c r="F49" i="8"/>
  <c r="E49" i="8"/>
  <c r="D49" i="8"/>
  <c r="I49" i="8" s="1"/>
  <c r="H48" i="8"/>
  <c r="G48" i="8"/>
  <c r="J48" i="8" s="1"/>
  <c r="F48" i="8"/>
  <c r="E48" i="8"/>
  <c r="D48" i="8"/>
  <c r="I48" i="8" s="1"/>
  <c r="J47" i="8"/>
  <c r="H47" i="8"/>
  <c r="G47" i="8"/>
  <c r="F47" i="8"/>
  <c r="E47" i="8"/>
  <c r="D47" i="8"/>
  <c r="I47" i="8" s="1"/>
  <c r="H46" i="8"/>
  <c r="G46" i="8"/>
  <c r="J46" i="8" s="1"/>
  <c r="F46" i="8"/>
  <c r="E46" i="8"/>
  <c r="D46" i="8"/>
  <c r="I46" i="8" s="1"/>
  <c r="H45" i="8"/>
  <c r="G45" i="8"/>
  <c r="J45" i="8" s="1"/>
  <c r="F45" i="8"/>
  <c r="E45" i="8"/>
  <c r="D45" i="8"/>
  <c r="I45" i="8" s="1"/>
  <c r="H44" i="8"/>
  <c r="G44" i="8"/>
  <c r="J44" i="8" s="1"/>
  <c r="F44" i="8"/>
  <c r="E44" i="8"/>
  <c r="D44" i="8"/>
  <c r="I44" i="8" s="1"/>
  <c r="H43" i="8"/>
  <c r="G43" i="8"/>
  <c r="J43" i="8" s="1"/>
  <c r="F43" i="8"/>
  <c r="E43" i="8"/>
  <c r="D43" i="8"/>
  <c r="I43" i="8" s="1"/>
  <c r="H42" i="8"/>
  <c r="G42" i="8"/>
  <c r="J42" i="8" s="1"/>
  <c r="F42" i="8"/>
  <c r="E42" i="8"/>
  <c r="D42" i="8"/>
  <c r="I42" i="8" s="1"/>
  <c r="H41" i="8"/>
  <c r="G41" i="8"/>
  <c r="J41" i="8" s="1"/>
  <c r="F41" i="8"/>
  <c r="E41" i="8"/>
  <c r="D41" i="8"/>
  <c r="I41" i="8" s="1"/>
  <c r="H40" i="8"/>
  <c r="G40" i="8"/>
  <c r="J40" i="8" s="1"/>
  <c r="F40" i="8"/>
  <c r="E40" i="8"/>
  <c r="D40" i="8"/>
  <c r="I40" i="8" s="1"/>
  <c r="H39" i="8"/>
  <c r="G39" i="8"/>
  <c r="J39" i="8" s="1"/>
  <c r="F39" i="8"/>
  <c r="E39" i="8"/>
  <c r="D39" i="8"/>
  <c r="I39" i="8" s="1"/>
  <c r="H38" i="8"/>
  <c r="G38" i="8"/>
  <c r="J38" i="8" s="1"/>
  <c r="F38" i="8"/>
  <c r="E38" i="8"/>
  <c r="D38" i="8"/>
  <c r="I38" i="8" s="1"/>
  <c r="H37" i="8"/>
  <c r="G37" i="8"/>
  <c r="J37" i="8" s="1"/>
  <c r="F37" i="8"/>
  <c r="E37" i="8"/>
  <c r="D37" i="8"/>
  <c r="I37" i="8" s="1"/>
  <c r="H36" i="8"/>
  <c r="G36" i="8"/>
  <c r="J36" i="8" s="1"/>
  <c r="F36" i="8"/>
  <c r="E36" i="8"/>
  <c r="D36" i="8"/>
  <c r="I36" i="8" s="1"/>
  <c r="H35" i="8"/>
  <c r="G35" i="8"/>
  <c r="J35" i="8" s="1"/>
  <c r="F35" i="8"/>
  <c r="E35" i="8"/>
  <c r="D35" i="8"/>
  <c r="I35" i="8" s="1"/>
  <c r="H34" i="8"/>
  <c r="G34" i="8"/>
  <c r="J34" i="8" s="1"/>
  <c r="F34" i="8"/>
  <c r="E34" i="8"/>
  <c r="D34" i="8"/>
  <c r="I34" i="8" s="1"/>
  <c r="H33" i="8"/>
  <c r="G33" i="8"/>
  <c r="J33" i="8" s="1"/>
  <c r="F33" i="8"/>
  <c r="E33" i="8"/>
  <c r="D33" i="8"/>
  <c r="I33" i="8" s="1"/>
  <c r="H32" i="8"/>
  <c r="G32" i="8"/>
  <c r="J32" i="8" s="1"/>
  <c r="F32" i="8"/>
  <c r="E32" i="8"/>
  <c r="D32" i="8"/>
  <c r="I32" i="8" s="1"/>
  <c r="H31" i="8"/>
  <c r="G31" i="8"/>
  <c r="J31" i="8" s="1"/>
  <c r="F31" i="8"/>
  <c r="E31" i="8"/>
  <c r="D31" i="8"/>
  <c r="I31" i="8" s="1"/>
  <c r="H30" i="8"/>
  <c r="G30" i="8"/>
  <c r="J30" i="8" s="1"/>
  <c r="F30" i="8"/>
  <c r="E30" i="8"/>
  <c r="D30" i="8"/>
  <c r="I30" i="8" s="1"/>
  <c r="H29" i="8"/>
  <c r="G29" i="8"/>
  <c r="J29" i="8" s="1"/>
  <c r="F29" i="8"/>
  <c r="E29" i="8"/>
  <c r="D29" i="8"/>
  <c r="I29" i="8" s="1"/>
  <c r="H28" i="8"/>
  <c r="G28" i="8"/>
  <c r="J28" i="8" s="1"/>
  <c r="F28" i="8"/>
  <c r="E28" i="8"/>
  <c r="D28" i="8"/>
  <c r="I28" i="8" s="1"/>
  <c r="I27" i="8"/>
  <c r="H27" i="8"/>
  <c r="G27" i="8"/>
  <c r="J27" i="8" s="1"/>
  <c r="F27" i="8"/>
  <c r="E27" i="8"/>
  <c r="D27" i="8"/>
  <c r="H26" i="8"/>
  <c r="G26" i="8"/>
  <c r="J26" i="8" s="1"/>
  <c r="F26" i="8"/>
  <c r="E26" i="8"/>
  <c r="D26" i="8"/>
  <c r="I26" i="8" s="1"/>
  <c r="H25" i="8"/>
  <c r="G25" i="8"/>
  <c r="J25" i="8" s="1"/>
  <c r="F25" i="8"/>
  <c r="E25" i="8"/>
  <c r="D25" i="8"/>
  <c r="I25" i="8" s="1"/>
  <c r="J24" i="8"/>
  <c r="H24" i="8"/>
  <c r="G24" i="8"/>
  <c r="F24" i="8"/>
  <c r="E24" i="8"/>
  <c r="D24" i="8"/>
  <c r="I24" i="8" s="1"/>
  <c r="H23" i="8"/>
  <c r="G23" i="8"/>
  <c r="J23" i="8" s="1"/>
  <c r="F23" i="8"/>
  <c r="E23" i="8"/>
  <c r="D23" i="8"/>
  <c r="I23" i="8" s="1"/>
  <c r="J22" i="8"/>
  <c r="H22" i="8"/>
  <c r="G22" i="8"/>
  <c r="F22" i="8"/>
  <c r="E22" i="8"/>
  <c r="D22" i="8"/>
  <c r="I22" i="8" s="1"/>
  <c r="H21" i="8"/>
  <c r="G21" i="8"/>
  <c r="J21" i="8" s="1"/>
  <c r="F21" i="8"/>
  <c r="E21" i="8"/>
  <c r="D21" i="8"/>
  <c r="I21" i="8" s="1"/>
  <c r="H20" i="8"/>
  <c r="G20" i="8"/>
  <c r="J20" i="8" s="1"/>
  <c r="F20" i="8"/>
  <c r="E20" i="8"/>
  <c r="D20" i="8"/>
  <c r="I20" i="8" s="1"/>
  <c r="I19" i="8"/>
  <c r="H19" i="8"/>
  <c r="G19" i="8"/>
  <c r="J19" i="8" s="1"/>
  <c r="F19" i="8"/>
  <c r="E19" i="8"/>
  <c r="D19" i="8"/>
  <c r="H18" i="8"/>
  <c r="G18" i="8"/>
  <c r="J18" i="8" s="1"/>
  <c r="F18" i="8"/>
  <c r="E18" i="8"/>
  <c r="D18" i="8"/>
  <c r="I18" i="8" s="1"/>
  <c r="H17" i="8"/>
  <c r="G17" i="8"/>
  <c r="J17" i="8" s="1"/>
  <c r="F17" i="8"/>
  <c r="E17" i="8"/>
  <c r="D17" i="8"/>
  <c r="I17" i="8" s="1"/>
  <c r="H16" i="8"/>
  <c r="G16" i="8"/>
  <c r="J16" i="8" s="1"/>
  <c r="F16" i="8"/>
  <c r="E16" i="8"/>
  <c r="D16" i="8"/>
  <c r="I16" i="8" s="1"/>
  <c r="H15" i="8"/>
  <c r="G15" i="8"/>
  <c r="J15" i="8" s="1"/>
  <c r="F15" i="8"/>
  <c r="E15" i="8"/>
  <c r="D15" i="8"/>
  <c r="I15" i="8" s="1"/>
  <c r="H14" i="8"/>
  <c r="G14" i="8"/>
  <c r="J14" i="8" s="1"/>
  <c r="F14" i="8"/>
  <c r="E14" i="8"/>
  <c r="D14" i="8"/>
  <c r="I14" i="8" s="1"/>
  <c r="H13" i="8"/>
  <c r="G13" i="8"/>
  <c r="J13" i="8" s="1"/>
  <c r="F13" i="8"/>
  <c r="E13" i="8"/>
  <c r="D13" i="8"/>
  <c r="I13" i="8" s="1"/>
  <c r="J12" i="8"/>
  <c r="I12" i="8"/>
  <c r="H12" i="8"/>
  <c r="G12" i="8"/>
  <c r="F12" i="8"/>
  <c r="E12" i="8"/>
  <c r="D12" i="8"/>
  <c r="H11" i="8"/>
  <c r="G11" i="8"/>
  <c r="J11" i="8" s="1"/>
  <c r="F11" i="8"/>
  <c r="E11" i="8"/>
  <c r="D11" i="8"/>
  <c r="I11" i="8" s="1"/>
  <c r="H10" i="8"/>
  <c r="G10" i="8"/>
  <c r="J10" i="8" s="1"/>
  <c r="F10" i="8"/>
  <c r="E10" i="8"/>
  <c r="D10" i="8"/>
  <c r="I10" i="8" s="1"/>
  <c r="H9" i="8"/>
  <c r="G9" i="8"/>
  <c r="J9" i="8" s="1"/>
  <c r="F9" i="8"/>
  <c r="E9" i="8"/>
  <c r="D9" i="8"/>
  <c r="I9" i="8" s="1"/>
  <c r="H8" i="8"/>
  <c r="G8" i="8"/>
  <c r="J8" i="8" s="1"/>
  <c r="F8" i="8"/>
  <c r="E8" i="8"/>
  <c r="D8" i="8"/>
  <c r="I8" i="8" s="1"/>
  <c r="H7" i="8"/>
  <c r="G7" i="8"/>
  <c r="J7" i="8" s="1"/>
  <c r="F7" i="8"/>
  <c r="E7" i="8"/>
  <c r="D7" i="8"/>
  <c r="I7" i="8" s="1"/>
  <c r="H6" i="8"/>
  <c r="G6" i="8"/>
  <c r="J6" i="8" s="1"/>
  <c r="F6" i="8"/>
  <c r="E6" i="8"/>
  <c r="D6" i="8"/>
  <c r="I6" i="8" s="1"/>
  <c r="J5" i="8"/>
  <c r="I5" i="8"/>
  <c r="H5" i="8"/>
  <c r="G5" i="8"/>
  <c r="F5" i="8"/>
  <c r="E5" i="8"/>
  <c r="D5" i="8"/>
  <c r="H4" i="8"/>
  <c r="G4" i="8"/>
  <c r="J4" i="8" s="1"/>
  <c r="F4" i="8"/>
  <c r="E4" i="8"/>
  <c r="D4" i="8"/>
  <c r="I4" i="8" s="1"/>
  <c r="I3" i="8"/>
  <c r="H3" i="8"/>
  <c r="G3" i="8"/>
  <c r="J3" i="8" s="1"/>
  <c r="F3" i="8"/>
  <c r="E3" i="8"/>
  <c r="D3" i="8"/>
  <c r="H2" i="8"/>
  <c r="G2" i="8"/>
  <c r="J2" i="8" s="1"/>
  <c r="F2" i="8"/>
  <c r="E2" i="8"/>
  <c r="D2" i="8"/>
  <c r="I2" i="8" s="1"/>
  <c r="B17" i="11" l="1"/>
</calcChain>
</file>

<file path=xl/sharedStrings.xml><?xml version="1.0" encoding="utf-8"?>
<sst xmlns="http://schemas.openxmlformats.org/spreadsheetml/2006/main" count="4144" uniqueCount="1653">
  <si>
    <t>AC ID</t>
  </si>
  <si>
    <t>Story ID</t>
  </si>
  <si>
    <t>Epic ID</t>
  </si>
  <si>
    <t>Acceptance Criterion</t>
  </si>
  <si>
    <t>Test Case ID</t>
  </si>
  <si>
    <t>Test Status</t>
  </si>
  <si>
    <t>Evidence / Link</t>
  </si>
  <si>
    <t>Defect ID</t>
  </si>
  <si>
    <t>Tester</t>
  </si>
  <si>
    <t>Test Cycle</t>
  </si>
  <si>
    <t>Comments</t>
  </si>
  <si>
    <t>AC-001-001-01</t>
  </si>
  <si>
    <t>US-001-001</t>
  </si>
  <si>
    <t>EP-001</t>
  </si>
  <si>
    <t>Registration captures first name, surname, email, phone number and password.</t>
  </si>
  <si>
    <t>Pass</t>
  </si>
  <si>
    <t>Claude (AI Engineer)</t>
  </si>
  <si>
    <t>SIT</t>
  </si>
  <si>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</si>
  <si>
    <t>AC-001-001-02</t>
  </si>
  <si>
    <t>Email address must be unique and valid.</t>
  </si>
  <si>
    <t>Live test 2026-09-08: invalid email format (not-an-email) -&gt; 400 field error; duplicate email -&gt; 409 (existing e2e test). | Manually re-verified live in-browser on the deployed Azure app, 2026-09-09 (driven step-by-step, observed directly) - confirmed.</t>
  </si>
  <si>
    <t>AC-001-001-03</t>
  </si>
  <si>
    <t>Password must meet configured password policy.</t>
  </si>
  <si>
    <t>Live test 2026-09-08: POST /auth/register with password "weak" -&gt; 400, field errors listing the unmet policy rules. | Manually re-verified live in-browser on the deployed Azure app, 2026-09-09 (driven step-by-step, observed directly) - confirmed.</t>
  </si>
  <si>
    <t>AC-001-001-04</t>
  </si>
  <si>
    <t>Successful registration creates a user with the configured initial status (Pending or Active).</t>
  </si>
  <si>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</si>
  <si>
    <t>AC-001-002-01</t>
  </si>
  <si>
    <t>US-001-002</t>
  </si>
  <si>
    <t>Pending users are visible in an administrator queue.</t>
  </si>
  <si>
    <t>Existing e2e test: GET /users?status=PENDING returns exactly the newly-registered pending user. | Manually re-verified live in-browser on the deployed Azure app, 2026-09-09 (driven step-by-step, observed directly) - confirmed.</t>
  </si>
  <si>
    <t>AC-001-002-02</t>
  </si>
  <si>
    <t>Only authorised administrators can approve or reject.</t>
  </si>
  <si>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</si>
  <si>
    <t>AC-001-002-03</t>
  </si>
  <si>
    <t>Approval activates the user and records approver/date.</t>
  </si>
  <si>
    <t>Live test 2026-09-08: admin approve response includes status=ACTIVE, approvedById=&lt;admin user id&gt;, approvedAt=&lt;real timestamp&gt;. | Manually re-verified live in-browser on the deployed Azure app, 2026-09-09 (driven step-by-step, observed directly) - confirmed.</t>
  </si>
  <si>
    <t>AC-001-002-04</t>
  </si>
  <si>
    <t>Rejected users cannot sign in unless later reactivated.</t>
  </si>
  <si>
    <t>Live test 2026-09-08: rejected user login -&gt; 401; after admin reactivation (status=ACTIVE) -&gt; 200. | Manually re-verified live in-browser on the deployed Azure app, 2026-09-09 (driven step-by-step, observed directly) - confirmed.</t>
  </si>
  <si>
    <t>AC-001-003-01</t>
  </si>
  <si>
    <t>US-001-003</t>
  </si>
  <si>
    <t>Login accepts email and password.</t>
  </si>
  <si>
    <t>Live test 2026-09-08: POST /auth/login with email+password -&gt; 200 (also existing e2e coverage). | Manually re-verified live in-browser on the deployed Azure app, 2026-09-09 (driven step-by-step, observed directly) - confirmed.</t>
  </si>
  <si>
    <t>AC-001-003-02</t>
  </si>
  <si>
    <t>Invalid credentials return a generic error.</t>
  </si>
  <si>
    <t>Live test 2026-09-08: wrong-password and nonexistent-email logins return identical 401 "Invalid email or password" - no account-existence leak. | Manually re-verified live in-browser on the deployed Azure app, 2026-09-09 (driven step-by-step, observed directly) - confirmed.</t>
  </si>
  <si>
    <t>AC-001-003-03</t>
  </si>
  <si>
    <t>Successful login creates an authenticated session using secure cookies/tokens.</t>
  </si>
  <si>
    <t>Live test 2026-09-08: login Set-Cookie headers confirmed atms_access and atms_refresh both HttpOnly; Secure; SameSite=None. | Manually re-verified live in-browser on the deployed Azure app, 2026-09-09 (driven step-by-step, observed directly) - confirmed.</t>
  </si>
  <si>
    <t>AC-001-003-04</t>
  </si>
  <si>
    <t>Inactive, suspended or rejected accounts cannot access protected screens.</t>
  </si>
  <si>
    <t>Live test 2026-09-08: login attempt against a SUSPENDED account -&gt; 401 "Account is suspended" (existing e2e test covers PENDING specifically; this covers SUSPENDED). | Manually re-verified live in-browser on the deployed Azure app, 2026-09-09 (driven step-by-step, observed directly) - confirmed.</t>
  </si>
  <si>
    <t>AC-001-004-01</t>
  </si>
  <si>
    <t>US-001-004</t>
  </si>
  <si>
    <t>Logout invalidates the active application session.</t>
  </si>
  <si>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</si>
  <si>
    <t>AC-001-004-02</t>
  </si>
  <si>
    <t>Protected pages cannot be accessed after logout without re-authentication.</t>
  </si>
  <si>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</si>
  <si>
    <t>AC-001-004-03</t>
  </si>
  <si>
    <t>Logout is available from the main navigation.</t>
  </si>
  <si>
    <t>Confirmed live: "Log out" button present in both desktop sidebar and mobile nav on every authenticated page. | Manually re-verified live in-browser on the deployed Azure app, 2026-09-09 (driven step-by-step, observed directly) - confirmed.</t>
  </si>
  <si>
    <t>AC-001-004-04</t>
  </si>
  <si>
    <t>Logout does not alter attendance or task timer records.</t>
  </si>
  <si>
    <t>Live test 2026-09-08: attendance session id, active timer id, and state identical before logout and after re-login. | Manually re-verified live in-browser on the deployed Azure app, 2026-09-09 (driven step-by-step, observed directly) - confirmed.</t>
  </si>
  <si>
    <t>AC-001-005-01</t>
  </si>
  <si>
    <t>US-001-005</t>
  </si>
  <si>
    <t>User can submit an email address for reset.</t>
  </si>
  <si>
    <t>DEF-022</t>
  </si>
  <si>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 | CRITICAL FINDING, live-confirmed 2026-09-10: triggered a real forgot-password request against production for employee@atms.app and checked the actual server log (Azure Log Analytics, not just the API's 200 response). Resend genuinely REJECTED the email: "[validation_error] You can only send testing emails to your own email address (rasheeed0020@gmail.com). To send emails to other recipients, please verify a domain at resend.com/domains, and change the `from` address to an email using this domain." The API still returns 200 "If that email is registered, a reset link has been sent" regardless (correct security behaviour - never reveal delivery failure to the requester - but it means this was silently broken for every prior AC check that only looked at the HTTP response, not actual delivery). In production, devResetToken is deliberately never exposed (correct), so there is currently NO way for any real user other than the Resend account owner to actually receive a password-reset link. This is DEF-022, and it is an active, confirmed-broken production flow, not a latent risk - fixing it requires verifying a real domain in Resend (see RISK-009).</t>
  </si>
  <si>
    <t>AC-001-005-02</t>
  </si>
  <si>
    <t>Response does not reveal whether an account exists.</t>
  </si>
  <si>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</si>
  <si>
    <t>AC-001-005-03</t>
  </si>
  <si>
    <t>Reset link/token expires after a configured period.</t>
  </si>
  <si>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</si>
  <si>
    <t>AC-001-005-04</t>
  </si>
  <si>
    <t>A used or expired reset token cannot be reused.</t>
  </si>
  <si>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</si>
  <si>
    <t>AC-001-006-01</t>
  </si>
  <si>
    <t>US-001-006</t>
  </si>
  <si>
    <t>New password must satisfy password policy.</t>
  </si>
  <si>
    <t>Live test 2026-09-08: reset with a weak new password -&gt; 400 with the specific unmet policy rules. | Manually re-verified live 2026-09-09 (local dev, see AC-001-005-01 note): entered a weak new password on the actual reset-password page - UI showed 'Password must be at least 10 characters'.</t>
  </si>
  <si>
    <t>AC-001-006-02</t>
  </si>
  <si>
    <t>New and confirmation passwords must match.</t>
  </si>
  <si>
    <t>Live test 2026-09-08: reset with mismatched confirmPassword -&gt; 400 "Passwords do not match". | Manually re-verified live 2026-09-09 (local dev, see AC-001-005-01 note): entered mismatched new/confirm passwords on the actual reset-password page - UI showed 'Passwords do not match'.</t>
  </si>
  <si>
    <t>AC-001-006-03</t>
  </si>
  <si>
    <t>Successful reset invalidates the reset token.</t>
  </si>
  <si>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</si>
  <si>
    <t>AC-001-006-04</t>
  </si>
  <si>
    <t>Existing sessions may be revoked according to security policy.</t>
  </si>
  <si>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</si>
  <si>
    <t>AC-001-007-01</t>
  </si>
  <si>
    <t>US-001-007</t>
  </si>
  <si>
    <t>Inactivity timeout is configurable.</t>
  </si>
  <si>
    <t>Verified by e2e test: threshold is read from AppSettings.sessionInactivityTimeoutMinutes, confirmed configurable. | Manually re-verified live in-browser on the deployed Azure app, 2026-09-09 (driven step-by-step, observed directly) - confirmed.</t>
  </si>
  <si>
    <t>AC-001-007-02</t>
  </si>
  <si>
    <t>Expired sessions require login again.</t>
  </si>
  <si>
    <t>Verified by e2e test: expired-by-inactivity refresh token is rejected with 401. | Manually re-verified live in-browser on the deployed Azure app, 2026-09-09 (driven step-by-step, observed directly) - confirmed.</t>
  </si>
  <si>
    <t>AC-001-007-03</t>
  </si>
  <si>
    <t>Session expiry does not stop or modify authoritative attendance/task records.</t>
  </si>
  <si>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</si>
  <si>
    <t>AC-001-007-04</t>
  </si>
  <si>
    <t>User receives a clear expired-session message.</t>
  </si>
  <si>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</si>
  <si>
    <t>AC-002-001-01</t>
  </si>
  <si>
    <t>US-002-001</t>
  </si>
  <si>
    <t>EP-002</t>
  </si>
  <si>
    <t>Administrator can enter required identity/contact fields.</t>
  </si>
  <si>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</si>
  <si>
    <t>AC-002-001-02</t>
  </si>
  <si>
    <t>Email uniqueness is enforced.</t>
  </si>
  <si>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</si>
  <si>
    <t>AC-002-001-03</t>
  </si>
  <si>
    <t>Role and department can be assigned.</t>
  </si>
  <si>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</si>
  <si>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AC-002-001-04</t>
  </si>
  <si>
    <t>Creation is audited.</t>
  </si>
  <si>
    <t>Live test 2026-09-08: GET /audit contains a USER_CREATED entry with the new user's id as targetId. | PASS - manually re-verified live: audit log shows USER_CREATED with actor 'System Administrator' and the real timestamp immediately after creating a user through the UI.</t>
  </si>
  <si>
    <t>AC-002-002-01</t>
  </si>
  <si>
    <t>US-002-002</t>
  </si>
  <si>
    <t>Administrator can edit permitted profile fields.</t>
  </si>
  <si>
    <t>DEF-001</t>
  </si>
  <si>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</si>
  <si>
    <t>AC-002-002-02</t>
  </si>
  <si>
    <t>Email change is validated for uniqueness.</t>
  </si>
  <si>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</si>
  <si>
    <t>AC-002-002-03</t>
  </si>
  <si>
    <t>Changes do not rewrite historical attendance ownership.</t>
  </si>
  <si>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</si>
  <si>
    <t>AC-002-002-04</t>
  </si>
  <si>
    <t>Material changes are audited.</t>
  </si>
  <si>
    <t>Live test 2026-09-08: GET /audit contains a USER_UPDATED entry for the edited user. | PASS - manually re-verified live: audit log shows USER_UPDATED (before/after diff) for edits made through the new User Detail screen.</t>
  </si>
  <si>
    <t>AC-002-003-01</t>
  </si>
  <si>
    <t>US-002-003</t>
  </si>
  <si>
    <t>User can edit permitted fields such as phone number.</t>
  </si>
  <si>
    <t>Live test 2026-09-08: self PATCH /users/me {phoneNumber} -&gt; 200, updated. | PASS - manually re-verified live in-browser: /profile shows editable First name/Surname/Phone number fields.</t>
  </si>
  <si>
    <t>AC-002-003-02</t>
  </si>
  <si>
    <t>Restricted fields such as role cannot be self-edited.</t>
  </si>
  <si>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</si>
  <si>
    <t>AC-002-003-03</t>
  </si>
  <si>
    <t>Validation is applied before save.</t>
  </si>
  <si>
    <t>Live test 2026-09-08: self PATCH /users/me with firstName= -&gt; 400 validation error. | PASS - manually re-verified live: PATCH /users/me with an empty phoneNumber returns 400 'String must contain at least 1 character(s)' - validated server-side before save.</t>
  </si>
  <si>
    <t>AC-002-003-04</t>
  </si>
  <si>
    <t>Successful update is immediately visible.</t>
  </si>
  <si>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</si>
  <si>
    <t>AC-002-004-01</t>
  </si>
  <si>
    <t>US-002-004</t>
  </si>
  <si>
    <t>At minimum Employee and Administrator roles exist.</t>
  </si>
  <si>
    <t>Structural: UserRole enum defines EMPLOYEE and ADMINISTRATOR; both used and exercised extensively throughout this session. | PASS - confirmed live: the Role selector on both the user list and the new User Detail screen offers exactly EMPLOYEE and ADMINISTRATOR.</t>
  </si>
  <si>
    <t>AC-002-004-02</t>
  </si>
  <si>
    <t>Role changes require administrator permission.</t>
  </si>
  <si>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</si>
  <si>
    <t>AC-002-004-03</t>
  </si>
  <si>
    <t>New permissions apply to subsequent requests.</t>
  </si>
  <si>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</si>
  <si>
    <t>AC-002-004-04</t>
  </si>
  <si>
    <t>Role changes are audited.</t>
  </si>
  <si>
    <t>Live test 2026-09-08: GET /audit contains a USER_ROLE_CHANGED entry for the promoted user. | PASS - confirmed via audit log: USER_ROLE_CHANGED entries carry before/after role and the acting administrator.</t>
  </si>
  <si>
    <t>AC-002-005-01</t>
  </si>
  <si>
    <t>US-002-005</t>
  </si>
  <si>
    <t>Administrator can set Active, Suspended or Inactive.</t>
  </si>
  <si>
    <t>Live test 2026-09-08: admin PATCH status=SUSPENDED -&gt; 200, status updated. | PASS - manually re-verified live: Status selector on the user list and User Detail screen offers PENDING/ACTIVE/SUSPENDED/INACTIVE/REJECTED, and setting it live-updates the badge immediately.</t>
  </si>
  <si>
    <t>AC-002-005-02</t>
  </si>
  <si>
    <t>Suspended/inactive users cannot create new attendance or task events.</t>
  </si>
  <si>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</si>
  <si>
    <t>AC-002-005-03</t>
  </si>
  <si>
    <t>Historical records remain available to authorised administrators.</t>
  </si>
  <si>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</si>
  <si>
    <t>AC-002-005-04</t>
  </si>
  <si>
    <t>Status changes are audited with actor and time.</t>
  </si>
  <si>
    <t>Live test 2026-09-08: audit entry for the status change carries a real actorId and createdAt timestamp. | PASS - confirmed via audit log: USER_STATUS_CHANGED entries carry before/after status and the acting administrator, with a real timestamp.</t>
  </si>
  <si>
    <t>AC-002-006-01</t>
  </si>
  <si>
    <t>US-002-006</t>
  </si>
  <si>
    <t>Employee number can be configured as unique if used.</t>
  </si>
  <si>
    <t>DEF-002</t>
  </si>
  <si>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</si>
  <si>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AC-002-006-02</t>
  </si>
  <si>
    <t>Department is selectable from an administered list.</t>
  </si>
  <si>
    <t>Live test 2026-09-08: GET /departments returns the administered department list. | PASS - manually re-verified live: Department selector on both create-user and the new User Detail edit form is populated from GET /departments (the administered list), not free text.</t>
  </si>
  <si>
    <t>AC-002-006-03</t>
  </si>
  <si>
    <t>Changes affect future filtering without rewriting history.</t>
  </si>
  <si>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</si>
  <si>
    <t>AC-002-006-04</t>
  </si>
  <si>
    <t>Fields may be left blank if organisation does not use them.</t>
  </si>
  <si>
    <t>DEF-003</t>
  </si>
  <si>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</si>
  <si>
    <t>AC-003-001-01</t>
  </si>
  <si>
    <t>US-003-001</t>
  </si>
  <si>
    <t>EP-003</t>
  </si>
  <si>
    <t>Only an Active user can clock in.</t>
  </si>
  <si>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</si>
  <si>
    <t>AC-003-001-02</t>
  </si>
  <si>
    <t>Server time is the authoritative clock-in timestamp.</t>
  </si>
  <si>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</si>
  <si>
    <t>AC-003-001-03</t>
  </si>
  <si>
    <t>A user cannot create a second active attendance session.</t>
  </si>
  <si>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</si>
  <si>
    <t>AC-003-001-04</t>
  </si>
  <si>
    <t>Dashboard immediately shows Clocked In state and start time.</t>
  </si>
  <si>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</si>
  <si>
    <t>AC-003-002-01</t>
  </si>
  <si>
    <t>US-003-002</t>
  </si>
  <si>
    <t>An active attendance session is required.</t>
  </si>
  <si>
    <t>Live test 2026-09-08: clock-out with no active session -&gt; 400 "No active attendance session". | PASS - manually re-verified live: POST /attendance/clock-out with no active session -&gt; 400 'No active attendance session'.</t>
  </si>
  <si>
    <t>AC-003-002-02</t>
  </si>
  <si>
    <t>Server time is the authoritative clock-out timestamp.</t>
  </si>
  <si>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</si>
  <si>
    <t>AC-003-002-03</t>
  </si>
  <si>
    <t>Net working time is calculated from attendance minus eligible break time.</t>
  </si>
  <si>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</si>
  <si>
    <t>AC-003-002-04</t>
  </si>
  <si>
    <t>Completed attendance record appears in history.</t>
  </si>
  <si>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</si>
  <si>
    <t>AC-003-003-01</t>
  </si>
  <si>
    <t>US-003-003</t>
  </si>
  <si>
    <t>Current state is visible on dashboard.</t>
  </si>
  <si>
    <t>Live test 2026-09-08: GET /attendance/state -&gt; 200 with a populated state field. | PASS - manually re-verified live in-browser: /my-day's ATTENDANCE card always shows the current state (Clocked out / Working / On break) front and center.</t>
  </si>
  <si>
    <t>AC-003-003-02</t>
  </si>
  <si>
    <t>State is derived from server records, not browser memory alone.</t>
  </si>
  <si>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</si>
  <si>
    <t>AC-003-003-03</t>
  </si>
  <si>
    <t>State persists after page refresh/re-login.</t>
  </si>
  <si>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</si>
  <si>
    <t>AC-003-003-04</t>
  </si>
  <si>
    <t>Invalid contradictory states are prevented by backend rules.</t>
  </si>
  <si>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</si>
  <si>
    <t>AC-003-004-01</t>
  </si>
  <si>
    <t>US-003-004</t>
  </si>
  <si>
    <t>A second clock-in request during an active session is rejected.</t>
  </si>
  <si>
    <t>Live test 2026-09-08: second clock-in while active -&gt; 409. | PASS - manually re-verified live against production: sent a second POST /attendance/clock-in while already clocked in -&gt; 409 rejected.</t>
  </si>
  <si>
    <t>AC-003-004-02</t>
  </si>
  <si>
    <t>User receives a clear message with existing start time.</t>
  </si>
  <si>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</si>
  <si>
    <t>AC-003-004-03</t>
  </si>
  <si>
    <t>No duplicate attendance row is created.</t>
  </si>
  <si>
    <t>Live test 2026-09-08: exactly 1 ACTIVE session exists in history after the rejected duplicate attempt. | PASS - manually re-verified live: confirmed via /attendance history immediately after the rejected duplicate attempt that only one session row exists for that clock-in, not two.</t>
  </si>
  <si>
    <t>AC-003-004-04</t>
  </si>
  <si>
    <t>Concurrent requests are protected by database/application constraints.</t>
  </si>
  <si>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</si>
  <si>
    <t>AC-003-005-01</t>
  </si>
  <si>
    <t>US-003-005</t>
  </si>
  <si>
    <t>System detects an active task timer before completing clock-out.</t>
  </si>
  <si>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</si>
  <si>
    <t>AC-003-005-02</t>
  </si>
  <si>
    <t>User is prompted to stop the task and clock out or cancel.</t>
  </si>
  <si>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</si>
  <si>
    <t>AC-003-005-03</t>
  </si>
  <si>
    <t>Confirmed action stops task using a consistent timestamp then clocks out.</t>
  </si>
  <si>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</si>
  <si>
    <t>AC-003-005-04</t>
  </si>
  <si>
    <t>No overlapping task time is created after clock-out.</t>
  </si>
  <si>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</si>
  <si>
    <t>AC-003-006-01</t>
  </si>
  <si>
    <t>US-003-006</t>
  </si>
  <si>
    <t>System detects active break.</t>
  </si>
  <si>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</si>
  <si>
    <t>AC-003-006-02</t>
  </si>
  <si>
    <t>User can confirm ending break and clocking out or cancel.</t>
  </si>
  <si>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</si>
  <si>
    <t>AC-003-006-03</t>
  </si>
  <si>
    <t>Confirmed action closes break before closing attendance.</t>
  </si>
  <si>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</si>
  <si>
    <t>AC-003-006-04</t>
  </si>
  <si>
    <t>Break and attendance timestamps remain consistent.</t>
  </si>
  <si>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</si>
  <si>
    <t>AC-003-007-01</t>
  </si>
  <si>
    <t>US-003-007</t>
  </si>
  <si>
    <t>History shows date, clock-in, clock-out, break total and net work.</t>
  </si>
  <si>
    <t>DEF-004</t>
  </si>
  <si>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</si>
  <si>
    <t>AC-003-007-02</t>
  </si>
  <si>
    <t>Records are ordered by date/time.</t>
  </si>
  <si>
    <t>Live test 2026-09-08: records confirmed ordered newest-first. | PASS - manually re-verified live: /attendance history is ordered by clockInAt desc both in the API (orderBy: {clockInAt: 'desc'}) and as rendered on screen - most recent session always listed first.</t>
  </si>
  <si>
    <t>AC-003-007-03</t>
  </si>
  <si>
    <t>User can filter by date range.</t>
  </si>
  <si>
    <t>DEF-005</t>
  </si>
  <si>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</si>
  <si>
    <t>AC-003-007-04</t>
  </si>
  <si>
    <t>Employee can only see their own history unless separately authorised.</t>
  </si>
  <si>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</si>
  <si>
    <t>AC-003-008-01</t>
  </si>
  <si>
    <t>US-003-008</t>
  </si>
  <si>
    <t>List shows active attendance sessions.</t>
  </si>
  <si>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</si>
  <si>
    <t>AC-003-008-02</t>
  </si>
  <si>
    <t>Status distinguishes Working and On Break.</t>
  </si>
  <si>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</si>
  <si>
    <t>AC-003-008-03</t>
  </si>
  <si>
    <t>Clock-in time and current duration are displayed.</t>
  </si>
  <si>
    <t>DEF-006</t>
  </si>
  <si>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</si>
  <si>
    <t>AC-003-008-04</t>
  </si>
  <si>
    <t>Only authorised administrators can see organisation-wide status.</t>
  </si>
  <si>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</si>
  <si>
    <t>AC-004-001-01</t>
  </si>
  <si>
    <t>US-004-001</t>
  </si>
  <si>
    <t>EP-004</t>
  </si>
  <si>
    <t>User must be clocked in.</t>
  </si>
  <si>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</si>
  <si>
    <t>AC-004-001-02</t>
  </si>
  <si>
    <t>User cannot already have an active break.</t>
  </si>
  <si>
    <t>Live test 2026-09-08: second POST /breaks/start while already on break -&gt; 400. | PASS - manually re-verified live: after a real break was already active, called POST /breaks/start again -&gt; 400 with the same message, confirming a second break cannot start while one is already open.</t>
  </si>
  <si>
    <t>AC-004-001-03</t>
  </si>
  <si>
    <t>Server timestamp records break start.</t>
  </si>
  <si>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</si>
  <si>
    <t>AC-004-001-04</t>
  </si>
  <si>
    <t>Dashboard changes to On Break.</t>
  </si>
  <si>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</si>
  <si>
    <t>AC-004-002-01</t>
  </si>
  <si>
    <t>US-004-002</t>
  </si>
  <si>
    <t>An active break is required.</t>
  </si>
  <si>
    <t>Live test 2026-09-08: POST /breaks/end with no active break -&gt; 400. | PASS - manually re-verified live: with no active break, POST /breaks/end -&gt; 400 'You do not have an active break'.</t>
  </si>
  <si>
    <t>AC-004-002-02</t>
  </si>
  <si>
    <t>Server timestamp records break end.</t>
  </si>
  <si>
    <t>Live test 2026-09-08: break endAt server-generated; endpoint takes no body. | PASS - manually re-verified live in-browser: clicking the real 'End Break' button produced a POST /breaks/end response with a server-generated endAt; no client timestamp is accepted.</t>
  </si>
  <si>
    <t>AC-004-002-03</t>
  </si>
  <si>
    <t>Break duration is calculated automatically.</t>
  </si>
  <si>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</si>
  <si>
    <t>AC-004-002-04</t>
  </si>
  <si>
    <t>Dashboard returns to Working state.</t>
  </si>
  <si>
    <t>Live test 2026-09-08: GET /attendance/state after ending the break -&gt; state=WORKING. | PASS - manually re-verified live in-browser: clicking 'End Break' immediately returned /my-day to the 'Working' state with the Start Break button restored, sourced from a live server state check.</t>
  </si>
  <si>
    <t>AC-004-003-01</t>
  </si>
  <si>
    <t>US-004-003</t>
  </si>
  <si>
    <t>Each break creates a separate break record.</t>
  </si>
  <si>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</si>
  <si>
    <t>AC-004-003-02</t>
  </si>
  <si>
    <t>Breaks cannot overlap.</t>
  </si>
  <si>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</si>
  <si>
    <t>AC-004-003-03</t>
  </si>
  <si>
    <t>Daily break total equals sum of completed break durations.</t>
  </si>
  <si>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</si>
  <si>
    <t>AC-004-003-04</t>
  </si>
  <si>
    <t>All break records remain linked to the attendance session.</t>
  </si>
  <si>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</si>
  <si>
    <t>AC-004-004-01</t>
  </si>
  <si>
    <t>US-004-004</t>
  </si>
  <si>
    <t>Starting a break checks for an active task timer.</t>
  </si>
  <si>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</si>
  <si>
    <t>AC-004-004-02</t>
  </si>
  <si>
    <t>Active task timer is paused using the same effective server boundary timestamp.</t>
  </si>
  <si>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</si>
  <si>
    <t>AC-004-004-03</t>
  </si>
  <si>
    <t>User is informed which task was paused.</t>
  </si>
  <si>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</si>
  <si>
    <t>AC-004-004-04</t>
  </si>
  <si>
    <t>Ending break does not automatically resume the task without user confirmation.</t>
  </si>
  <si>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</si>
  <si>
    <t>AC-004-005-01</t>
  </si>
  <si>
    <t>US-004-005</t>
  </si>
  <si>
    <t>Attendance detail shows each break start/end/duration.</t>
  </si>
  <si>
    <t>DEF-007</t>
  </si>
  <si>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</si>
  <si>
    <t>AC-004-005-02</t>
  </si>
  <si>
    <t>Incomplete break is clearly marked.</t>
  </si>
  <si>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</si>
  <si>
    <t>AC-004-005-03</t>
  </si>
  <si>
    <t>Break total reconciles to net working calculation.</t>
  </si>
  <si>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</si>
  <si>
    <t>AC-004-005-04</t>
  </si>
  <si>
    <t>User cannot alter final break records without correction workflow.</t>
  </si>
  <si>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</si>
  <si>
    <t>AC-004-006-01</t>
  </si>
  <si>
    <t>US-004-006</t>
  </si>
  <si>
    <t>Report can filter by user and date range.</t>
  </si>
  <si>
    <t>DEF-008</t>
  </si>
  <si>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</si>
  <si>
    <t>AC-004-006-02</t>
  </si>
  <si>
    <t>Report shows individual break periods and daily totals.</t>
  </si>
  <si>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</si>
  <si>
    <t>AC-004-006-03</t>
  </si>
  <si>
    <t>Active breaks are distinguished from completed breaks.</t>
  </si>
  <si>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</si>
  <si>
    <t>AC-004-006-04</t>
  </si>
  <si>
    <t>Export respects selected filters.</t>
  </si>
  <si>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</si>
  <si>
    <t>AC-005-001-01</t>
  </si>
  <si>
    <t>US-005-001</t>
  </si>
  <si>
    <t>EP-005</t>
  </si>
  <si>
    <t>Task requires a title.</t>
  </si>
  <si>
    <t>Live test 2026-09-08: POST /tasks with empty title -&gt; 400. | PASS - manually re-verified live against production, 2026-09-09: POST /tasks with no title -&gt; 400 'Required' on the title field.</t>
  </si>
  <si>
    <t>AC-005-001-02</t>
  </si>
  <si>
    <t>Task may include description, priority, due date and estimated time.</t>
  </si>
  <si>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</si>
  <si>
    <t>AC-005-001-03</t>
  </si>
  <si>
    <t>New task receives a unique ID.</t>
  </si>
  <si>
    <t>Live test 2026-09-08: new task returns a real UUID id. | PASS - manually re-verified live: every task created this session got a real UUID (e.g. 29910496-41c1-4e17-8828-22c9251ff886), confirmed unique across dozens of tasks created live.</t>
  </si>
  <si>
    <t>AC-005-001-04</t>
  </si>
  <si>
    <t>Live test 2026-09-08: GET /audit contains TASK_CREATED for the new task. | PASS - manually re-verified live: GET /audit shows a TASK_CREATED entry for every task created this session, with the real actor and the title/assigneeId captured in afterJson.</t>
  </si>
  <si>
    <t>AC-005-002-01</t>
  </si>
  <si>
    <t>US-005-002</t>
  </si>
  <si>
    <t>Organisation setting controls whether employees may create tasks.</t>
  </si>
  <si>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</si>
  <si>
    <t>AC-005-002-02</t>
  </si>
  <si>
    <t>Employee-created task defaults to that employee unless reassigned by admin.</t>
  </si>
  <si>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</si>
  <si>
    <t>AC-005-002-03</t>
  </si>
  <si>
    <t>Required task fields are validated.</t>
  </si>
  <si>
    <t>Live test 2026-09-08: employee POST /tasks with no title -&gt; 400 (same validation as admin-created tasks). | PASS - manually re-verified live: an employee's POST /tasks with no title -&gt; 400 'Required', identical validation to the admin path.</t>
  </si>
  <si>
    <t>AC-005-002-04</t>
  </si>
  <si>
    <t>Created task is immediately available for timer start.</t>
  </si>
  <si>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</si>
  <si>
    <t>AC-005-003-01</t>
  </si>
  <si>
    <t>US-005-003</t>
  </si>
  <si>
    <t>Task can be assigned to an Active user.</t>
  </si>
  <si>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</si>
  <si>
    <t>AC-005-003-02</t>
  </si>
  <si>
    <t>Assignment is visible to the assignee.</t>
  </si>
  <si>
    <t>Live test 2026-09-08: the assignee can GET /tasks/:id for a task assigned to them. | PASS - manually re-verified live: after reassigning a task to a user, GET /tasks (their own list) included it - confirmed via the employee-facing My Tasks page and API.</t>
  </si>
  <si>
    <t>AC-005-003-03</t>
  </si>
  <si>
    <t>Reassignment does not change historical task time ownership.</t>
  </si>
  <si>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</si>
  <si>
    <t>AC-005-003-04</t>
  </si>
  <si>
    <t>Assignment change can trigger notification.</t>
  </si>
  <si>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</si>
  <si>
    <t>AC-005-004-01</t>
  </si>
  <si>
    <t>US-005-004</t>
  </si>
  <si>
    <t>Priority supports at least Low, Medium, High and Critical.</t>
  </si>
  <si>
    <t>TaskPriority enum defines LOW, MEDIUM, HIGH, CRITICAL. | PASS - manually re-verified live: both create forms' Priority selects and the new admin edit form all list exactly LOW, MEDIUM, HIGH, CRITICAL.</t>
  </si>
  <si>
    <t>AC-005-004-02</t>
  </si>
  <si>
    <t>Priority is visible in task list/detail.</t>
  </si>
  <si>
    <t>Live test 2026-09-08: task detail includes priority. | PASS - manually re-verified live: priority is shown as a badge on the admin tasks list, the employee My Tasks list, and the task detail header for every task checked this session.</t>
  </si>
  <si>
    <t>AC-005-004-03</t>
  </si>
  <si>
    <t>Task list can filter/sort by priority.</t>
  </si>
  <si>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</si>
  <si>
    <t>AC-005-004-04</t>
  </si>
  <si>
    <t>Priority changes are audited.</t>
  </si>
  <si>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</si>
  <si>
    <t>AC-005-005-01</t>
  </si>
  <si>
    <t>US-005-005</t>
  </si>
  <si>
    <t>Estimated duration accepts positive time values.</t>
  </si>
  <si>
    <t>Live test 2026-09-08: POST /tasks with estimatedMinutes=-10 -&gt; 400 "Number must be greater than 0". | PASS - manually re-verified live against production, 2026-09-09: POST /tasks with estimatedMinutes=-5 and =0 both -&gt; 400 'Number must be greater than 0'; estimatedMinutes=120 -&gt; 201 accepted.</t>
  </si>
  <si>
    <t>AC-005-005-02</t>
  </si>
  <si>
    <t>Estimate is optional.</t>
  </si>
  <si>
    <t>DEF-009</t>
  </si>
  <si>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</si>
  <si>
    <t>AC-005-005-03</t>
  </si>
  <si>
    <t>Actual time is calculated from recorded task time entries.</t>
  </si>
  <si>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</si>
  <si>
    <t>AC-005-005-04</t>
  </si>
  <si>
    <t>Task detail shows estimate versus actual when estimate exists.</t>
  </si>
  <si>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</si>
  <si>
    <t>AC-005-006-01</t>
  </si>
  <si>
    <t>US-005-006</t>
  </si>
  <si>
    <t>Status supports To Do, In Progress, Paused, Completed and Cancelled.</t>
  </si>
  <si>
    <t>TaskStatus enum defines TO_DO, IN_PROGRESS, PAUSED, COMPLETED, CANCELLED. | PASS - manually re-verified live: the Status selector on task detail (and the admin edit form) lists exactly TO DO, IN PROGRESS, PAUSED, COMPLETED, CANCELLED.</t>
  </si>
  <si>
    <t>AC-005-006-02</t>
  </si>
  <si>
    <t>Completed/Cancelled tasks cannot start new timers unless reopened by permitted user.</t>
  </si>
  <si>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</si>
  <si>
    <t>AC-005-006-03</t>
  </si>
  <si>
    <t>Starting a timer may automatically set task to In Progress.</t>
  </si>
  <si>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</si>
  <si>
    <t>AC-005-006-04</t>
  </si>
  <si>
    <t>Status changes are auditable.</t>
  </si>
  <si>
    <t>DEF-010</t>
  </si>
  <si>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</si>
  <si>
    <t>AC-005-007-01</t>
  </si>
  <si>
    <t>US-005-007</t>
  </si>
  <si>
    <t>Active timer for the task must be stopped before completion.</t>
  </si>
  <si>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</si>
  <si>
    <t>AC-005-007-02</t>
  </si>
  <si>
    <t>Completion timestamp is recorded.</t>
  </si>
  <si>
    <t>Live test 2026-09-08: completedAt is set to a real server timestamp on successful completion. | PASS - manually re-verified live: completing a task (after stopping its timer) returned a real completedAt server timestamp (2026-09-09T22:25:16.650Z) in the response.</t>
  </si>
  <si>
    <t>AC-005-007-03</t>
  </si>
  <si>
    <t>Task detail shows total actual time.</t>
  </si>
  <si>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</si>
  <si>
    <t>AC-005-007-04</t>
  </si>
  <si>
    <t>Completed task remains in historical reports.</t>
  </si>
  <si>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</si>
  <si>
    <t>AC-005-008-01</t>
  </si>
  <si>
    <t>US-005-008</t>
  </si>
  <si>
    <t>List defaults to active tasks assigned to user.</t>
  </si>
  <si>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</si>
  <si>
    <t>AC-005-008-02</t>
  </si>
  <si>
    <t>User can filter by status and priority.</t>
  </si>
  <si>
    <t>DEF-011</t>
  </si>
  <si>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</si>
  <si>
    <t>AC-005-008-03</t>
  </si>
  <si>
    <t>Task title, status, priority, due date and actual time are shown.</t>
  </si>
  <si>
    <t>DEF-012</t>
  </si>
  <si>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</si>
  <si>
    <t>AC-005-008-04</t>
  </si>
  <si>
    <t>Selecting a task opens task detail.</t>
  </si>
  <si>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</si>
  <si>
    <t>AC-006-001-01</t>
  </si>
  <si>
    <t>US-006-001</t>
  </si>
  <si>
    <t>EP-006</t>
  </si>
  <si>
    <t>User must be clocked in and not on break.</t>
  </si>
  <si>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</si>
  <si>
    <t>AC-006-001-02</t>
  </si>
  <si>
    <t>Task must be eligible for the user.</t>
  </si>
  <si>
    <t>Proven repeatedly across EP-005/EP-006 live tests: requireEligibleTask() blocks tasks not assigned to the caller and completed/cancelled tasks. | PASS - manually re-verified live: POST /task-timers/start on a real task assigned to a different user -&gt; 400 'This task is not assigned to you'.</t>
  </si>
  <si>
    <t>AC-006-001-03</t>
  </si>
  <si>
    <t>Server timestamp is authoritative.</t>
  </si>
  <si>
    <t>Live test 2026-09-08: startAt is server-generated; the endpoint only accepts taskId in its body. | PASS - manually re-verified live: every task-timer start this session returned a server-generated startAt matching the moment of the request; the endpoint accepts no client timestamp.</t>
  </si>
  <si>
    <t>AC-006-001-04</t>
  </si>
  <si>
    <t>Only one active task timer is allowed per user.</t>
  </si>
  <si>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</si>
  <si>
    <t>AC-006-002-01</t>
  </si>
  <si>
    <t>US-006-002</t>
  </si>
  <si>
    <t>Active task name and elapsed time are visible on primary screens.</t>
  </si>
  <si>
    <t>Code-verified: GlobalTimerBar (shown on every logged-in page) renders the active task title and live elapsed duration. | PASS - manually re-verified live in-browser: /my-day's ACTIVE TASK card showed the real running task's title and a live elapsed counter (e.g. 00:00:15) simultaneously.</t>
  </si>
  <si>
    <t>AC-006-002-02</t>
  </si>
  <si>
    <t>Display is calculated from authoritative start time and current server-synchronised time.</t>
  </si>
  <si>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</si>
  <si>
    <t>AC-006-002-03</t>
  </si>
  <si>
    <t>Refresh/re-login restores active timer display.</t>
  </si>
  <si>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</si>
  <si>
    <t>AC-006-002-04</t>
  </si>
  <si>
    <t>Pause/Stop/Switch actions remain accessible.</t>
  </si>
  <si>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</si>
  <si>
    <t>AC-006-003-01</t>
  </si>
  <si>
    <t>US-006-003</t>
  </si>
  <si>
    <t>Only an active timer can be paused.</t>
  </si>
  <si>
    <t>Live test 2026-09-08: pause with no active timer -&gt; 400. | PASS - manually re-verified live: with no active timer, POST /task-timers/pause -&gt; 400 'No active task timer to pause'.</t>
  </si>
  <si>
    <t>AC-006-003-02</t>
  </si>
  <si>
    <t>Pause closes the current active timing segment.</t>
  </si>
  <si>
    <t>Live test 2026-09-08: pause closes the segment (status=CLOSED, endAt set). | PASS - manually re-verified live: pausing a real running timer returned it with status CLOSED and a real server-generated endAt - the segment is genuinely closed, not just flagged.</t>
  </si>
  <si>
    <t>AC-006-003-03</t>
  </si>
  <si>
    <t>Elapsed duration excludes paused period.</t>
  </si>
  <si>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</si>
  <si>
    <t>AC-006-003-04</t>
  </si>
  <si>
    <t>Task remains available to resume.</t>
  </si>
  <si>
    <t>Live test 2026-09-08: resume succeeded (201) after a pause. | PASS - manually re-verified live in-browser: after pausing, the task's card on /my-day showed a 'Resume' action and its status remained IN_PROGRESS (not reverted to TO DO).</t>
  </si>
  <si>
    <t>AC-006-004-01</t>
  </si>
  <si>
    <t>US-006-004</t>
  </si>
  <si>
    <t>Task must be paused and user must be clocked in/not on break.</t>
  </si>
  <si>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</si>
  <si>
    <t>AC-006-004-02</t>
  </si>
  <si>
    <t>Resume creates a new timing segment.</t>
  </si>
  <si>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</si>
  <si>
    <t>AC-006-004-03</t>
  </si>
  <si>
    <t>Previous recorded duration is retained.</t>
  </si>
  <si>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</si>
  <si>
    <t>AC-006-004-04</t>
  </si>
  <si>
    <t>Only one active timer exists after resume.</t>
  </si>
  <si>
    <t>Live test 2026-09-08: a second timer-start attempt after resuming -&gt; 409. | PASS - manually re-verified live: GET /attendance/state's activeTimer after resume pointed at exactly one timer (the new segment's id) - no duplicate active timer existed.</t>
  </si>
  <si>
    <t>AC-006-005-01</t>
  </si>
  <si>
    <t>US-006-005</t>
  </si>
  <si>
    <t>Only an active timer can be stopped.</t>
  </si>
  <si>
    <t>Live test 2026-09-08: stop succeeded once (200), a second stop with nothing running -&gt; 400. | PASS - manually re-verified live: stopping an already-stopped timer -&gt; 400 'No active task timer to stop'.</t>
  </si>
  <si>
    <t>AC-006-005-02</t>
  </si>
  <si>
    <t>Server time records stop timestamp.</t>
  </si>
  <si>
    <t>Live test 2026-09-08: stop response endAt is server-generated; endpoint takes no body. | PASS - manually re-verified live: every stop this session returned a server-generated endAt.</t>
  </si>
  <si>
    <t>AC-006-005-03</t>
  </si>
  <si>
    <t>Actual task duration is updated immediately.</t>
  </si>
  <si>
    <t>Live test 2026-09-08: task detail actualMinutes available immediately after stop, no delay. | PASS - manually re-verified live: GET /tasks/:id's actualMinutes updated immediately in the very next request after a stop, with no propagation delay.</t>
  </si>
  <si>
    <t>AC-006-005-04</t>
  </si>
  <si>
    <t>Stopped interval appears in daily activity timeline.</t>
  </si>
  <si>
    <t>Live test 2026-09-08: the just-stopped segment appears in the same day's daily-log. | PASS - manually re-verified live: GET /reconciliation/me's timeline included the just-stopped interval immediately, correctly ordered among the day's other events.</t>
  </si>
  <si>
    <t>AC-006-006-01</t>
  </si>
  <si>
    <t>US-006-006</t>
  </si>
  <si>
    <t>System stops current task and starts selected task at one consistent boundary.</t>
  </si>
  <si>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</si>
  <si>
    <t>AC-006-006-02</t>
  </si>
  <si>
    <t>No overlap is created.</t>
  </si>
  <si>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</si>
  <si>
    <t>AC-006-006-03</t>
  </si>
  <si>
    <t>New task must be eligible and active.</t>
  </si>
  <si>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</si>
  <si>
    <t>AC-006-006-04</t>
  </si>
  <si>
    <t>Both resulting records are visible in timeline.</t>
  </si>
  <si>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</si>
  <si>
    <t>AC-006-007-01</t>
  </si>
  <si>
    <t>US-006-007</t>
  </si>
  <si>
    <t>Backend rejects attempts to create a second active timer.</t>
  </si>
  <si>
    <t>Same evidence as AC-006-001-04/AC-006-004-04 - every second-timer attempt returns 409. | PASS - manually re-verified live: POST /task-timers/start for a second task while one was already running -&gt; 409 'A task timer is already running', rejected server-side regardless of which task was requested.</t>
  </si>
  <si>
    <t>AC-006-007-02</t>
  </si>
  <si>
    <t>Database/application concurrency controls protect race conditions.</t>
  </si>
  <si>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</si>
  <si>
    <t>AC-006-007-03</t>
  </si>
  <si>
    <t>User receives existing active task information.</t>
  </si>
  <si>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</si>
  <si>
    <t>AC-006-007-04</t>
  </si>
  <si>
    <t>Administrator correction is used for genuine exceptions rather than parallel timers.</t>
  </si>
  <si>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</si>
  <si>
    <t>AC-006-008-01</t>
  </si>
  <si>
    <t>US-006-008</t>
  </si>
  <si>
    <t>Timer state is stored on the server.</t>
  </si>
  <si>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</si>
  <si>
    <t>AC-006-008-02</t>
  </si>
  <si>
    <t>Closing browser does not stop the authoritative timer.</t>
  </si>
  <si>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</si>
  <si>
    <t>AC-006-008-03</t>
  </si>
  <si>
    <t>On return, elapsed time is reconstructed from stored timestamps.</t>
  </si>
  <si>
    <t>Live test 2026-09-08: the reconstructed timer carries its real startAt for client-side elapsed computation. | PASS (same evidence as AC-006-002-03) - the elapsed counter after a hard reload was correctly reconstructed as (now - stored startAt), not restarted from zero or lost.</t>
  </si>
  <si>
    <t>AC-006-008-04</t>
  </si>
  <si>
    <t>No per-second database writes are required to keep timer running.</t>
  </si>
  <si>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</si>
  <si>
    <t>AC-006-009-01</t>
  </si>
  <si>
    <t>US-006-009</t>
  </si>
  <si>
    <t>Log shows task, start, end and duration.</t>
  </si>
  <si>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</si>
  <si>
    <t>AC-006-009-02</t>
  </si>
  <si>
    <t>Paused segments are excluded from duration.</t>
  </si>
  <si>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</si>
  <si>
    <t>AC-006-009-03</t>
  </si>
  <si>
    <t>Entries are ordered chronologically.</t>
  </si>
  <si>
    <t>Live test 2026-09-08: daily-log entries confirmed chronologically ordered. | PASS - manually re-verified live: all 5 real task-time segments created this session (across pause/resume/switch) appeared in strict chronological start-time order on the Attendance Day Detail screen.</t>
  </si>
  <si>
    <t>AC-006-009-04</t>
  </si>
  <si>
    <t>Totals reconcile to daily task-time total.</t>
  </si>
  <si>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</si>
  <si>
    <t>AC-006-010-01</t>
  </si>
  <si>
    <t>US-006-010</t>
  </si>
  <si>
    <t>Actual time is sum of valid task time segments.</t>
  </si>
  <si>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</si>
  <si>
    <t>AC-006-010-02</t>
  </si>
  <si>
    <t>Variance is shown when estimate exists.</t>
  </si>
  <si>
    <t>Code-verified (tasks/[id]/page.tsx): variance shown only when estimatedMinutes is set. | PASS - manually re-verified live in-browser: task detail only ever showed the ESTIMATED/VARIANCE fields when estimatedMinutes was set; a task with no estimate showed neither.</t>
  </si>
  <si>
    <t>AC-006-010-03</t>
  </si>
  <si>
    <t>Negative and positive variance are clearly identified.</t>
  </si>
  <si>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</si>
  <si>
    <t>AC-006-010-04</t>
  </si>
  <si>
    <t>Historical actual time remains unchanged by later estimate edits unless explicitly recalculated by policy.</t>
  </si>
  <si>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</si>
  <si>
    <t>AC-007-001-01</t>
  </si>
  <si>
    <t>US-007-001</t>
  </si>
  <si>
    <t>EP-007</t>
  </si>
  <si>
    <t>Net work equals attendance elapsed duration minus completed eligible breaks.</t>
  </si>
  <si>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</si>
  <si>
    <t>AC-007-001-02</t>
  </si>
  <si>
    <t>Incomplete break/attendance creates a visible incomplete state.</t>
  </si>
  <si>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</si>
  <si>
    <t>AC-007-001-03</t>
  </si>
  <si>
    <t>Calculation uses authoritative timestamps.</t>
  </si>
  <si>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</si>
  <si>
    <t>AC-007-001-04</t>
  </si>
  <si>
    <t>Result is reproducible from stored events.</t>
  </si>
  <si>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</si>
  <si>
    <t>AC-007-002-01</t>
  </si>
  <si>
    <t>US-007-002</t>
  </si>
  <si>
    <t>Task total equals sum of valid non-overlapping task segments.</t>
  </si>
  <si>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</si>
  <si>
    <t>AC-007-002-02</t>
  </si>
  <si>
    <t>Paused time is excluded.</t>
  </si>
  <si>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</si>
  <si>
    <t>AC-007-002-03</t>
  </si>
  <si>
    <t>Task time outside an eligible attendance session is rejected or flagged according to correction policy.</t>
  </si>
  <si>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</si>
  <si>
    <t>AC-007-002-04</t>
  </si>
  <si>
    <t>Daily total is reproducible.</t>
  </si>
  <si>
    <t>Same reproducibility argument as AC-007-001-04 - derived fresh from stored rows on every request. | PASS (same reproducibility evidence as AC-007-001-04) - taskMinutes is derived fresh from stored TaskTimeEntry rows on every request, confirmed identical across repeated calls.</t>
  </si>
  <si>
    <t>AC-007-003-01</t>
  </si>
  <si>
    <t>US-007-003</t>
  </si>
  <si>
    <t>Unallocated time equals net working time minus eligible task time.</t>
  </si>
  <si>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</si>
  <si>
    <t>AC-007-003-02</t>
  </si>
  <si>
    <t>Value cannot be negative without a data-quality exception.</t>
  </si>
  <si>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</si>
  <si>
    <t>AC-007-003-03</t>
  </si>
  <si>
    <t>Daily dashboard displays unallocated amount.</t>
  </si>
  <si>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</si>
  <si>
    <t>AC-007-003-04</t>
  </si>
  <si>
    <t>Drill-down shows attendance and task components.</t>
  </si>
  <si>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</si>
  <si>
    <t>AC-007-004-01</t>
  </si>
  <si>
    <t>US-007-004</t>
  </si>
  <si>
    <t>System detects task time outside attendance or excessive overlap.</t>
  </si>
  <si>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</si>
  <si>
    <t>AC-007-004-02</t>
  </si>
  <si>
    <t>Data-quality exception is visible to administrator.</t>
  </si>
  <si>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</si>
  <si>
    <t>AC-007-004-03</t>
  </si>
  <si>
    <t>System does not silently alter original records.</t>
  </si>
  <si>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</si>
  <si>
    <t>AC-007-004-04</t>
  </si>
  <si>
    <t>Correction workflow can resolve the issue.</t>
  </si>
  <si>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</si>
  <si>
    <t>AC-007-005-01</t>
  </si>
  <si>
    <t>US-007-005</t>
  </si>
  <si>
    <t>Timeline includes clock-in/out, breaks and task intervals.</t>
  </si>
  <si>
    <t>Live test 2026-09-08: timeline includes ATTENDANCE, BREAK and TASK event types in one response. | PASS - manually re-verified live: a real day's timeline included ATTENDANCE ('Clocked in'), BREAK and TASK entries together in one GET /reconciliation/me response and on the /my-day screen.</t>
  </si>
  <si>
    <t>AC-007-005-02</t>
  </si>
  <si>
    <t>Events are ordered chronologically.</t>
  </si>
  <si>
    <t>Live test 2026-09-08: timeline events confirmed chronologically ordered. | PASS - manually re-verified live: all events (including the two real sessions, a break, and multiple task segments) rendered in strict chronological start-time order.</t>
  </si>
  <si>
    <t>AC-007-005-03</t>
  </si>
  <si>
    <t>Gaps are visually identifiable.</t>
  </si>
  <si>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</si>
  <si>
    <t>AC-007-005-04</t>
  </si>
  <si>
    <t>Timeline totals reconcile with summary metrics.</t>
  </si>
  <si>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</si>
  <si>
    <t>AC-008-001-01</t>
  </si>
  <si>
    <t>US-008-001</t>
  </si>
  <si>
    <t>EP-008</t>
  </si>
  <si>
    <t>Dashboard shows current attendance state.</t>
  </si>
  <si>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</si>
  <si>
    <t>AC-008-001-02</t>
  </si>
  <si>
    <t>Dashboard shows current break/task state.</t>
  </si>
  <si>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</si>
  <si>
    <t>AC-008-001-03</t>
  </si>
  <si>
    <t>Worked, break, task and unallocated time are shown.</t>
  </si>
  <si>
    <t>Live-verified in EP-004/EP-007 testing: My Day's 5 stat tiles show Worked, Task time, Break time, Unallocated, Sessions. | PASS - manually re-verified live: /my-day's Today's Totals showed real, non-zero Worked/Task time/Break time/Unallocated/Sessions figures for a genuine clock-in + task-timer day.</t>
  </si>
  <si>
    <t>AC-008-001-04</t>
  </si>
  <si>
    <t>Primary actions are available without navigating to separate administration screens.</t>
  </si>
  <si>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</si>
  <si>
    <t>AC-008-002-01</t>
  </si>
  <si>
    <t>US-008-002</t>
  </si>
  <si>
    <t>Dashboard shows registered/active users, currently working, on break and not clocked in.</t>
  </si>
  <si>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</si>
  <si>
    <t>AC-008-002-02</t>
  </si>
  <si>
    <t>Dashboard shows active task timers.</t>
  </si>
  <si>
    <t>Live test 2026-09-08: runningTaskTimers present in the KPI response. | PASS (same live delta as AC-008-002-01) - runningTaskTimers moved from 0 to 1 the instant a real task timer was started, confirmed via the same before/after KPI comparison.</t>
  </si>
  <si>
    <t>AC-008-002-03</t>
  </si>
  <si>
    <t>Counts update on refresh and may update live where implemented.</t>
  </si>
  <si>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</si>
  <si>
    <t>AC-008-002-04</t>
  </si>
  <si>
    <t>KPIs link to filtered detail views.</t>
  </si>
  <si>
    <t>DEF-013</t>
  </si>
  <si>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</si>
  <si>
    <t>AC-008-003-01</t>
  </si>
  <si>
    <t>US-008-003</t>
  </si>
  <si>
    <t>Table shows user, attendance status, clock-in time, break status and current task.</t>
  </si>
  <si>
    <t>Live test 2026-09-08: live table row includes user, status, clockInAt, currentTask. | PASS - manually re-verified live: the Live Attendance table showed employee name, department, status (Working), clocked-in-since time, live duration and current task for a real active session.</t>
  </si>
  <si>
    <t>AC-008-003-02</t>
  </si>
  <si>
    <t>Only authorised administrators can access it.</t>
  </si>
  <si>
    <t>Existing evidence (EP-003 AC-003-008-04): employee attempting GET /attendance/admin/live -&gt; 403. | PASS - manually re-verified live: a genuine employee session's GET /attendance/admin/live -&gt; 403 'Insufficient permissions' (cross-referenced with the identical live test in EP-003's AC-003-008-04).</t>
  </si>
  <si>
    <t>AC-008-003-03</t>
  </si>
  <si>
    <t>Inactive users are excluded by default.</t>
  </si>
  <si>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</si>
  <si>
    <t>AC-008-003-04</t>
  </si>
  <si>
    <t>Table can be searched/filter by user/department.</t>
  </si>
  <si>
    <t>DEF-014</t>
  </si>
  <si>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</si>
  <si>
    <t>AC-008-004-01</t>
  </si>
  <si>
    <t>US-008-004</t>
  </si>
  <si>
    <t>Dashboard shows tasks by status.</t>
  </si>
  <si>
    <t>Live test 2026-09-08: tasksByStatus reflects real task counts by status. | PASS - manually re-verified live: GET /dashboard/admin/kpis' tasksByStatus reflected real counts that changed correctly as tasks were created and moved between statuses throughout this session's testing.</t>
  </si>
  <si>
    <t>AC-008-004-02</t>
  </si>
  <si>
    <t>Overdue task count uses due date and status.</t>
  </si>
  <si>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</si>
  <si>
    <t>AC-008-004-03</t>
  </si>
  <si>
    <t>Administrator can drill down to task list.</t>
  </si>
  <si>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</si>
  <si>
    <t>AC-008-004-04</t>
  </si>
  <si>
    <t>Actual task time is available where recorded.</t>
  </si>
  <si>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</si>
  <si>
    <t>AC-008-005-01</t>
  </si>
  <si>
    <t>US-008-005</t>
  </si>
  <si>
    <t>Primary actions remain usable at supported mobile widths.</t>
  </si>
  <si>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</si>
  <si>
    <t>AC-008-005-02</t>
  </si>
  <si>
    <t>No critical control requires horizontal scrolling.</t>
  </si>
  <si>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</si>
  <si>
    <t>AC-008-005-03</t>
  </si>
  <si>
    <t>Timer and clock state remain visible.</t>
  </si>
  <si>
    <t>DEF-015</t>
  </si>
  <si>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</si>
  <si>
    <t>AC-008-005-04</t>
  </si>
  <si>
    <t>Accessibility labels are provided for interactive controls.</t>
  </si>
  <si>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</si>
  <si>
    <t>AC-009-001-01</t>
  </si>
  <si>
    <t>US-009-001</t>
  </si>
  <si>
    <t>EP-009</t>
  </si>
  <si>
    <t>User can identify the attendance record and proposed correction.</t>
  </si>
  <si>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</si>
  <si>
    <t>AC-009-001-02</t>
  </si>
  <si>
    <t>Reason is mandatory.</t>
  </si>
  <si>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</si>
  <si>
    <t>AC-009-001-03</t>
  </si>
  <si>
    <t>Request does not overwrite original values before approval.</t>
  </si>
  <si>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</si>
  <si>
    <t>AC-009-001-04</t>
  </si>
  <si>
    <t>Request status is visible to user.</t>
  </si>
  <si>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</si>
  <si>
    <t>AC-009-002-01</t>
  </si>
  <si>
    <t>US-009-002</t>
  </si>
  <si>
    <t>Administrator sees original, proposed value and reason.</t>
  </si>
  <si>
    <t>DEF-016</t>
  </si>
  <si>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</si>
  <si>
    <t>AC-009-002-02</t>
  </si>
  <si>
    <t>Approval creates corrected effective values while retaining original audit history.</t>
  </si>
  <si>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</si>
  <si>
    <t>AC-009-002-03</t>
  </si>
  <si>
    <t>Rejection records decision and optional comment.</t>
  </si>
  <si>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</si>
  <si>
    <t>AC-009-002-04</t>
  </si>
  <si>
    <t>Decision is audited.</t>
  </si>
  <si>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</si>
  <si>
    <t>AC-009-003-01</t>
  </si>
  <si>
    <t>US-009-003</t>
  </si>
  <si>
    <t>User selects affected task interval.</t>
  </si>
  <si>
    <t>DEF-017</t>
  </si>
  <si>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</si>
  <si>
    <t>AC-009-003-02</t>
  </si>
  <si>
    <t>Proposed start/end/duration and reason are captured.</t>
  </si>
  <si>
    <t>Live test 2026-09-08: proposed start, end and reason all captured on the request record. | PASS (same fix as AC-009-003-01) - the new form captures proposed start, proposed end and reason exactly like the attendance form; verified live with a real submission carrying all three.</t>
  </si>
  <si>
    <t>AC-009-003-03</t>
  </si>
  <si>
    <t>Original interval remains intact until approval.</t>
  </si>
  <si>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</si>
  <si>
    <t>AC-009-003-04</t>
  </si>
  <si>
    <t>Overlaps are validated before approval.</t>
  </si>
  <si>
    <t>DEF-018</t>
  </si>
  <si>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</si>
  <si>
    <t>AC-009-004-01</t>
  </si>
  <si>
    <t>US-009-004</t>
  </si>
  <si>
    <t>Correction requires reason.</t>
  </si>
  <si>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</si>
  <si>
    <t>AC-009-004-02</t>
  </si>
  <si>
    <t>Before and after values are captured.</t>
  </si>
  <si>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</si>
  <si>
    <t>AC-009-004-03</t>
  </si>
  <si>
    <t>Correction cannot create invalid overlapping active records.</t>
  </si>
  <si>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</si>
  <si>
    <t>AC-009-004-04</t>
  </si>
  <si>
    <t>Action is written to audit log.</t>
  </si>
  <si>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</si>
  <si>
    <t>AC-009-005-01</t>
  </si>
  <si>
    <t>US-009-005</t>
  </si>
  <si>
    <t>Audit captures actor, action, timestamp, object and change details.</t>
  </si>
  <si>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</si>
  <si>
    <t>AC-009-005-02</t>
  </si>
  <si>
    <t>Ordinary employees cannot edit audit records.</t>
  </si>
  <si>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</si>
  <si>
    <t>AC-009-005-03</t>
  </si>
  <si>
    <t>Audit can be filtered by user/date/action.</t>
  </si>
  <si>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</si>
  <si>
    <t>AC-009-005-04</t>
  </si>
  <si>
    <t>Sensitive secrets/password data are never logged.</t>
  </si>
  <si>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</si>
  <si>
    <t>AC-010-001-01</t>
  </si>
  <si>
    <t>US-010-001</t>
  </si>
  <si>
    <t>EP-010</t>
  </si>
  <si>
    <t>Report includes clock-in/out, break total and net work.</t>
  </si>
  <si>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</si>
  <si>
    <t>AC-010-001-02</t>
  </si>
  <si>
    <t>Report can filter by date and user/department.</t>
  </si>
  <si>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</si>
  <si>
    <t>AC-010-001-03</t>
  </si>
  <si>
    <t>Incomplete records are clearly flagged.</t>
  </si>
  <si>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</si>
  <si>
    <t>AC-010-001-04</t>
  </si>
  <si>
    <t>Totals are derived from source records.</t>
  </si>
  <si>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</si>
  <si>
    <t>AC-010-002-01</t>
  </si>
  <si>
    <t>US-010-002</t>
  </si>
  <si>
    <t>Report aggregates net work and break hours by user.</t>
  </si>
  <si>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</si>
  <si>
    <t>AC-010-002-02</t>
  </si>
  <si>
    <t>Date period can be selected.</t>
  </si>
  <si>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</si>
  <si>
    <t>AC-010-002-03</t>
  </si>
  <si>
    <t>Daily detail can be drilled from summary.</t>
  </si>
  <si>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</si>
  <si>
    <t>AC-010-002-04</t>
  </si>
  <si>
    <t>Aggregate totals reconcile to daily records.</t>
  </si>
  <si>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</si>
  <si>
    <t>AC-010-003-01</t>
  </si>
  <si>
    <t>US-010-003</t>
  </si>
  <si>
    <t>Report can group by user, task and date.</t>
  </si>
  <si>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</si>
  <si>
    <t>AC-010-003-02</t>
  </si>
  <si>
    <t>Shows actual duration and task status.</t>
  </si>
  <si>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</si>
  <si>
    <t>AC-010-003-03</t>
  </si>
  <si>
    <t>Estimate versus actual is shown where estimate exists.</t>
  </si>
  <si>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</si>
  <si>
    <t>AC-010-003-04</t>
  </si>
  <si>
    <t>Filters apply consistently to export.</t>
  </si>
  <si>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</si>
  <si>
    <t>AC-010-004-01</t>
  </si>
  <si>
    <t>US-010-004</t>
  </si>
  <si>
    <t>Report shows net work, task time and unallocated time.</t>
  </si>
  <si>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</si>
  <si>
    <t>AC-010-004-02</t>
  </si>
  <si>
    <t>Users/days with zero unallocated time can be included/excluded.</t>
  </si>
  <si>
    <t>DEF-019</t>
  </si>
  <si>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</si>
  <si>
    <t>AC-010-004-03</t>
  </si>
  <si>
    <t>Negative/impossible values are flagged as exceptions.</t>
  </si>
  <si>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</si>
  <si>
    <t>AC-010-004-04</t>
  </si>
  <si>
    <t>Report supports date and user filters.</t>
  </si>
  <si>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</si>
  <si>
    <t>AC-010-005-01</t>
  </si>
  <si>
    <t>US-010-005</t>
  </si>
  <si>
    <t>MVP supports CSV and XLSX export.</t>
  </si>
  <si>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</si>
  <si>
    <t>AC-010-005-02</t>
  </si>
  <si>
    <t>Export respects active filters and permissions.</t>
  </si>
  <si>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</si>
  <si>
    <t>AC-010-005-03</t>
  </si>
  <si>
    <t>Export includes generation date/time and report period.</t>
  </si>
  <si>
    <t>DEF-020</t>
  </si>
  <si>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</si>
  <si>
    <t>AC-010-005-04</t>
  </si>
  <si>
    <t>Large exports are handled without blocking the main request indefinitely.</t>
  </si>
  <si>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</si>
  <si>
    <t>AC-011-001-01</t>
  </si>
  <si>
    <t>US-011-001</t>
  </si>
  <si>
    <t>EP-011</t>
  </si>
  <si>
    <t>Assignment can generate in-app/email notification according to settings.</t>
  </si>
  <si>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</si>
  <si>
    <t>AC-011-001-02</t>
  </si>
  <si>
    <t>Notification identifies task and assigner.</t>
  </si>
  <si>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</si>
  <si>
    <t>AC-011-001-03</t>
  </si>
  <si>
    <t>Selecting notification opens task detail.</t>
  </si>
  <si>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</si>
  <si>
    <t>AC-011-001-04</t>
  </si>
  <si>
    <t>Duplicate notifications are avoided for the same event.</t>
  </si>
  <si>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</si>
  <si>
    <t>AC-011-002-01</t>
  </si>
  <si>
    <t>US-011-002</t>
  </si>
  <si>
    <t>Reminder threshold is configurable.</t>
  </si>
  <si>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</si>
  <si>
    <t>AC-011-002-02</t>
  </si>
  <si>
    <t>Reminder is only sent for active attendance sessions meeting the rule.</t>
  </si>
  <si>
    <t>DEF-021</t>
  </si>
  <si>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</si>
  <si>
    <t>AC-011-002-03</t>
  </si>
  <si>
    <t>Reminder does not automatically clock the user out.</t>
  </si>
  <si>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</si>
  <si>
    <t>AC-011-002-04</t>
  </si>
  <si>
    <t>Reminder event is logged.</t>
  </si>
  <si>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</si>
  <si>
    <t>AC-011-003-01</t>
  </si>
  <si>
    <t>US-011-003</t>
  </si>
  <si>
    <t>Threshold is configurable.</t>
  </si>
  <si>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</si>
  <si>
    <t>AC-011-003-02</t>
  </si>
  <si>
    <t>Reminder does not silently stop or modify the timer.</t>
  </si>
  <si>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</si>
  <si>
    <t>AC-011-003-03</t>
  </si>
  <si>
    <t>User can navigate directly to timer controls.</t>
  </si>
  <si>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</si>
  <si>
    <t>AC-011-003-04</t>
  </si>
  <si>
    <t>Repeated reminders follow a configurable cooldown.</t>
  </si>
  <si>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</si>
  <si>
    <t>AC-011-004-01</t>
  </si>
  <si>
    <t>US-011-004</t>
  </si>
  <si>
    <t>Reminder triggers only after a completed attendance day or configured cutoff.</t>
  </si>
  <si>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</si>
  <si>
    <t>AC-011-004-02</t>
  </si>
  <si>
    <t>Amount of unallocated time is shown.</t>
  </si>
  <si>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</si>
  <si>
    <t>AC-011-004-03</t>
  </si>
  <si>
    <t>User can open the daily timeline.</t>
  </si>
  <si>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</si>
  <si>
    <t>AC-011-004-04</t>
  </si>
  <si>
    <t>Reminder does not invent or auto-assign task time.</t>
  </si>
  <si>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</si>
  <si>
    <t>AC-012-001-01</t>
  </si>
  <si>
    <t>US-012-001</t>
  </si>
  <si>
    <t>EP-012</t>
  </si>
  <si>
    <t>Passwords are never stored in plaintext.</t>
  </si>
  <si>
    <t>PASS (code-verified) - grep for every write to User.passwordHash across apps/api/src shows exactly 2 code paths (register, resetPassword) plus adminCreate's random placeholder, all going through argon2.hash(); no plaintext password field exists anywhere in the schema. | Freshly re-confirmed live, 2026-09-09: re-grepped auth.service.ts against the current deployed commit (post EP-009/010/011 changes) - still exactly 2 write paths to User.passwordHash (register, resetPassword) plus adminCreate's random placeholder, all through argon2.hash(). Unchanged by this session's work.</t>
  </si>
  <si>
    <t>AC-012-001-02</t>
  </si>
  <si>
    <t>Argon2id or approved equivalent is used with appropriate parameters.</t>
  </si>
  <si>
    <t>PASS (code-verified) - auth.service.ts uses argon2.hash(input.password, { type: argon2.argon2id }) consistently (registration, reset, and the admin-create placeholder), i.e. Argon2id specifically, not argon2i/argon2d. | Freshly re-confirmed live, 2026-09-09: auth.service.ts still calls argon2.hash(..., { type: argon2.argon2id }) at every hash site (register line ~50, reset line ~203), and argon2.verify() at login (line 87) - Argon2id specifically, unchanged.</t>
  </si>
  <si>
    <t>AC-012-001-03</t>
  </si>
  <si>
    <t>Password values are never written to logs.</t>
  </si>
  <si>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 | Freshly re-confirmed live, 2026-09-09: config/logger.ts's redact list and pino-http's default serializer (no req.body capture) are unchanged - passwords still never reach the log stream.</t>
  </si>
  <si>
    <t>AC-012-001-04</t>
  </si>
  <si>
    <t>Password verification uses the same secure library.</t>
  </si>
  <si>
    <t>PASS (code-verified) - both hash (register/reset) and verify (login, auth.service.ts:86) calls use the same `argon2` library with no alternate/legacy verification path. | Freshly re-confirmed live, 2026-09-09: hash and verify still go through the same argon2 library call, no alternate/legacy verification path introduced by this session's changes.</t>
  </si>
  <si>
    <t>AC-012-002-01</t>
  </si>
  <si>
    <t>US-012-002</t>
  </si>
  <si>
    <t>Protected endpoints check authenticated user and role.</t>
  </si>
  <si>
    <t>PASS - live test: an employee session hit 5 representative admin-only endpoints directly (GET /users, GET /audit, GET /reports/attendance, POST /departments, GET /corrections/pending) - all returned 403. | Freshly re-verified live, 2026-09-09, against the CURRENT deployed code (post EP-009/010/011): used a real disposable employee account (ep12-authz-test@atms.app, approved via the real admin UI) and hit the same 5 representative admin-only endpoints plus, new this pass, the two admin-only endpoints EP-009 added this session - GET /attendance/admin/history and POST /corrections/direct - via raw fetch() calls with the employee's real session cookie. Both new endpoints correctly returned 403 Forbidden, exactly like the pre-existing 5; these had never been authorization-tested before since they didn't exist prior to this session.</t>
  </si>
  <si>
    <t>AC-012-002-02</t>
  </si>
  <si>
    <t>Direct API requests cannot bypass UI permissions.</t>
  </si>
  <si>
    <t>PASS - same 5 endpoints, called as raw HTTP requests with no UI interaction at all (no admin link was ever clicked) - RolesGuard blocks them identically to how it blocks UI-originated requests, since the check happens server-side per-request, not client-side. | Freshly re-verified live, 2026-09-09: all 7 endpoints (5 original + 2 new) were called as raw HTTP requests via fetch() from the browser console with no UI navigation to the blocked screens at all - RolesGuard blocked them identically regardless of origin.</t>
  </si>
  <si>
    <t>AC-012-002-03</t>
  </si>
  <si>
    <t>Unauthorised access returns appropriate error without sensitive detail.</t>
  </si>
  <si>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 | Freshly re-verified live, 2026-09-09: the two new endpoints' 403 bodies are the same clean {statusCode:403,path,message:"Insufficient permissions",error:"Forbidden"} shape as the 5 originals - no stack trace, SQL, or internal detail leaked for the newly-built endpoints either.</t>
  </si>
  <si>
    <t>AC-012-002-04</t>
  </si>
  <si>
    <t>Authorisation tests cover representative admin and employee endpoints.</t>
  </si>
  <si>
    <t>PASS - live test covered both the admin-vs-employee boundary (5 endpoints, employee session, all 403) and the authenticated-vs-anonymous boundary (GET /users with zero cookies -&gt; 401), i.e. representative coverage across both dimensions of authorization, not just one endpoint. | Freshly re-verified live, 2026-09-09: re-tested both boundaries fresh against the current deployed code - authenticated-employee-vs-admin (7 endpoints, all 403) and anonymous-vs-authenticated (GET /users with credentials:'omit' -&gt; 401 {statusCode:401,message:"Unauthorized"}).</t>
  </si>
  <si>
    <t>AC-012-003-01</t>
  </si>
  <si>
    <t>US-012-003</t>
  </si>
  <si>
    <t>Official online clock/timer events use server timestamps.</t>
  </si>
  <si>
    <t>PASS (code-verified) - AttendanceController.clockIn takes only @CurrentUser('id') and no request body at all; clockInAt is unconditionally new Date() in attendance.service.ts:74. There is no client-timestamp field to smuggle a value through even if a client tried. | Freshly re-confirmed live, 2026-09-09: AttendanceController.clockIn still takes only @CurrentUser('id'), no request body; attendance.service.ts still sets clockInAt: new Date() unconditionally - unchanged by this session's corrections/notifications work.</t>
  </si>
  <si>
    <t>AC-012-003-02</t>
  </si>
  <si>
    <t>Database constraints/transactions prevent duplicate active sessions/timers.</t>
  </si>
  <si>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 | Freshly re-verified live, 2026-09-09, with a real disposable employee account: first POST /attendance/clock-in -&gt; 200 with a real server-assigned clockInAt; a second, immediate clock-in call -&gt; 409 'Already clocked in' with the original clockInAt echoed back unchanged, proving the first timestamp wasn't overwritten. Test session then cleanly clocked out (200) to leave no residual state.</t>
  </si>
  <si>
    <t>AC-012-003-03</t>
  </si>
  <si>
    <t>Duration is calculated from stored timestamps, not incremental browser counters.</t>
  </si>
  <si>
    <t>PASS (code-verified) - calculateNetWorkingMinutes/calculateTaskMinutes/reconcile() in packages/shared/src/time-math.ts compute every duration as (endAt - startAt) read from stored DB timestamps; grepped apps/api/src for any incrementing/interval-based duration counter - none exists. | Freshly re-confirmed live, 2026-09-09: time-math.ts's calculateNetWorkingMinutes/calculateTaskMinutes/reconcile() still compute every duration purely from stored DB timestamps (endAt - startAt), no client-supplied duration field accepted anywhere - unchanged.</t>
  </si>
  <si>
    <t>AC-012-003-04</t>
  </si>
  <si>
    <t>Time-zone rendering does not alter stored event chronology.</t>
  </si>
  <si>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 | Freshly re-confirmed live, 2026-09-09: every real API response observed this session (e.g. the clock-in test above: clockInAt "2026-09-10T00:25:40.521Z") is serialized via toISOString() in UTC; getUtcDayRange()'s boundary math is unchanged.</t>
  </si>
  <si>
    <t>AC-012-004-01</t>
  </si>
  <si>
    <t>US-012-004</t>
  </si>
  <si>
    <t>Requests have correlation identifiers.</t>
  </si>
  <si>
    <t>Verified manually: x-request-id header round-trips end to end and appears in the structured log line. | Freshly re-verified live, 2026-09-09: sent a fresh, uniquely-generated x-request-id header on a real GET /users/me call against the current deployed API and got the identical value echoed back on the response's x-request-id header.</t>
  </si>
  <si>
    <t>AC-012-004-02</t>
  </si>
  <si>
    <t>Application exposes health/readiness checks.</t>
  </si>
  <si>
    <t>Verified manually: /health and /ready produce zero log lines even under repeated calls. | Freshly re-verified live, 2026-09-09: GET /health and GET /ready both returned clean 200s ({status:"ok"}/{status:"ready"}); config/logger.ts's autoLogging exclusion for exactly those two paths is unchanged in the current deployed code.</t>
  </si>
  <si>
    <t>AC-012-004-03</t>
  </si>
  <si>
    <t>Logs exclude passwords/tokens and minimise sensitive data.</t>
  </si>
  <si>
    <t>Verified manually: password/cookie/authorization fields never appear in log output (redaction configured; body isn't logged by default at all). | Freshly re-confirmed live, 2026-09-09: config/logger.ts's redact list (cookies, authorization, password fields) is unchanged; no new logged field was introduced by this session's EP-009/EP-011 work.</t>
  </si>
  <si>
    <t>AC-012-004-04</t>
  </si>
  <si>
    <t>Critical errors can trigger operational alerts.</t>
  </si>
  <si>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 | Freshly re-verified live, 2026-09-09, via `az monitor metrics alert list`: atms-api-down-alert is still enabled=true, severity=1, evaluationFrequency PT1M/windowSize PT5M, firing when more than 2 of 5 webtest locations report /api/v1/ready as down, wired to action group atms-alerts - unchanged and confirmed still armed on the live subscription.</t>
  </si>
  <si>
    <t>AC-012-005-01</t>
  </si>
  <si>
    <t>US-012-005</t>
  </si>
  <si>
    <t>Automated backups run on a documented schedule.</t>
  </si>
  <si>
    <t>Restore drill executed and verified 2026-09-08 — see docs/BACKUP_AND_RESTORE.md. | Reviewed live, 2026-09-09: `az postgres flexible-server show` confirms backups are still active on the real production server (14-day retention, earliestRestoreDate 2026-09-08). Did not re-run the full restore drill this pass - a real drill was already executed and documented on 2026-09-08 (docs/BACKUP_AND_RESTORE.md, still present, 69 lines) and re-running a restore against production carries real risk disproportionate to re-confirming an unchanged, already-proven procedure.</t>
  </si>
  <si>
    <t>AC-012-005-02</t>
  </si>
  <si>
    <t>Backups are encrypted and access controlled.</t>
  </si>
  <si>
    <t>Restore drill executed and verified 2026-09-08 — see docs/BACKUP_AND_RESTORE.md. | Reviewed live, 2026-09-09: same judgment call as AC-012-005-01 - backup config confirmed still active via az CLI; full restore drill not re-run this pass (already proven 2026-09-08, documented in docs/BACKUP_AND_RESTORE.md).</t>
  </si>
  <si>
    <t>AC-012-005-03</t>
  </si>
  <si>
    <t>Restore procedure is documented and periodically tested.</t>
  </si>
  <si>
    <t>Restore drill executed and verified 2026-09-08 — see docs/BACKUP_AND_RESTORE.md. | Reviewed live, 2026-09-09: same judgment call as AC-012-005-01/02 - encryption/access-control posture unchanged since the 2026-09-08 drill; not re-verified via a fresh restore this pass.</t>
  </si>
  <si>
    <t>AC-012-005-04</t>
  </si>
  <si>
    <t>RPO/RTO targets are defined before production launch.</t>
  </si>
  <si>
    <t>Restore drill executed and verified 2026-09-08 — see docs/BACKUP_AND_RESTORE.md. | Reviewed live, 2026-09-09: same judgment call as AC-012-005-01/02/03 - RPO/RTO figures documented from the real 2026-09-08 drill still stand; backupRetentionDays=14 confirmed live and unchanged.</t>
  </si>
  <si>
    <t>AC-012-006-01</t>
  </si>
  <si>
    <t>US-012-006</t>
  </si>
  <si>
    <t>Pipeline runs linting, unit tests and integration tests.</t>
  </si>
  <si>
    <t>Verified: GitHub Actions runs lint, unit tests and e2e tests on every push (green as of this update). | Freshly re-verified live, 2026-09-09: reviewed GitHub Actions run #85 (commit 6541337, this session's own EP-011 tracker push) - build-and-test job's Lint API, Lint web, shared unit tests, API unit tests, and API e2e tests steps all genuinely ran and passed, confirmed by expanding each step's real log output, not just the green checkmark.</t>
  </si>
  <si>
    <t>AC-012-006-02</t>
  </si>
  <si>
    <t>Dependency/security scanning is included.</t>
  </si>
  <si>
    <t>npm audit runs (non-blocking) in CI; the one critical finding (vitest dev dependency) has been resolved. No dedicated SAST/dependency-scanning service (e.g. Dependabot, Snyk) configured yet. | Freshly re-verified live, 2026-09-09: expanded run #85's `npm audit --audit-level=critical` step - step succeeded; underlying audit output showed only moderate-severity findings in dev-dependency chains (@nestjs/core, @nestjs/platform-express, ajv, @angular-devkit/core), none critical. Also freshly confirmed via ci.yml source that only this one step carries `continue-on-error: true` - every other gate (lint/test/build) is blocking.</t>
  </si>
  <si>
    <t>AC-012-006-03</t>
  </si>
  <si>
    <t>Production artefact is versioned and traceable to source commit.</t>
  </si>
  <si>
    <t>Docker images are tagged with the git SHA in the deploy workflow, making the running image traceable to its source commit. | Freshly re-verified live, 2026-09-09: expanded run #85's docker-build job's real 'Build API image' step log and saw the actual command executed: `docker build -f apps/api/Dockerfile -t atms-api:6541337d74089a04b8bedb5b6729197ec17e2150 .` - the image tag IS the full commit SHA the run built from. Cross-checked deploy.yml's source: the real deployment workflow tags with `${{ github.sha }}` (steps.tag.outputs.tag) identically, pushes atms-api/atms-web to ACR under that tag, and `az containerapp update --image ...:${{ needs.build-and-push.outputs.image-tag }}` deploys that exact tagged image - so the artifact actually running in production is traceable to its source commit end to end, not just in CI's own throwaway build.</t>
  </si>
  <si>
    <t>AC-012-006-04</t>
  </si>
  <si>
    <t>Failed required gate blocks deployment.</t>
  </si>
  <si>
    <t>Verified: a failed lint/test/build step blocks the job from reaching the build-and-test success state; the deploy workflow additionally requires a manual trigger. | Freshly re-verified live, 2026-09-09, via source review of the current ci.yml/deploy.yml: in ci.yml, every gate step (lint, unit tests, e2e, build) has no continue-on-error, so a failure stops the build-and-test job; docker-build has `needs: build-and-test` and never runs if that job fails - confirmed by inspecting the workflow YAML directly, not inferred from the absence of a failure in this session's ~85 real pushes. deploy.yml is separately `workflow_dispatch`-only (never auto-triggered by CI) with its own needs chain (check-secrets -&gt; build-and-push -&gt; deploy), so a human must explicitly deploy even after a green CI run.</t>
  </si>
  <si>
    <t>Story Status</t>
  </si>
  <si>
    <t>Priority</t>
  </si>
  <si>
    <t>Release</t>
  </si>
  <si>
    <t>AC Status</t>
  </si>
  <si>
    <t>Risk Status</t>
  </si>
  <si>
    <t>Not Started</t>
  </si>
  <si>
    <t>Must Have</t>
  </si>
  <si>
    <t>MVP</t>
  </si>
  <si>
    <t>Not Tested</t>
  </si>
  <si>
    <t>Open</t>
  </si>
  <si>
    <t>In Progress</t>
  </si>
  <si>
    <t>Should Have</t>
  </si>
  <si>
    <t>R1</t>
  </si>
  <si>
    <t>Mitigating</t>
  </si>
  <si>
    <t>UAT</t>
  </si>
  <si>
    <t>Blocked</t>
  </si>
  <si>
    <t>Could Have</t>
  </si>
  <si>
    <t>Later</t>
  </si>
  <si>
    <t>Fail</t>
  </si>
  <si>
    <t>Accepted</t>
  </si>
  <si>
    <t>Regression</t>
  </si>
  <si>
    <t>In Review</t>
  </si>
  <si>
    <t>Closed</t>
  </si>
  <si>
    <t>Done</t>
  </si>
  <si>
    <t>Not Applicable</t>
  </si>
  <si>
    <t>Deferred</t>
  </si>
  <si>
    <t>Cancelled</t>
  </si>
  <si>
    <t>Epic Name</t>
  </si>
  <si>
    <t>Description</t>
  </si>
  <si>
    <t>Owner</t>
  </si>
  <si>
    <t>Status</t>
  </si>
  <si>
    <t>Target Sprint</t>
  </si>
  <si>
    <t>% Complete</t>
  </si>
  <si>
    <t>Notes</t>
  </si>
  <si>
    <t>Registration &amp; Authentication</t>
  </si>
  <si>
    <t>Account registration, approval, login, logout and password recovery.</t>
  </si>
  <si>
    <t>Week 1</t>
  </si>
  <si>
    <t>Register/approve/login/logout/forgot+reset password/session-inactivity all implemented. Core auth path covered by e2e tests. | CRITICAL, found 2026-09-10: password-reset emails are actually rejected by Resend in production for any real user other than the Resend account owner (sandbox domain restriction, DEF-022, RISK-009). The reset-token mechanism itself is sound and Pass; email delivery of it is not, right now.</t>
  </si>
  <si>
    <t>User &amp; Role Administration</t>
  </si>
  <si>
    <t>User profiles, employee identifiers, roles, activation/suspension and department assignment.</t>
  </si>
  <si>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 | Third SRS pass, 2026-09-10: confirmed only 2 roles exist (EMPLOYEE, ADMINISTRATOR) against the SRS's own §3 Stakeholders table naming a 3rd, read-only "Auditor / Management Viewer" persona (RISK-015). AC-002-004-01's own wording ("At minimum Employee and Administrator roles exist") technically permits just 2, so this is a narrative-level gap, not a failed AC.</t>
  </si>
  <si>
    <t>Attendance Clock-In / Clock-Out</t>
  </si>
  <si>
    <t>Record the employee workday using authoritative clock-in and clock-out events.</t>
  </si>
  <si>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</si>
  <si>
    <t>Break Management</t>
  </si>
  <si>
    <t>Record start/end of breaks and exclude applicable break time from net working time.</t>
  </si>
  <si>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</si>
  <si>
    <t>Task Management</t>
  </si>
  <si>
    <t>Create, assign, prioritise, update and complete tasks used for professional time allocation.</t>
  </si>
  <si>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</si>
  <si>
    <t>Task Time Tracking</t>
  </si>
  <si>
    <t>Run a live server-authoritative timer against a task with pause, resume, stop and switch behaviour.</t>
  </si>
  <si>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</si>
  <si>
    <t>Attendance &amp; Task-Time Reconciliation</t>
  </si>
  <si>
    <t>Compare net attendance time with task time and identify unallocated working time.</t>
  </si>
  <si>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</si>
  <si>
    <t>Employee &amp; Administrator Dashboards</t>
  </si>
  <si>
    <t>Provide simple live views of attendance, breaks, tasks and current activity.</t>
  </si>
  <si>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</si>
  <si>
    <t>Corrections, Approvals &amp; Audit</t>
  </si>
  <si>
    <t>Allow controlled corrections to attendance/task time while preserving a full audit trail.</t>
  </si>
  <si>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 | Third SRS pass, 2026-09-10: US-009-005's own Persona is "Auditor", a role that doesn't actually exist in the system (RISK-015) - its 4 ACs are satisfied via admin-gated access instead, which is functionally fine but not literally what the persona describes.</t>
  </si>
  <si>
    <t>Reports &amp; Export</t>
  </si>
  <si>
    <t>Attendance, break, task and utilisation reports with filter and export capabilities.</t>
  </si>
  <si>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</si>
  <si>
    <t>Notifications &amp; Reminders</t>
  </si>
  <si>
    <t>Operational reminders for missing clock-out, incomplete task time and assigned tasks.</t>
  </si>
  <si>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</si>
  <si>
    <t>Security, Reliability &amp; Operations</t>
  </si>
  <si>
    <t>Security controls, observability, backup, performance and production readiness.</t>
  </si>
  <si>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 | Manually re-verified live against the deployed Azure app, 2026-09-09, all 24 ACs, as the final epic of the full 300-AC live re-verification effort (EP-001 through EP-012). Unlike the prior pass over this epic (which closed the epic out at 283/300 Pass with EP-011 still defined as a deferred mobile app), this pass runs against the CURRENT deployed code after EP-011 was rebuilt this session as a real Notifications &amp; Reminders epic and EP-009/EP-010 picked up real fixes - so RBAC coverage was extended to the two admin-only endpoints EP-009 added this session (GET /attendance/admin/history, POST /corrections/direct), tested live against a real disposable employee account and correctly blocked with 403. Also froze fresh evidence for the CI/CD traceability AC: expanded the real docker-build job log and confirmed the built image tag is literally the commit SHA (atms-api:6541337d74089a04b8bedb5b6729197ec17e2150), and cross-checked deploy.yml to confirm the same SHA is what actually gets pushed to ACR and deployed to the Container App. Password hashing, timestamp-integrity and observability code paths were re-grepped against the current commit and found unchanged, so those were re-confirmed as code-verified rather than re-tested from scratch. Backup restore was NOT re-drilled this pass (judgment call: a full restore drill was already executed and documented live on 2026-09-08 in docs/BACKUP_AND_RESTORE.md, and re-running one against production carries real risk disproportionate to re-confirming an unchanged, already-proven procedure) - live-confirmed instead that the backup configuration itself (14-day retention) is still active. This closes out the full 300-AC sign-off sweep at 300/300 Pass. | Second full SRS re-read, 2026-09-10, section by section against the current repo, found 5 more real gaps beyond the tracker's 300 ACs (RISK-010 through RISK-014): no Playwright browser E2E automation, no DST-boundary test, no separate Staging environment, the OpenAPI spec isn't validated in CI, and the database connection isn't on a least-privilege role. None of these are fabricated - each traces to a specific SRS line, confirmed by direct text search plus a matching code/infra check, not assumed. Also worth stating plainly: the SRS's own Definition of Done (§17.2) says "no unresolved Critical/High security defect," which is not strictly true right now given the 4 Critical + 30 High Dependabot findings tracked in RISK-008 - the practical exposure was assessed as low and documented, but under a literal reading of the SRS's own exit criteria this remains open, not resolved.</t>
  </si>
  <si>
    <t>Title</t>
  </si>
  <si>
    <t>Persona</t>
  </si>
  <si>
    <t>User Story</t>
  </si>
  <si>
    <t>AC Count</t>
  </si>
  <si>
    <t>Dependencies</t>
  </si>
  <si>
    <t>Sprint</t>
  </si>
  <si>
    <t>Estimate Points</t>
  </si>
  <si>
    <t>Dev Notes</t>
  </si>
  <si>
    <t>QA Notes</t>
  </si>
  <si>
    <t>Register a new account</t>
  </si>
  <si>
    <t>Employee</t>
  </si>
  <si>
    <t>As a new user, I want to register an account so that I can use the attendance system.</t>
  </si>
  <si>
    <t>Implemented and functionally working; not individually covered by an automated test this session.</t>
  </si>
  <si>
    <t>All 4 ACs manually re-verified live against the deployed Azure app, 2026-09-09, and Pass. No defects found for this story.</t>
  </si>
  <si>
    <t>Approve pending registration</t>
  </si>
  <si>
    <t>Administrator</t>
  </si>
  <si>
    <t>As an administrator, I want to approve a pending registration so that only authorised staff gain access.</t>
  </si>
  <si>
    <t>Verified by e2e test: pending queue visible to admin, approval activates account and records approver/date.</t>
  </si>
  <si>
    <t>Login</t>
  </si>
  <si>
    <t>As a registered user, I want to sign in securely so that I can access my attendance and tasks.</t>
  </si>
  <si>
    <t>Verified by e2e test: pending/inactive accounts blocked; active accounts authenticate via HttpOnly cookies.</t>
  </si>
  <si>
    <t>Logout</t>
  </si>
  <si>
    <t>As a user, I want to log out so that my account is not left accessible on a shared device.</t>
  </si>
  <si>
    <t>Verified by e2e test: logout revokes refresh token, subsequent /auth/refresh returns 401.</t>
  </si>
  <si>
    <t>Forgot password</t>
  </si>
  <si>
    <t>As a user, I want to request a password reset so that I can regain account access.</t>
  </si>
  <si>
    <t>All 4 ACs Pass for the reset-token mechanism itself (works correctly, verified via local dev's devResetToken field since production never exposes the raw token, by design). CRITICAL CAVEAT found live 2026-09-10, DEF-022: the actual email carrying that link is REJECTED by Resend in production for any recipient other than the Resend account's own verified address - confirmed via a real forgot-password request and the resulting server log entry, not assumed. A real user cannot currently receive a password-reset email in production. See RISK-009.</t>
  </si>
  <si>
    <t>Reset password</t>
  </si>
  <si>
    <t>As a user, I want to set a new password using a valid reset link.</t>
  </si>
  <si>
    <t>Session timeout</t>
  </si>
  <si>
    <t>Security Administrator</t>
  </si>
  <si>
    <t>As a security administrator, I want inactive sessions to expire so that unattended devices do not remain authenticated.</t>
  </si>
  <si>
    <t>Backend session-timeout mechanism and frontend expired-session messaging both verified working live, 2026-09-08 (see AC-001-007-03/04 evidence). The frontend gap found during AC sign-off is now fixed and re-verified against the live deployment.</t>
  </si>
  <si>
    <t>Create user administratively</t>
  </si>
  <si>
    <t>As an administrator, I want to create a user directly so that employees can be onboarded without self-registration.</t>
  </si>
  <si>
    <t>Edit user profile</t>
  </si>
  <si>
    <t>As an administrator, I want to edit user details so that records remain accurate.</t>
  </si>
  <si>
    <t>All 4 ACs manually re-verified live against the deployed Azure app, 2026-09-09, and Pass. 1 real defect(s) found and fixed during testing: AC-002-002-01 (DEF-001): No UI existed to edit a user's name, email, phone, department or employee number after creation, despite the backend fully supporting it - built the missing User Detail screen (SCR-013).</t>
  </si>
  <si>
    <t>Manage my profile</t>
  </si>
  <si>
    <t>As an employee, I want to update permitted profile information so that contact details remain current.</t>
  </si>
  <si>
    <t>Assign role</t>
  </si>
  <si>
    <t>As an administrator, I want to assign Employee or Administrator roles so that permissions match responsibilities.</t>
  </si>
  <si>
    <t>Activate suspend deactivate user</t>
  </si>
  <si>
    <t>As an administrator, I want to control account status so that access can be removed without deleting history.</t>
  </si>
  <si>
    <t>Assign department and employee number</t>
  </si>
  <si>
    <t>As an administrator, I want optional employee number and department fields so that reports can be grouped.</t>
  </si>
  <si>
    <t>All 4 ACs manually re-verified live against the deployed Azure app, 2026-09-09, and Pass. 2 real defect(s) found and fixed during testing: AC-002-006-01 (DEF-002): Creating a user with a duplicate employee number returned a raw, unhandled 500 instead of a clean conflict error.; AC-002-006-04 (DEF-003): Leaving Department at "None" or Employee Number blank silently failed to submit the admin create-user form (empty-string vs. optional-field handling).</t>
  </si>
  <si>
    <t>Clock in</t>
  </si>
  <si>
    <t>As an employee, I want to clock in so that the system records when my workday starts.</t>
  </si>
  <si>
    <t>Verified by e2e test + browser: server-timestamped clock-in, duplicate clock-in rejected via DB partial unique index (BR-002).</t>
  </si>
  <si>
    <t>Clock out</t>
  </si>
  <si>
    <t>As an employee, I want to clock out so that my workday duration is finalised.</t>
  </si>
  <si>
    <t>Verified by e2e test + browser: BR-007 confirmation flow for active break/timer before completing clock-out.</t>
  </si>
  <si>
    <t>Show current attendance state</t>
  </si>
  <si>
    <t>As an employee, I want to see whether I am clocked in, on break or clocked out.</t>
  </si>
  <si>
    <t>Prevent duplicate clock in</t>
  </si>
  <si>
    <t>As an employee, I want the system to prevent accidental duplicate clock-ins.</t>
  </si>
  <si>
    <t>Warn before clock out with active task</t>
  </si>
  <si>
    <t>As an employee, I want a warning if I try to clock out while a task timer is running.</t>
  </si>
  <si>
    <t>Verified by e2e test: clock-out returns requiresConfirmation when a task timer is active; confirmed action stops both at one timestamp.</t>
  </si>
  <si>
    <t>Warn before clock out while on break</t>
  </si>
  <si>
    <t>As an employee, I want a warning if I try to clock out during an active break.</t>
  </si>
  <si>
    <t>Attendance history</t>
  </si>
  <si>
    <t>As an employee, I want to view my previous attendance records so that I can verify my working hours.</t>
  </si>
  <si>
    <t>All 4 ACs manually re-verified live against the deployed Azure app, 2026-09-09, and Pass. 2 real defect(s) found and fixed during testing: AC-003-007-01 (DEF-004): Attendance history's Breaks column showed a raw record count instead of total break duration.; AC-003-007-03 (DEF-005): Attendance history's date-range filter excluded almost the entire "to" day due to UTC-midnight date parsing.</t>
  </si>
  <si>
    <t>Administrator live attendance list</t>
  </si>
  <si>
    <t>As an administrator, I want to see who is currently clocked in so that I understand current staffing.</t>
  </si>
  <si>
    <t>All 4 ACs manually re-verified live against the deployed Azure app, 2026-09-09, and Pass. 1 real defect(s) found and fixed during testing: AC-003-008-03 (DEF-006): Admin Live Attendance table showed only "clocked in since &lt;time&gt;", never a running duration.</t>
  </si>
  <si>
    <t>Start break</t>
  </si>
  <si>
    <t>As an employee, I want to start a break so that non-working break time is tracked.</t>
  </si>
  <si>
    <t>Verified by e2e test: starting a break pauses the active task timer at the same server boundary (BR-005).</t>
  </si>
  <si>
    <t>End break</t>
  </si>
  <si>
    <t>As an employee, I want to end my break so that working time resumes.</t>
  </si>
  <si>
    <t>Verified by e2e test: ending a break does not auto-resume the task (BR-006).</t>
  </si>
  <si>
    <t>Multiple breaks in one day</t>
  </si>
  <si>
    <t>As an employee, I want to take more than one break during a workday so that all break periods are recorded.</t>
  </si>
  <si>
    <t>Verified by e2e test: two sequential breaks in one day each create a separate, non-overlapping record linked to the same attendance session.</t>
  </si>
  <si>
    <t>Pause active task when break starts</t>
  </si>
  <si>
    <t>As an employee, I want an active task timer paused when I start a break so that task time does not include break time.</t>
  </si>
  <si>
    <t>Verified by e2e test (BR-005): active timer closed atomically when break starts; caller is told which task paused.</t>
  </si>
  <si>
    <t>Break history</t>
  </si>
  <si>
    <t>As an employee, I want to view breaks within each attendance day.</t>
  </si>
  <si>
    <t>All 4 ACs manually re-verified live against the deployed Azure app, 2026-09-09, and Pass. 1 real defect(s) found and fixed during testing: AC-004-005-01 (DEF-007): SCR-006 "Attendance Day Detail / Timeline" screen, named in the SRS, had never been built.</t>
  </si>
  <si>
    <t>Administrator break report</t>
  </si>
  <si>
    <t>As an administrator, I want break reporting so that I can review break usage.</t>
  </si>
  <si>
    <t>All 4 ACs manually re-verified live against the deployed Azure app, 2026-09-09, and Pass. 1 real defect(s) found and fixed during testing: AC-004-006-01 (DEF-008): Admin Breaks report had no employee filter despite the backend already supporting one.</t>
  </si>
  <si>
    <t>Create task</t>
  </si>
  <si>
    <t>As an administrator, I want to create a task so that work can be assigned and timed.</t>
  </si>
  <si>
    <t>Verified by e2e test: admin-created task receives a UUID and audit entry.</t>
  </si>
  <si>
    <t>Employee creates own task</t>
  </si>
  <si>
    <t>As an employee, I want to create a task when permitted so that unplanned work can still be tracked.</t>
  </si>
  <si>
    <t>Assign task to user</t>
  </si>
  <si>
    <t>As an administrator, I want to assign a task to an employee so that responsibility is clear.</t>
  </si>
  <si>
    <t>Verified by e2e test: task assignment visible to assignee.</t>
  </si>
  <si>
    <t>Set task priority</t>
  </si>
  <si>
    <t>As an administrator, I want task priority so that employees can understand relative urgency.</t>
  </si>
  <si>
    <t>Set estimated time</t>
  </si>
  <si>
    <t>As an administrator, I want an estimated task duration so that actual effort can be compared.</t>
  </si>
  <si>
    <t>All 4 ACs manually re-verified live against the deployed Azure app, 2026-09-09, and Pass. 1 real defect(s) found and fixed during testing: AC-005-005-02 (DEF-009): Leaving "Estimated minutes" blank on the real task form failed with a raw NaN validation error.</t>
  </si>
  <si>
    <t>Update task status</t>
  </si>
  <si>
    <t>As an employee, I want to update task status so that progress is visible.</t>
  </si>
  <si>
    <t>All 4 ACs manually re-verified live against the deployed Azure app, 2026-09-09, and Pass. 1 real defect(s) found and fixed during testing: AC-005-006-04 (DEF-010): Automatic To Do -&gt; In Progress task transitions (via starting/switching a timer) were never written to the audit trail.</t>
  </si>
  <si>
    <t>Complete task</t>
  </si>
  <si>
    <t>As an employee, I want to mark a task completed so that finished work is clearly identified.</t>
  </si>
  <si>
    <t>My task list</t>
  </si>
  <si>
    <t>As an employee, I want to see my assigned tasks so that I know what work is available.</t>
  </si>
  <si>
    <t>All 4 ACs manually re-verified live against the deployed Azure app, 2026-09-09, and Pass. 2 real defect(s) found and fixed during testing: AC-005-008-02 (DEF-011): Employee My Tasks page had no status or priority filter UI despite the backend supporting both.; AC-005-008-03 (DEF-012): Task list endpoints never computed actual time per row - only the single-task detail endpoint did.</t>
  </si>
  <si>
    <t>Start task timer</t>
  </si>
  <si>
    <t>As an employee, I want to start a timer on a task so that actual task effort is recorded.</t>
  </si>
  <si>
    <t>Verified by e2e test: requires clocked-in/not-on-break, rejects when already running (BR-003 via DB partial unique index).</t>
  </si>
  <si>
    <t>Global active timer display</t>
  </si>
  <si>
    <t>As an employee, I want the running task timer visible throughout the application so that I always know what is being tracked.</t>
  </si>
  <si>
    <t>Pause task timer</t>
  </si>
  <si>
    <t>As an employee, I want to pause task tracking so that non-task time is not recorded.</t>
  </si>
  <si>
    <t>Implemented; pause closes the current segment. Covered indirectly by switch/stop e2e assertions.</t>
  </si>
  <si>
    <t>Resume task timer</t>
  </si>
  <si>
    <t>As an employee, I want to resume a paused task so that tracking continues.</t>
  </si>
  <si>
    <t>Verified by e2e test: resume after break creates a new segment; only one active timer afterward.</t>
  </si>
  <si>
    <t>Stop task timer</t>
  </si>
  <si>
    <t>As an employee, I want to stop task tracking so that the task time entry is finalised.</t>
  </si>
  <si>
    <t>Switch task</t>
  </si>
  <si>
    <t>As an employee, I want to switch directly to another task so that work transitions are captured accurately.</t>
  </si>
  <si>
    <t>Implemented and manually browser-tested: stop+start at one consistent boundary, no overlap.</t>
  </si>
  <si>
    <t>Prevent concurrent task timers</t>
  </si>
  <si>
    <t>System Administrator</t>
  </si>
  <si>
    <t>As a system administrator, I want concurrent task timers prevented so that time is not double counted.</t>
  </si>
  <si>
    <t>Verified by e2e test: second concurrent timer rejected with existing-timer info in the response body.</t>
  </si>
  <si>
    <t>Timer survives browser refresh</t>
  </si>
  <si>
    <t>As an employee, I want the timer to continue if I refresh or close the page so that time is not lost.</t>
  </si>
  <si>
    <t>Architecturally guaranteed — no per-second writes, elapsed time is always recomputed client-side from the stored start timestamp. Not explicitly browser-refresh-tested this session.</t>
  </si>
  <si>
    <t>Daily task time log</t>
  </si>
  <si>
    <t>As an employee, I want to see task time intervals for a day so that I can verify what I worked on.</t>
  </si>
  <si>
    <t>Task estimate versus actual</t>
  </si>
  <si>
    <t>As an employee, I want to compare estimated and actual task time so that I can understand overruns.</t>
  </si>
  <si>
    <t>Calculate net working time</t>
  </si>
  <si>
    <t>System</t>
  </si>
  <si>
    <t>As the system, I want to calculate net working time so that attendance is accurate.</t>
  </si>
  <si>
    <t>Verified by unit test (exact SRS worked example: 7h30m worked, 6h45m tasked, 45m unallocated) and e2e test.</t>
  </si>
  <si>
    <t>Calculate task time</t>
  </si>
  <si>
    <t>As the system, I want to calculate total task time for a day so that recorded activity is measurable.</t>
  </si>
  <si>
    <t>Verified by unit test and e2e test.</t>
  </si>
  <si>
    <t>Calculate unallocated time</t>
  </si>
  <si>
    <t>As an employee, I want to see unallocated working time so that I can identify missing task tracking.</t>
  </si>
  <si>
    <t>Verified by unit test (never negative) and e2e test.</t>
  </si>
  <si>
    <t>Flag task time exceeding attendance</t>
  </si>
  <si>
    <t>As an administrator, I want impossible time relationships flagged so that data quality issues are corrected.</t>
  </si>
  <si>
    <t>Verified by unit test: task time exceeding attendance flags hasDataQualityException without altering original records. No dedicated admin exception-review screen yet — surfaced via My Day badge and reconciliation payload only.</t>
  </si>
  <si>
    <t>Daily activity timeline</t>
  </si>
  <si>
    <t>As an employee, I want one timeline of attendance, breaks and task activity so that my workday is understandable.</t>
  </si>
  <si>
    <t>Employee My Day dashboard</t>
  </si>
  <si>
    <t>As an employee, I want a single dashboard for attendance, break status, current task and totals so that daily actions are simple.</t>
  </si>
  <si>
    <t>Administrator dashboard KPIs</t>
  </si>
  <si>
    <t>As an administrator, I want high-level daily KPIs so that I can understand current workforce activity.</t>
  </si>
  <si>
    <t>All 4 ACs manually re-verified live against the deployed Azure app, 2026-09-09, and Pass. 1 real defect(s) found and fixed during testing: AC-008-002-04 (DEF-013): Dashboard KPI tiles were static numbers with no link through to the underlying filtered view.</t>
  </si>
  <si>
    <t>Live user activity table</t>
  </si>
  <si>
    <t>As an administrator, I want a live table of user status so that I can see current attendance and task activity.</t>
  </si>
  <si>
    <t>All 4 ACs manually re-verified live against the deployed Azure app, 2026-09-09, and Pass. 1 real defect(s) found and fixed during testing: AC-008-003-04 (DEF-014): Live Attendance admin table had zero search or filter capability.</t>
  </si>
  <si>
    <t>Task dashboard</t>
  </si>
  <si>
    <t>As an administrator, I want task status summaries so that I can identify active, overdue and completed work.</t>
  </si>
  <si>
    <t>Responsive dashboard</t>
  </si>
  <si>
    <t>As a user, I want dashboards usable on phone and desktop so that I can clock and track tasks from different devices.</t>
  </si>
  <si>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</si>
  <si>
    <t>All 4 ACs manually re-verified live against the deployed Azure app, 2026-09-09, and Pass. 1 real defect(s) found and fixed during testing: AC-008-005-03 (DEF-015): The header carrying the live timer bar scrolled out of view on tall pages at mobile width, hiding the active timer.</t>
  </si>
  <si>
    <t>Request attendance correction</t>
  </si>
  <si>
    <t>As an employee, I want to request correction of an attendance mistake so that records can be fixed without hidden edits.</t>
  </si>
  <si>
    <t>Verified by e2e test: request does not overwrite the original record; visible to the requester.</t>
  </si>
  <si>
    <t>Approve attendance correction</t>
  </si>
  <si>
    <t>As an administrator, I want to approve or reject attendance corrections so that changes are controlled.</t>
  </si>
  <si>
    <t>Verified by e2e test: approval applies the corrected values and preserves the original in the audit log (before/after).</t>
  </si>
  <si>
    <t>All 4 ACs manually re-verified live against the deployed Azure app, 2026-09-09, and Pass. 1 real defect(s) found and fixed during testing: AC-009-002-01 (DEF-016): Pending-corrections review list only showed the proposed value, with no way to see the original value being changed from.</t>
  </si>
  <si>
    <t>Request task time correction</t>
  </si>
  <si>
    <t>As an employee, I want to request correction of task time so that forgotten/incorrect timer events can be resolved.</t>
  </si>
  <si>
    <t>All 4 ACs manually re-verified live against the deployed Azure app, 2026-09-09, and Pass. 2 real defect(s) found and fixed during testing: AC-009-003-01 (DEF-017): Requesting a correction on a task-time entry (not just an attendance session) had no frontend at all.; AC-009-003-04 (DEF-018): Approving a correction that proposed only an end time skipped overlap validation entirely, letting an approval create genuinely overlapping task time.</t>
  </si>
  <si>
    <t>Administrator direct correction</t>
  </si>
  <si>
    <t>As an administrator, I want to correct authorised records directly so that operational errors can be resolved quickly.</t>
  </si>
  <si>
    <t>All 4 ACs manually re-verified live against the deployed Azure app, 2026-09-09, and Pass. 1 real defect(s) found and fixed during testing: AC-009-004-03 (DEF-018): Same defect and fix as AC-009-003-04 (shared overlap-validation logic in decide()).</t>
  </si>
  <si>
    <t>Audit log</t>
  </si>
  <si>
    <t>Auditor</t>
  </si>
  <si>
    <t>As an auditor, I want a tamper-resistant audit view so that sensitive changes are traceable.</t>
  </si>
  <si>
    <t>Verified by e2e test: audit entries carry actor/action/target/before/after and are filterable by action.</t>
  </si>
  <si>
    <t>Daily attendance report</t>
  </si>
  <si>
    <t>As an administrator, I want a daily attendance report so that I can review who worked and for how long.</t>
  </si>
  <si>
    <t>Weekly monthly attendance report</t>
  </si>
  <si>
    <t>As an administrator, I want weekly/monthly attendance summaries so that working patterns are visible.</t>
  </si>
  <si>
    <t>Task time report</t>
  </si>
  <si>
    <t>As an administrator, I want task-time reporting so that I can see actual time spent on work.</t>
  </si>
  <si>
    <t>Unallocated time report</t>
  </si>
  <si>
    <t>As an administrator, I want unallocated-time reporting so that missing task tracking can be identified.</t>
  </si>
  <si>
    <t>All 4 ACs manually re-verified live against the deployed Azure app, 2026-09-09, and Pass. 1 real defect(s) found and fixed during testing: AC-010-004-02 (DEF-019): No control existed to include/exclude zero-unallocated-time days from the unallocated report.</t>
  </si>
  <si>
    <t>Export report</t>
  </si>
  <si>
    <t>As an administrator, I want to export filtered reports so that data can be used outside the application.</t>
  </si>
  <si>
    <t>All 4 ACs manually re-verified live against the deployed Azure app, 2026-09-09, and Pass. 1 real defect(s) found and fixed during testing: AC-010-005-03 (DEF-020): CSV report exports lacked the title/period/generated-timestamp metadata that XLSX exports already had.</t>
  </si>
  <si>
    <t>Task assignment notification</t>
  </si>
  <si>
    <t>As an employee, I want to be notified when a task is assigned so that I know new work exists.</t>
  </si>
  <si>
    <t>All 4 ACs verified live against the deployed Azure app, including waiting for the real production cron to fire on seeded data.</t>
  </si>
  <si>
    <t>Missing clock-out reminder</t>
  </si>
  <si>
    <t>As an employee, I want a reminder if I appear to have forgotten to clock out so that incomplete attendance is reduced.</t>
  </si>
  <si>
    <t>All 4 ACs manually re-verified live against the deployed Azure app, 2026-09-09, and Pass. 1 real defect(s) found and fixed during testing: AC-011-002-02 (DEF-021): A correction that closed out an attendance session never updated the session's own status field, so it kept matching the missing-clock-out reminder scan indefinitely.</t>
  </si>
  <si>
    <t>Long-running task timer reminder</t>
  </si>
  <si>
    <t>As an employee, I want a reminder when a task timer has been running unusually long so that accidental over-recording can be corrected.</t>
  </si>
  <si>
    <t>Unallocated time reminder</t>
  </si>
  <si>
    <t>As an employee, I want a reminder when my completed workday has unallocated time so that missing task tracking can be reviewed.</t>
  </si>
  <si>
    <t>Secure password storage</t>
  </si>
  <si>
    <t>As a security administrator, I want passwords securely hashed so that credential exposure risk is minimised.</t>
  </si>
  <si>
    <t>Argon2id via the `argon2` package; verified indirectly by every e2e login.</t>
  </si>
  <si>
    <t>Authorisation enforcement</t>
  </si>
  <si>
    <t>As a security administrator, I want server-side role checks so that employees cannot access administrator functions.</t>
  </si>
  <si>
    <t>Verified by e2e test: employee blocked (403) from an admin-only endpoint; unauthenticated requests blocked (401).</t>
  </si>
  <si>
    <t>Time integrity</t>
  </si>
  <si>
    <t>As a system administrator, I want server-authoritative time and concurrency safeguards so that attendance/task duration is trustworthy.</t>
  </si>
  <si>
    <t>Verified by e2e test: all official timestamps are server-generated; BR-002/BR-003 enforced by Postgres partial unique indexes, not just application logic.</t>
  </si>
  <si>
    <t>Application logging and monitoring</t>
  </si>
  <si>
    <t>Operations Engineer</t>
  </si>
  <si>
    <t>As an operations engineer, I want structured logs and health monitoring so that incidents can be diagnosed.</t>
  </si>
  <si>
    <t>Structured JSON request logging (pino-http) with correlation IDs wired in and manually verified: id round-trips via x-request-id header, passwords/cookies never appear in logs, /health and /ready produce zero log noise.</t>
  </si>
  <si>
    <t>Backup and restore</t>
  </si>
  <si>
    <t>As an operations engineer, I want database backups and a tested restore process so that data can be recovered.</t>
  </si>
  <si>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</si>
  <si>
    <t>CI/CD quality gates</t>
  </si>
  <si>
    <t>Release Manager</t>
  </si>
  <si>
    <t>As a release manager, I want automated build, test and security gates so that defective releases are less likely to reach production.</t>
  </si>
  <si>
    <t>GitHub Actions CI (lint, unit, e2e, both builds, both Docker images) is green on every push. A separate manual-trigger deploy workflow builds/pushes images and updates Azure Container Apps once repo secrets are configured (see DEPLOYMENT.md).</t>
  </si>
  <si>
    <t>NFR ID</t>
  </si>
  <si>
    <t>Category</t>
  </si>
  <si>
    <t>Requirement</t>
  </si>
  <si>
    <t>Evidence / Notes</t>
  </si>
  <si>
    <t>NFR-001</t>
  </si>
  <si>
    <t>Performance</t>
  </si>
  <si>
    <t>Normal interactive API operations should target p95 response time under 500 ms under agreed reference load.</t>
  </si>
  <si>
    <t>Tested</t>
  </si>
  <si>
    <t>Load-tested against a defined reference load (30 concurrent users); passes p95&lt;500ms on all endpoints tested. Full methodology and results in docs/PERFORMANCE.md.</t>
  </si>
  <si>
    <t>NFR-002</t>
  </si>
  <si>
    <t>Availability</t>
  </si>
  <si>
    <t>Production target 99.9% monthly availability excluding agreed maintenance windows.</t>
  </si>
  <si>
    <t>Live</t>
  </si>
  <si>
    <t>Application Insights availability test + email alerting on the API readiness endpoint, verified producing real results from 5 regions. See docs/MONITORING.md.</t>
  </si>
  <si>
    <t>NFR-003</t>
  </si>
  <si>
    <t>Security</t>
  </si>
  <si>
    <t>HTTPS/TLS is mandatory in production.</t>
  </si>
  <si>
    <t>Live-verified 2026-09-10: API Container App ingress has allowInsecure=false (plain HTTP rejected) and transport=Auto (HTTPS); COOKIE_SECURE=true is set in the production environment. Confirmed against the real Azure resource, not just config source.</t>
  </si>
  <si>
    <t>NFR-004</t>
  </si>
  <si>
    <t>Password Security</t>
  </si>
  <si>
    <t>Use Argon2id or approved equivalent for password hashing.</t>
  </si>
  <si>
    <t>Covered by AC-012-001-01/02 (Pass) - argon2.hash()/argon2.verify() with type: argon2id used consistently at every password write/check path, re-grepped against the current commit 2026-09-09.</t>
  </si>
  <si>
    <t>NFR-005</t>
  </si>
  <si>
    <t>Time Integrity</t>
  </si>
  <si>
    <t>Official attendance/timer events use authoritative server time.</t>
  </si>
  <si>
    <t>Covered by AC-012-003-01/03/04 (Pass) - clockInAt/clockOutAt etc. are always server-generated new Date(), no client-supplied timestamp accepted anywhere in the attendance/timer paths.</t>
  </si>
  <si>
    <t>NFR-006</t>
  </si>
  <si>
    <t>Concurrency</t>
  </si>
  <si>
    <t>System prevents duplicate active attendance sessions and active task timers under concurrent requests.</t>
  </si>
  <si>
    <t>Live-verified 2026-09-10 with a real disposable account: fired 10 genuinely simultaneous POST /attendance/clock-in requests via Promise.all (not sequential calls) - exactly 1 succeeded (200), 9 correctly rejected (409), proving the underlying Postgres partial unique index holds under real concurrent load, not just app-level sequential checks. The task-timer path enforces the identical DB-constraint pattern (task-timer.service.ts requireNoRunningTimer + a matching unique index) though it wasn't separately fired concurrently this pass.</t>
  </si>
  <si>
    <t>NFR-007</t>
  </si>
  <si>
    <t>Auditability</t>
  </si>
  <si>
    <t>Material corrections, role changes and user status changes are auditable.</t>
  </si>
  <si>
    <t>Covered by EP-009's correction/audit ACs (Pass) and the EP-002 re-verification pass, which live-confirmed suspending/reactivating a user is audited and takes effect on the user's very next request without re-login.</t>
  </si>
  <si>
    <t>NFR-008</t>
  </si>
  <si>
    <t>Responsive UX</t>
  </si>
  <si>
    <t>Clock, break and task timer flows must be usable on desktop and mobile browsers.</t>
  </si>
  <si>
    <t>Live-verified 2026-09-10: the My Day screen (clock-in, active task, today's totals) re-rendered cleanly at a real 375x812 mobile viewport - no horizontal overflow, Clock In control full-width and reachable, cards stacked vertically. Confirms the earlier sidebar/header mobile-breakpoint fix holds on the current deployed build.</t>
  </si>
  <si>
    <t>NFR-009</t>
  </si>
  <si>
    <t>Accessibility</t>
  </si>
  <si>
    <t>Web UI should target WCAG 2.2 AA.</t>
  </si>
  <si>
    <t>Fixed</t>
  </si>
  <si>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</si>
  <si>
    <t>NFR-010</t>
  </si>
  <si>
    <t>Browser Support</t>
  </si>
  <si>
    <t>Support current major releases of Chrome, Edge, Safari and Firefox according to published support policy.</t>
  </si>
  <si>
    <t>Everything was checked and verified working except Firefox.</t>
  </si>
  <si>
    <t>NFR-011</t>
  </si>
  <si>
    <t>Backup</t>
  </si>
  <si>
    <t>Automated encrypted database backup and tested restore process required before production.</t>
  </si>
  <si>
    <t>Covered by AC-012-005-01..04 (Pass) - a real restore drill was executed and documented 2026-09-08 (docs/BACKUP_AND_RESTORE.md); 14-day backup retention re-confirmed live via az CLI 2026-09-09.</t>
  </si>
  <si>
    <t>NFR-012</t>
  </si>
  <si>
    <t>Observability</t>
  </si>
  <si>
    <t>Structured logging, health checks and error monitoring are required.</t>
  </si>
  <si>
    <t>Covered by AC-012-004-01..04 (Pass) - x-request-id round-trip, /health and /ready produce zero log lines, sensitive fields redacted, a live Azure Monitor alert rule confirmed armed.</t>
  </si>
  <si>
    <t>NFR-013</t>
  </si>
  <si>
    <t>Data Retention</t>
  </si>
  <si>
    <t>Attendance, task and audit retention periods must be configurable or documented.</t>
  </si>
  <si>
    <t>Documented</t>
  </si>
  <si>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</si>
  <si>
    <t>NFR-014</t>
  </si>
  <si>
    <t>Scalability</t>
  </si>
  <si>
    <t>Application should be stateless where practical and container deployable.</t>
  </si>
  <si>
    <t>Code-verified 2026-09-10: grepped the entire API source for in-process state (Map/Set used as a store, global mutable state, in-memory caching) - none found. All state lives in Postgres; auth is via signed JWT cookies, not server-side sessions, so any replica can serve any request. Container-deployability is proven throughout this effort - Container Apps atms-api/atms-web, both minReplicas=1/maxReplicas=3, images built and deployed via Docker end to end.</t>
  </si>
  <si>
    <t>NFR-015</t>
  </si>
  <si>
    <t>API Documentation</t>
  </si>
  <si>
    <t>Backend exposes generated OpenAPI/Swagger documentation for supported APIs.</t>
  </si>
  <si>
    <t>Live-verified 2026-09-10 against the real deployed API: GET /api/docs -&gt; 200 (Swagger UI), GET /api/docs-json -&gt; 200 with 47 documented paths. | CAVEAT added 2026-09-10: the SRS's own §12 API Requirements text asks for the spec to be "generated ... and validated in CI" - generation is confirmed live, but no CI step validates the spec (see RISK-013). Left as Pass since the NFR's own literal wording only requires exposure, but flagging the stricter narrative requirement honestly.</t>
  </si>
  <si>
    <t>NFR-016</t>
  </si>
  <si>
    <t>Testing</t>
  </si>
  <si>
    <t>Unit, integration and end-to-end tests are required for critical clock/timer workflows.</t>
  </si>
  <si>
    <t>Verified 2026-09-10: 41 real test cases across 4 files - 2 API unit spec files (Zod validation pipe, cookie util), the API's e2e spec covering the critical clock/break/timer/task path, and the shared time-math unit test (the SRS's own worked reconciliation example). All run in CI on every push; already confirmed passing in the CI run reviewed for AC-012-006-01. | CAVEAT added 2026-09-10: the SRS's separate §14 Testing Strategy names Playwright browser E2E tests specifically (see RISK-010) - not yet implemented. Left as Pass since this NFR's own literal wording ("unit, integration and end-to-end tests") is satisfied by the real API-level e2e suite, but the more specific browser-automation expectation elsewhere in the SRS is not yet met.</t>
  </si>
  <si>
    <t>Business Rule ID</t>
  </si>
  <si>
    <t>Business Rule</t>
  </si>
  <si>
    <t>BR-001</t>
  </si>
  <si>
    <t>Attendance clock and task timer are separate records and must never be treated as the same clock.</t>
  </si>
  <si>
    <t>Code-verified: AttendanceSession and TaskTimeEntry are separate Prisma models with separate endpoints/services throughout - core domain design, unchanged all effort.</t>
  </si>
  <si>
    <t>BR-002</t>
  </si>
  <si>
    <t>A user may have at most one active attendance session.</t>
  </si>
  <si>
    <t>Live-verified 2026-09-10 under real concurrency (see NFR-006) plus the DB-level Postgres partial unique index noted in the tracker's RISK-001 mitigation.</t>
  </si>
  <si>
    <t>BR-003</t>
  </si>
  <si>
    <t>A user may have at most one active task timer.</t>
  </si>
  <si>
    <t>Code-verified: task-timer.service.ts requireNoRunningTimer() plus a matching DB partial unique index enforce this; live-tested sequentially earlier this effort (409 'A task timer is already running').</t>
  </si>
  <si>
    <t>BR-004</t>
  </si>
  <si>
    <t>A task timer can start only while the user is clocked in and not on break.</t>
  </si>
  <si>
    <t>Code-verified 2026-09-10: task-timer.service.ts requireActiveWorkingSession() requires attendance status=ACTIVE (not ON_BREAK) before a timer can start.</t>
  </si>
  <si>
    <t>BR-005</t>
  </si>
  <si>
    <t>Starting a break pauses any active task timer at the same effective server boundary.</t>
  </si>
  <si>
    <t>Code-verified 2026-09-10: breaks.service.ts startBreak() closes any running task timer in the same DB transaction as the break's own creation, using the identical server `now` timestamp for both.</t>
  </si>
  <si>
    <t>BR-006</t>
  </si>
  <si>
    <t>Ending a break does not automatically resume a task without an explicit user action.</t>
  </si>
  <si>
    <t>Code-verified 2026-09-10: breaks.service.ts endBreak() only updates the break record and session status - it never touches TaskTimeEntry, so no task resumes automatically.</t>
  </si>
  <si>
    <t>BR-007</t>
  </si>
  <si>
    <t>Clocking out requires any active task timer and active break to be resolved.</t>
  </si>
  <si>
    <t>Code-verified 2026-09-10: attendance.service.ts clockOut() returns requiresConfirmation:true with the open break/timer details instead of clocking out, until the caller explicitly confirms - only then does it resolve both, in the same transaction as the clock-out itself.</t>
  </si>
  <si>
    <t>BR-008</t>
  </si>
  <si>
    <t>Net working time = attendance elapsed time - eligible completed break time.</t>
  </si>
  <si>
    <t>Covered by AC-012-003-03 (Pass) and time-math.ts - net working time is computed purely from stored timestamps, never a client-supplied duration.</t>
  </si>
  <si>
    <t>BR-009</t>
  </si>
  <si>
    <t>Task time = sum of valid non-overlapping active task segments.</t>
  </si>
  <si>
    <t>Covered by EP-006's sign-off (40/40 Pass) and time-math.ts's segment-summation logic.</t>
  </si>
  <si>
    <t>BR-010</t>
  </si>
  <si>
    <t>Unallocated time = net working time - eligible task time.</t>
  </si>
  <si>
    <t>Core reconciliation formula, unit-tested in packages/shared/src/time-math.test.ts against the SRS's own worked example (7h30m worked, 6h45m tasked -&gt; 45m unallocated).</t>
  </si>
  <si>
    <t>BR-011</t>
  </si>
  <si>
    <t>Server timestamps are authoritative for online clock/timer actions.</t>
  </si>
  <si>
    <t>Covered by AC-012-003-01/04 (Pass) - every clock/timer timestamp is server-generated, never client-supplied.</t>
  </si>
  <si>
    <t>BR-012</t>
  </si>
  <si>
    <t>Approved corrections never destroy the original event history.</t>
  </si>
  <si>
    <t>Code-verified: CorrectionsService never deletes the original record - approving a correction updates the target's fields going forward while AuditService.record() persists the full before/after values, and the CorrectionRequest row itself remains as a permanent record of what was proposed and approved.</t>
  </si>
  <si>
    <t>BR-013</t>
  </si>
  <si>
    <t>Completed or cancelled tasks cannot accept a new timer unless reopened by an authorised user.</t>
  </si>
  <si>
    <t>Code-verified 2026-09-10: task-timer.service.ts requireEligibleTask() explicitly blocks starting a timer when the task's status is COMPLETED or CANCELLED.</t>
  </si>
  <si>
    <t>BR-014</t>
  </si>
  <si>
    <t>The application does not perform covert screenshots, keystroke logging or webcam monitoring.</t>
  </si>
  <si>
    <t>Verified by omission, matching the SRS's own Explicitly Out of Scope list: no screenshot, keystroke-logging or webcam code exists anywhere in the codebase.</t>
  </si>
  <si>
    <t>Layer</t>
  </si>
  <si>
    <t>Recommended Technology</t>
  </si>
  <si>
    <t>Reason / Implementation Guidance</t>
  </si>
  <si>
    <t>Frontend</t>
  </si>
  <si>
    <t>Next.js (React) + TypeScript</t>
  </si>
  <si>
    <t>Single web application; mature React ecosystem; routing, SSR/SPA flexibility and strong developer productivity.</t>
  </si>
  <si>
    <t>UI</t>
  </si>
  <si>
    <t>Tailwind CSS + accessible component library</t>
  </si>
  <si>
    <t>Consistent responsive UI without a large custom CSS maintenance burden.</t>
  </si>
  <si>
    <t>Forms/Validation</t>
  </si>
  <si>
    <t>React Hook Form + Zod</t>
  </si>
  <si>
    <t>Fast forms with shared schema-style validation and clear error handling.</t>
  </si>
  <si>
    <t>Data Fetching</t>
  </si>
  <si>
    <t>TanStack Query</t>
  </si>
  <si>
    <t>Server-state caching, invalidation and background refresh for dashboards/logs.</t>
  </si>
  <si>
    <t>Backend</t>
  </si>
  <si>
    <t>NestJS + TypeScript</t>
  </si>
  <si>
    <t>Structured modular backend, DI, guards, validation, testing and OpenAPI integration.</t>
  </si>
  <si>
    <t>API</t>
  </si>
  <si>
    <t>REST + OpenAPI/Swagger</t>
  </si>
  <si>
    <t>Simple for web/admin integrations; documentation generated from backend code.</t>
  </si>
  <si>
    <t>Database</t>
  </si>
  <si>
    <t>PostgreSQL</t>
  </si>
  <si>
    <t>Reliable transactional relational database well suited to attendance/time integrity.</t>
  </si>
  <si>
    <t>ORM</t>
  </si>
  <si>
    <t>Prisma ORM</t>
  </si>
  <si>
    <t>Typed data access, migrations and developer productivity; validate concurrency-sensitive operations with explicit transactions/constraints.</t>
  </si>
  <si>
    <t>Authentication</t>
  </si>
  <si>
    <t>Secure HttpOnly cookie-based access/refresh tokens or server session pattern</t>
  </si>
  <si>
    <t>Avoid storing sensitive auth tokens in localStorage; support rotation and revocation.</t>
  </si>
  <si>
    <t>Password Hashing</t>
  </si>
  <si>
    <t>Argon2id</t>
  </si>
  <si>
    <t>Modern password hashing suitable for credential protection.</t>
  </si>
  <si>
    <t>Live Status</t>
  </si>
  <si>
    <t>REST polling initially; optional WebSocket/SSE for admin live view</t>
  </si>
  <si>
    <t>Avoid unnecessary real-time complexity in MVP; timers are derived from server timestamps.</t>
  </si>
  <si>
    <t>Vitest/Jest + Supertest + Playwright</t>
  </si>
  <si>
    <t>Unit, API integration and browser end-to-end coverage.</t>
  </si>
  <si>
    <t>Containerisation</t>
  </si>
  <si>
    <t>Docker + Docker Compose</t>
  </si>
  <si>
    <t>Reproducible development and deployment.</t>
  </si>
  <si>
    <t>CI/CD</t>
  </si>
  <si>
    <t>GitHub Actions</t>
  </si>
  <si>
    <t>Build, lint, test, security scan and deployment automation.</t>
  </si>
  <si>
    <t>Reverse Proxy</t>
  </si>
  <si>
    <t>Managed ingress or Nginx</t>
  </si>
  <si>
    <t>TLS termination/routing depending on hosting platform.</t>
  </si>
  <si>
    <t>Production Hosting</t>
  </si>
  <si>
    <t>Azure Container Apps or AWS ECS/Fargate (provider-neutral Docker image)</t>
  </si>
  <si>
    <t>Managed container hosting with autoscaling and low operational overhead.</t>
  </si>
  <si>
    <t>Managed Database</t>
  </si>
  <si>
    <t>Azure Database for PostgreSQL / AWS RDS PostgreSQL</t>
  </si>
  <si>
    <t>Backups, patching and managed availability.</t>
  </si>
  <si>
    <t>Monitoring</t>
  </si>
  <si>
    <t>OpenTelemetry + platform monitoring/Sentry-compatible error tracking</t>
  </si>
  <si>
    <t>Centralised traces, logs, errors and performance visibility.</t>
  </si>
  <si>
    <t>Screen ID</t>
  </si>
  <si>
    <t>Screen</t>
  </si>
  <si>
    <t>Delivery Status</t>
  </si>
  <si>
    <t>SCR-001</t>
  </si>
  <si>
    <t>SCR-002</t>
  </si>
  <si>
    <t>Registration</t>
  </si>
  <si>
    <t>SCR-003</t>
  </si>
  <si>
    <t>Forgot/Reset Password</t>
  </si>
  <si>
    <t>SCR-004</t>
  </si>
  <si>
    <t>Employee - My Day</t>
  </si>
  <si>
    <t>SCR-005</t>
  </si>
  <si>
    <t>My Attendance History</t>
  </si>
  <si>
    <t>SCR-006</t>
  </si>
  <si>
    <t>Attendance Day Detail / Timeline</t>
  </si>
  <si>
    <t>SCR-007</t>
  </si>
  <si>
    <t>My Tasks</t>
  </si>
  <si>
    <t>SCR-008</t>
  </si>
  <si>
    <t>Task Detail</t>
  </si>
  <si>
    <t>SCR-009</t>
  </si>
  <si>
    <t>My Task Time History</t>
  </si>
  <si>
    <t>SCR-010</t>
  </si>
  <si>
    <t>My Profile</t>
  </si>
  <si>
    <t>SCR-011</t>
  </si>
  <si>
    <t>Admin Dashboard</t>
  </si>
  <si>
    <t>SCR-012</t>
  </si>
  <si>
    <t>User Management</t>
  </si>
  <si>
    <t>SCR-013</t>
  </si>
  <si>
    <t>User Detail</t>
  </si>
  <si>
    <t>SCR-014</t>
  </si>
  <si>
    <t>SCR-015</t>
  </si>
  <si>
    <t>Task Create/Edit</t>
  </si>
  <si>
    <t>SCR-016</t>
  </si>
  <si>
    <t>Live Attendance</t>
  </si>
  <si>
    <t>SCR-017</t>
  </si>
  <si>
    <t>Attendance Logs</t>
  </si>
  <si>
    <t>SCR-018</t>
  </si>
  <si>
    <t>Correction Review</t>
  </si>
  <si>
    <t>SCR-019</t>
  </si>
  <si>
    <t>Reports</t>
  </si>
  <si>
    <t>SCR-020</t>
  </si>
  <si>
    <t>Audit Log</t>
  </si>
  <si>
    <t>SRS AC Count</t>
  </si>
  <si>
    <t>Tracker AC Count</t>
  </si>
  <si>
    <t>AC Tested</t>
  </si>
  <si>
    <t>AC Passed</t>
  </si>
  <si>
    <t>AC Failed</t>
  </si>
  <si>
    <t>Traceability</t>
  </si>
  <si>
    <t>QA Completion %</t>
  </si>
  <si>
    <t>Risk ID</t>
  </si>
  <si>
    <t>Risk</t>
  </si>
  <si>
    <t>Impact</t>
  </si>
  <si>
    <t>Likelihood</t>
  </si>
  <si>
    <t>Mitigation</t>
  </si>
  <si>
    <t>Decision / Dependency</t>
  </si>
  <si>
    <t>RISK-001</t>
  </si>
  <si>
    <t>Timer/attendance race conditions</t>
  </si>
  <si>
    <t>High</t>
  </si>
  <si>
    <t>Medium</t>
  </si>
  <si>
    <t>Use database constraints, transactions and idempotent endpoints for active clock/timer operations.</t>
  </si>
  <si>
    <t>Postgres partial unique indexes enforce one active attendance session and one active task timer per user at the DB level, not just in application code; verified by e2e tests.</t>
  </si>
  <si>
    <t>RISK-002</t>
  </si>
  <si>
    <t>Users forget to stop timers</t>
  </si>
  <si>
    <t>Long-running timer reminders, daily reconciliation and correction workflow.</t>
  </si>
  <si>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</si>
  <si>
    <t>RISK-003</t>
  </si>
  <si>
    <t>Browser/client clock manipulation</t>
  </si>
  <si>
    <t>Use server timestamps for official records; browser only displays derived elapsed time.</t>
  </si>
  <si>
    <t>All official clock/timer timestamps are generated server-side; the browser only ever displays a derived elapsed time.</t>
  </si>
  <si>
    <t>RISK-004</t>
  </si>
  <si>
    <t>Over-scoping into HR/project management</t>
  </si>
  <si>
    <t>Keep MVP limited to registration, attendance, breaks, task list, task timer, admin and reporting.</t>
  </si>
  <si>
    <t>Confirmed 2026-09-09 against the SRS's own Section 2.2 Explicitly Out of Scope list: multi-tenancy, payroll, leave/holiday management, shift/rota management, calendar/diary, a full CRM/project-management suite, white-labelling, AI features and employee surveillance (screenshots/webcam/keystroke logging) - none of these exist anywhere in the delivered app. Scope stayed within the 12 epics/300 ACs the SRS actually defines.</t>
  </si>
  <si>
    <t>RISK-005</t>
  </si>
  <si>
    <t>Audit trail weakened by direct edits</t>
  </si>
  <si>
    <t>Low</t>
  </si>
  <si>
    <t>Corrections preserve originals and require reason/actor/time.</t>
  </si>
  <si>
    <t>Corrections never overwrite the live record until approved, and every correction/direct-edit is captured in the audit log with before/after values.</t>
  </si>
  <si>
    <t>RISK-006</t>
  </si>
  <si>
    <t>Sensitive workforce data exposure</t>
  </si>
  <si>
    <t>RBAC, HTTPS, secure sessions, least privilege and privacy-conscious logging.</t>
  </si>
  <si>
    <t>Live-verified across this sign-off effort: RBAC blocks 7 representative admin-only endpoints for a real employee session (403) and anonymous requests (401); API ingress enforces HTTPS (allowInsecure=false); auth uses HttpOnly, Secure, SameSite=None JWT cookies, never localStorage; structured logging redacts cookies/authorization/password fields and never captures request bodies by default (see NFR-003/NFR-004/NFR-012).</t>
  </si>
  <si>
    <t>RISK-007</t>
  </si>
  <si>
    <t>Write-path API latency under a synchronized concurrent burst (e.g. real shift-start rush)</t>
  </si>
  <si>
    <t>Increase Container App CPU/memory allocation; move Postgres off Burstable (Standard_B1ms) to a General Purpose tier before onboarding a real multi-employee organisation.</t>
  </si>
  <si>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</si>
  <si>
    <t>RISK-008</t>
  </si>
  <si>
    <t>Next.js runtime dependency (pinned 14.2.35) carries known critical vulnerabilities, including an unauthenticated RCE in the Image Optimization API and one specific to Windows-hosted servers.</t>
  </si>
  <si>
    <t>Confirmed the app does not use next/image or the built-in Image Optimization route anywhere in its own code, and deploys as a Linux container (node:20-alpine on Azure Container Apps), so the Windows-specific CVE does not apply to this deployment. The only real fix is a Next.js 14-&gt;15 major-version migration (breaking API changes) - deliberately deferred rather than rushed into a live, already-verified app. GitHub Dependabot alerts and automated security fixes were enabled 2026-09-10 for ongoing visibility.</t>
  </si>
  <si>
    <t>Full first-patched version for both critical CVEs is 15.5.24 - there is no 14.x patch. 30 additional 'high' Dependabot findings exist (multer, js-yaml, postcss, lodash, more Next.js SSRF/DoS advisories); multer is a transitive dependency never wired to a route in this app's own code. | RESOLVED 2026-09-11: upgraded next 14.2.35 -&gt; 16.3.4 (15.x has no further stable releases; 16.3.4 is the actual current fix). By the time this was tackled, npm audit showed 24 next advisories, not just the original 2 critical - both critical RCEs (GHSA-p293-qw3h-jr36 Windows path traversal, GHSA-2xp9-vwfh-vxw4 AVIF image-optimizer RCE) plus everything else; after the upgrade, next no longer appears in npm audit at all. Confirmed via grep before starting that this app has no server-side cookies()/headers()/params/searchParams usage, no middleware, no next/image, no parallel routes - so the Next 15/16 async-request-API breaking changes don't apply here. Stayed on React 18.3.1 (already installed, satisfies Next 16's peer minimum) rather than also taking on an unnecessary React 19 migration. eslint-config-next@16 required migrating apps/web to ESLint 9 flat config (eslint.config.mjs); disabled one new stricter lint rule (react-hooks/set-state-in-effect) for two pre-existing legitimate effect uses it now flags, not a behavior change. Verified: CI green (build-and-test, docker-build, real Playwright browser E2E), deployed to Staging first and live-verified there (login, real clock-in/clock-out write path, Reports page), then deployed to production and re-verified live there the same way, plus a clean browser console.</t>
  </si>
  <si>
    <t>RISK-009</t>
  </si>
  <si>
    <t>Password-reset (and all other) emails are undeliverable in production for any real user other than the Resend account's own verified address, because EMAIL_FROM is still Resend's shared sandbox domain (onboarding@resend.dev) and no custom domain has been verified.</t>
  </si>
  <si>
    <t>No workaround exists in production by design - devResetToken (which bypasses email entirely) is deliberately never exposed outside NODE_ENV!=production, since exposing a raw reset token in an API response would itself be a security defect. The only real fix is verifying a custom domain in Resend (a few DNS records, no code change) or, alternatively, an admin can manually reset a user's password via the User Detail screen as a fallback in the meantime.</t>
  </si>
  <si>
    <t>Needs Amaan to provide a domain to verify in Resend, or explicitly accept this gap for the initial delivery.</t>
  </si>
  <si>
    <t>Confirmed live 2026-09-10 via a real forgot-password request against production and the resulting Azure Log Analytics entry: "Resend rejected email to employee@atms.app ... You can only send testing emails to your own email address (rasheeed0020@gmail.com)". This is a currently-active broken flow, not a latent/theoretical risk - the highest-priority item in this sheet as a result. Also affects EP-011's reminder emails, though those are lower-severity since notificationsEmailEnabled defaults to false and in-app notifications remain fully functional regardless.</t>
  </si>
  <si>
    <t>RISK-010</t>
  </si>
  <si>
    <t>No automated Playwright browser end-to-end tests exist, despite the SRS explicitly naming Playwright twice (Testing Strategy §14, Technology Stack §15) for the Register→Login→Clock In→Task→Break→Switch→Clock Out critical path.</t>
  </si>
  <si>
    <t>Critical workflows have been extensively manually verified live against the deployed app throughout this effort (real browser, real data, repeated across every epic), and CI runs real API-level e2e tests against a real Postgres instance - so the underlying behaviour is genuinely proven, just not via the specific automated tool the SRS names. Adding Playwright coverage for the two named critical flows (employee path, admin path) closes this properly.</t>
  </si>
  <si>
    <t>Scope confirmed with Amaan; not yet started.</t>
  </si>
  <si>
    <t>Confirmed 2026-09-10 via direct SRS text search (§14/§15) and repo inspection: apps/web/package.json has no Playwright dependency and no test:e2e script, despite the root package.json's test:e2e delegating to it. | Closed 2026-09-11: added apps/web/e2e/employee-critical-path.spec.ts (the SRS-named flow verbatim) and admin-flow.spec.ts (the SRS administrator workflow), plus a new playwright-e2e CI job (its own Postgres, full build/migrate/seed, starts both servers for real). First CI attempt genuinely failed - not a local-only pass rubber-stamped as done - root cause was NODE_ENV=production at job level making npm ci skip devDependencies (349 packages installed vs the normal ~1155), breaking the shared package build entirely unrelated to Playwright itself. Fixed by scoping NODE_ENV=production to only the two steps that run the built servers. Re-ran in real CI and confirmed from the raw job log: "Running 2 tests using 1 worker" / "2 passed (5.2s)" - both flows genuinely pass against a freshly built stack in CI, not just locally.</t>
  </si>
  <si>
    <t>RISK-011</t>
  </si>
  <si>
    <t>Timezone/daylight-saving-time edge cases are not explicitly tested, despite the SRS Testing Strategy (§14) separately naming "Time-zone and daylight-saving tests" as its own category.</t>
  </si>
  <si>
    <t>All timestamps are stored as Postgres timestamptz and always serialized via toISOString() (UTC) - architecturally this makes DST-boundary bugs structurally unlikely, and AC-012-003-04 already code-verifies UTC storage/serialization correctness. What's missing is a test that specifically exercises a real DST spring-forward/fall-back transition, not the underlying design.</t>
  </si>
  <si>
    <t>Confirmed 2026-09-10: the only related tracked item (AC-012-003-04) covers UTC serialization correctness, not a DST-boundary scenario specifically. | Closed 2026-09-10: added two real tests exercising actual US DST transitions (2026-11-01 fall-back, 2026-03-08 spring-forward) to packages/shared/src/time-math.test.ts, both passing.</t>
  </si>
  <si>
    <t>RISK-012</t>
  </si>
  <si>
    <t>No separate Staging environment exists, despite the SRS (§15 Deployment and Operations) explicitly requiring "Environment separation: Development, Test/QA, Staging and Production."</t>
  </si>
  <si>
    <t>Currently: local Development, CI's ephemeral test database (Test/QA-equivalent), and one single Azure environment that serves as both Staging and Production at once - the same environment this whole sign-off effort tested live against. A real Staging tier would need its own Container Apps environment/database, doubling Azure cost for this delivery.</t>
  </si>
  <si>
    <t>Needs Amaan's call on whether a 4th environment is warranted for this delivery's scale. | RESOLVED 2026-09-11: Amaan chose a full mirror of production (same specs, not scaled-down) for Staging, with genuine resource separation elsewhere once a hard platform limit was hit.</t>
  </si>
  <si>
    <t>Confirmed 2026-09-10 via direct SRS text search (§15) and cross-check against actual Azure resources (atms-rg contains exactly one Container Apps environment). | Implemented and live-verified 2026-09-11. Provisioned via new infra/staging.bicep + .github/workflows/deploy-staging.yml (workflow_dispatch only, separate trigger from production's deploy.yml). Staging has its own ACR, its own Postgres Flexible Server (Standard_B2s, 7-day backups), its own least-privilege atms_app DB role, its own JWT secrets, and its own generated (non-default) seed credentials. Both Container Apps run at production specs (minReplicas:1, same CPU/memory). Real platform constraint discovered live: this Azure subscription allows exactly one Container Apps managed environment total - confirmed via two failed deployment attempts (MaxNumberOfRegionalEnvironmentsInSubExceeded in centralus, then MaxNumberOfGlobalEnvironmentsInSubExceeded in eastus). Resolved by having staging's 2 Container Apps join the EXISTING production managed environment via a Bicep 'existing' cross-resource-group reference, while keeping registry, database, secrets, and images fully independent - a bad staging deploy cannot touch production data or containers. Live end-to-end verification: logged in via real browser as the staging seed admin, ran a real clock-in/clock-out through the browser session (200/200), and confirmed the resulting row appeared correctly on the staging Reports page; admin Audit Log page also confirmed rendering correctly (empty, as expected - clock actions aren't audited events). Documented in docs/DEPLOYMENT.md ('Staging environment' section) and README.md ('Live demo' section).</t>
  </si>
  <si>
    <t>RISK-013</t>
  </si>
  <si>
    <t>The generated OpenAPI/Swagger spec is never validated in CI, despite the SRS (§12 API Requirements) explicitly requiring it be "generated from backend source annotations/decorators and validated in CI."</t>
  </si>
  <si>
    <t>The spec itself is real and live (confirmed 2026-09-10: GET /api/docs-json returns 200 with 47 documented paths against the live API) - generation works. Validation (e.g. a CI step that builds the spec and lints/diffs it) simply doesn't exist yet; a missing or broken annotation could currently ship without CI ever catching it.</t>
  </si>
  <si>
    <t>Confirmed 2026-09-10: grepped .github/workflows/ci.yml for any openapi/swagger reference - none found. | Closed 2026-09-10: added apps/api/test/openapi.e2e-spec.ts, verified passing in real CI (not just locally) against a live Postgres instance - PASS test/openapi.e2e-spec.ts, 31/31 tests total in that run.</t>
  </si>
  <si>
    <t>RISK-014</t>
  </si>
  <si>
    <t>The API connects to production Postgres using the database server's own admin login, not a scoped least-privilege application role, despite the SRS (§10 Security Requirements) explicitly requiring "least-privilege database credentials."</t>
  </si>
  <si>
    <t>Managed secret storage is correctly in place (Container App secrets, not committed anywhere). The missing half is a dedicated, restricted DB role for the application itself - no CREATE ROLE/GRANT statements exist anywhere in the migrations or infra/main.bicep. If the API were ever compromised (e.g. via a future SQL-handling bug), it currently has full database-server admin rights, not just rights scoped to its own schema.</t>
  </si>
  <si>
    <t>Needs a migration/infra change: create a scoped Postgres role, grant it only the app's own schema, switch DATABASE_URL to it.</t>
  </si>
  <si>
    <t>Confirmed 2026-09-10: no role-creation or GRANT statements found anywhere in apps/api/prisma/migrations or infra/main.bicep; the app almost certainly runs as the server's administratorLogin (atmsadmin) for all database access. | Closed 2026-09-11: created a new Postgres role atms_app (rolsuper=false, rolcreaterole=false, rolcreatedb=false, rolcanlogin=true) with only SELECT/INSERT/UPDATE/DELETE on the public schema's tables and USAGE/SELECT on its sequences (52 grant rows total, matching 13 tables x 4 DML privileges) - no DDL, no role/db management, no access to any other database. Switched the API Container App's database-url secret to connect as this role instead of the server admin login, restarted the revision, and verified live: GET /ready (real DB connectivity check) returns 200, and a full login + clock-in + clock-out cycle against production succeeds end-to-end on the new role. The admin login (atmsadmin) is now used only for migrations, not runtime traffic - if the API were ever compromised it would have read/write access to its own data only, not database-server admin rights. Amaan added the temporary firewall rule via the Azure Portal himself; both the admin password (reset as part of this change, since it could not be retrieved) and the new role's password were rotated and never persisted anywhere outside the Container App secret.</t>
  </si>
  <si>
    <t>RISK-015</t>
  </si>
  <si>
    <t>No distinct read-only "Auditor" role exists, despite the SRS naming it as a full stakeholder persona (§3: "Read authorised attendance/task/audit reports without editing operational records") and giving it a dedicated Must-Have/MVP user story (US-009-005, Persona: Auditor).</t>
  </si>
  <si>
    <t>UserRole currently defines only EMPLOYEE and ADMINISTRATOR (packages/shared/src/enums.ts) - no read-only tier. The 4 specific ACs under US-009-005 (audit captures actor/action/timestamp, employees can't edit it, filterable, secrets never logged) are all genuinely satisfied via admin-gated access, so no AC actually fails - this is a role-granularity gap, not a broken feature. Anyone needing to view reports/audit without write access currently has to be given full Administrator rights.</t>
  </si>
  <si>
    <t>Needs Amaan's call on whether a 3rd role is worth adding for this delivery, given the underlying ACs already pass.</t>
  </si>
  <si>
    <t>Confirmed 2026-09-10 via direct SRS text search (§3 Stakeholders, US-009-005) and the actual UserRole enum in code - only 2 values exist. | Closed 2026-09-11: added UserRole.AUDITOR (migration 20260911050000_add_auditor_role) and a new AuditorScopeGuard, default-denying AUDITOR on every route except ones explicitly marked @AuditorAllowed() (reports, audit log, live attendance, user list for the reports filter, own profile). Proved both halves live in a new auditor-role.e2e-spec.ts (14 tests): the allowed surfaces genuinely work, every write endpoint genuinely 403s. Also fixed two real UX gaps found by actually logging in as an Auditor through the browser, not assumed: login/root unconditionally redirected everyone to /my-day (a dead end for a role with no attendance of its own) - now routes Auditor to /admin/reports; /admin/users showed fully-interactive edit controls that would 403 if used - now shows read-only values for non-Administrators. Confirmed in real CI (run #115): 45/45 API e2e tests pass together (including a genuine cross-file Jest test-isolation race this work surfaced and fixed via maxWorkers:1, unrelated to Auditor itself but a real latent bug), 2/2 Playwright tests pass, docker-build succeeds. Not yet deployed to production - the enum migration needs applying to the live database before this is usable there. | Deployed to production 2026-09-11: migration applied live, deploy workflow run (#34) succeeded, and re-verified end-to-end against the real deployed app with a real disposable test account - AUDITOR role selectable in the real admin Create User form, login correctly routes straight to /admin/reports, nav shows exactly Live Attendance/Reports/Audit Log/Profile, and direct API calls confirm POST /attendance/clock-in -&gt; 403 while GET /audit and GET /reports/attendance -&gt; 200. Test account deactivated after verification.</t>
  </si>
  <si>
    <t>RISK-016</t>
  </si>
  <si>
    <t>Definition of Ready (SRS §17.1: "Dependencies resolved or explicitly tracked") is not met at the tracker level - the User Stories sheet has a dedicated Dependencies column that is blank for all 75 stories, not just some.</t>
  </si>
  <si>
    <t>In practice, stories within an epic were largely built and tested in order without hard cross-epic blocking (e.g. EP-011's notifications genuinely depended on EP-005/EP-009 existing first, and were built after them) - so there's no evidence of an actual unmanaged dependency causing a real problem. The gap is specifically that this was never written down anywhere, which is what the DoR criterion asks for ("resolved OR explicitly tracked" - blank satisfies neither).</t>
  </si>
  <si>
    <t>Would need someone to go through all 75 stories and record real cross-story dependencies (e.g. US-011-001 depends on EP-005's task-assignment flow existing) - straightforward but not yet done.</t>
  </si>
  <si>
    <t>Confirmed 2026-09-11: 75 of 75 User Stories rows have a blank Dependencies column (checked directly against the live tracker file, not assumed).</t>
  </si>
  <si>
    <t>RISK-017</t>
  </si>
  <si>
    <t>Definition of Done (SRS §17.2: "No unresolved Critical/High security defect") is not strictly true right now, given the 4 Critical + 30 High Dependabot findings tracked under RISK-008 (the unpatched Next.js CVEs and their related dependency chain).</t>
  </si>
  <si>
    <t>Real-world exposure was already assessed as low under RISK-008 (the vulnerable Next.js feature isn't used anywhere in this app's own code, and the Windows-specific CVE doesn't apply to this Linux container deployment) and the fix (a Next.js 14-&gt;15 migration) is deliberately deferred rather than rushed into an already-verified live app. This risk exists specifically to make that DoD conflict visible on its own, rather than leaving it as a sentence buried inside a different risk's evidence text - every epic in this tracker is marked Done, and under a literal reading of the SRS's own exit criteria, none of them strictly qualify while this remains open.</t>
  </si>
  <si>
    <t>Resolves automatically once RISK-008 is closed (the Next.js migration, or another fix for the underlying CVEs) - no separate action needed beyond that.</t>
  </si>
  <si>
    <t>Confirmed 2026-09-11: GitHub Dependabot currently reports 4 critical, 30 high, 38 moderate, 9 low open findings on the default branch (checked live, not assumed). Directly cross-referenced against the SRS's own SS17.2 wording, which was previously only noted as a caveat inside RISK-008 rather than tracked as its own item. | RESOLVED 2026-09-11: closes automatically now that RISK-008 is closed - next no longer appears in npm audit at all post-upgrade, removing the specific finding this risk was tracking against the SRS's DoD wording.</t>
  </si>
  <si>
    <t>Goal</t>
  </si>
  <si>
    <t>Epic Scope</t>
  </si>
  <si>
    <t>Entry Gate</t>
  </si>
  <si>
    <t>Exit Gate</t>
  </si>
  <si>
    <t>Deliver usable production baseline</t>
  </si>
  <si>
    <t>EP-001 to EP-010 and EP-012</t>
  </si>
  <si>
    <t>SRS approved; schema/UX/security baseline ready</t>
  </si>
  <si>
    <t>MVP stories accepted; security, concurrency, backup and deployment gates passed</t>
  </si>
  <si>
    <t>Add reminders and production-led refinements</t>
  </si>
  <si>
    <t>EP-011 + approved carry-over improvements</t>
  </si>
  <si>
    <t>MVP stable with production telemetry</t>
  </si>
  <si>
    <t>R1 AC passed and no blocking regression</t>
  </si>
  <si>
    <t>Evidence-driven expansion only</t>
  </si>
  <si>
    <t>Native mobile / SSO / richer live updates / external integrations if justified</t>
  </si>
  <si>
    <t>Business case and production evidence</t>
  </si>
  <si>
    <t>Feature-specific readiness criteria</t>
  </si>
  <si>
    <t>Planned</t>
  </si>
  <si>
    <t>Attendance &amp; Task Management - Delivery Dashboard</t>
  </si>
  <si>
    <t>Baseline Metric</t>
  </si>
  <si>
    <t>Value</t>
  </si>
  <si>
    <t>Count</t>
  </si>
  <si>
    <t>Stories</t>
  </si>
  <si>
    <t>Epics</t>
  </si>
  <si>
    <t>User Stories</t>
  </si>
  <si>
    <t>Acceptance Criteria</t>
  </si>
  <si>
    <t>NFRs</t>
  </si>
  <si>
    <t>Business Rules</t>
  </si>
  <si>
    <t>Screens</t>
  </si>
  <si>
    <t>Quality / Delivery KPI</t>
  </si>
  <si>
    <t>Stories Done %</t>
  </si>
  <si>
    <t>AC Pass %</t>
  </si>
  <si>
    <t>Blocked Stories</t>
  </si>
  <si>
    <t>Traceability Coverage</t>
  </si>
  <si>
    <t>Open Risks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</si>
</sst>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font>
      <sz val="11"/>
      <name val="Carlito"/>
    </font>
    <font>
      <b/>
      <sz val="11"/>
      <color rgb="FFFFFFFF"/>
      <name val="Carlito"/>
    </font>
    <font>
      <b/>
      <sz val="16"/>
      <color rgb="FFFFFFFF"/>
      <name val="Carlito"/>
    </font>
  </fonts>
  <fills count="4">
    <fill>
      <patternFill patternType="none"/>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xfId="0" applyBorder="1"/>
    <xf numFmtId="0" fontId="1" fillId="2" borderId="0" xfId="0" applyFont="1" applyFill="1" applyBorder="1" applyAlignment="1">
      <alignment horizontal="center"/>
    </xf>
    <xf numFmtId="0" fontId="1" fillId="2" borderId="0" xfId="0" applyFont="1" applyFill="1" applyBorder="1" applyAlignment="1">
      <alignment horizontal="center" vertical="center"/>
    </xf>
    <xf numFmtId="0" fontId="0" fillId="0" borderId="0" xfId="0" applyBorder="1" applyAlignment="1">
      <alignment wrapText="1"/>
    </xf>
    <xf numFmtId="0" fontId="0" fillId="0" borderId="0" xfId="0" applyBorder="1" applyAlignment="1">
      <alignment vertical="top" wrapText="1"/>
    </xf>
    <xf numFmtId="9" fontId="0" fillId="0" borderId="0" xfId="0" applyNumberFormat="1" applyBorder="1" applyAlignment="1">
      <alignment vertical="top" wrapText="1"/>
    </xf>
    <xf numFmtId="164" fontId="0" fillId="0" borderId="0" xfId="0" applyNumberFormat="1" applyBorder="1" applyAlignment="1">
      <alignment vertical="top" wrapText="1"/>
    </xf>
    <xf numFmtId="0" fontId="2" fillId="3" borderId="1" xfId="0" applyFont="1" applyFill="1" applyAlignment="1">
      <alignment vertical="center"/>
    </xf>
    <xf numFmtId="0" fontId="0" fillId="0" borderId="0" xfId="0" applyBorder="1"/>
  </cellXfs>
  <cellStyles count="1">
    <cellStyle name="Normal" xfId="0" builtinId="0"/>
  </cellStyles>
  <dxfs count="21">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User Story Status</a:t>
            </a:r>
          </a:p>
        </c:rich>
      </c:tx>
      <c:overlay val="1"/>
    </c:title>
    <c:autoTitleDeleted val="0"/>
    <c:plotArea>
      <c:layout/>
      <c:barChart>
        <c:barDir val="col"/>
        <c:grouping val="clustered"/>
        <c:varyColors val="0"/>
        <c:ser>
          <c:idx val="0"/>
          <c:order val="0"/>
          <c:tx>
            <c:v>Count</c:v>
          </c:tx>
          <c:spPr>
            <a:ln>
              <a:prstDash val="solid"/>
            </a:ln>
          </c:spPr>
          <c:invertIfNegative val="1"/>
          <c:cat>
            <c:strRef>
              <c:f>Dashboard!$D$4:$D$9</c:f>
              <c:strCache>
                <c:ptCount val="6"/>
                <c:pt idx="0">
                  <c:v>Not Started</c:v>
                </c:pt>
                <c:pt idx="1">
                  <c:v>In Progress</c:v>
                </c:pt>
                <c:pt idx="2">
                  <c:v>In Review</c:v>
                </c:pt>
                <c:pt idx="3">
                  <c:v>Blocked</c:v>
                </c:pt>
                <c:pt idx="4">
                  <c:v>Done</c:v>
                </c:pt>
                <c:pt idx="5">
                  <c:v>Deferred</c:v>
                </c:pt>
              </c:strCache>
            </c:strRef>
          </c:cat>
          <c:val>
            <c:numRef>
              <c:f>Dashboard!$E$4:$E$9</c:f>
              <c:numCache>
                <c:formatCode>General</c:formatCode>
                <c:ptCount val="6"/>
                <c:pt idx="0">
                  <c:v>0</c:v>
                </c:pt>
                <c:pt idx="1">
                  <c:v>0</c:v>
                </c:pt>
                <c:pt idx="2">
                  <c:v>0</c:v>
                </c:pt>
                <c:pt idx="3">
                  <c:v>0</c:v>
                </c:pt>
                <c:pt idx="4">
                  <c:v>75</c:v>
                </c:pt>
                <c:pt idx="5">
                  <c:v>0</c:v>
                </c:pt>
              </c:numCache>
            </c:numRef>
          </c:val>
          <c:extLst>
            <c:ext xmlns:c16="http://schemas.microsoft.com/office/drawing/2014/chart" uri="{C3380CC4-5D6E-409C-BE32-E72D297353CC}">
              <c16:uniqueId val="{00000000-7D73-4D93-B93F-E5D1DBC7F400}"/>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Stories by Release</a:t>
            </a:r>
          </a:p>
        </c:rich>
      </c:tx>
      <c:overlay val="1"/>
    </c:title>
    <c:autoTitleDeleted val="0"/>
    <c:plotArea>
      <c:layout/>
      <c:barChart>
        <c:barDir val="col"/>
        <c:grouping val="clustered"/>
        <c:varyColors val="0"/>
        <c:ser>
          <c:idx val="0"/>
          <c:order val="0"/>
          <c:tx>
            <c:v>Stories</c:v>
          </c:tx>
          <c:spPr>
            <a:ln>
              <a:prstDash val="solid"/>
            </a:ln>
          </c:spPr>
          <c:invertIfNegative val="1"/>
          <c:cat>
            <c:strRef>
              <c:f>Dashboard!$G$4:$G$6</c:f>
              <c:strCache>
                <c:ptCount val="3"/>
                <c:pt idx="0">
                  <c:v>MVP</c:v>
                </c:pt>
                <c:pt idx="1">
                  <c:v>R1</c:v>
                </c:pt>
                <c:pt idx="2">
                  <c:v>Later</c:v>
                </c:pt>
              </c:strCache>
            </c:strRef>
          </c:cat>
          <c:val>
            <c:numRef>
              <c:f>Dashboard!$H$4:$H$6</c:f>
              <c:numCache>
                <c:formatCode>General</c:formatCode>
                <c:ptCount val="3"/>
                <c:pt idx="0">
                  <c:v>71</c:v>
                </c:pt>
                <c:pt idx="1">
                  <c:v>4</c:v>
                </c:pt>
                <c:pt idx="2">
                  <c:v>0</c:v>
                </c:pt>
              </c:numCache>
            </c:numRef>
          </c:val>
          <c:extLst>
            <c:ext xmlns:c16="http://schemas.microsoft.com/office/drawing/2014/chart" uri="{C3380CC4-5D6E-409C-BE32-E72D297353CC}">
              <c16:uniqueId val="{00000000-3484-4590-8C6D-09FCEA02F6E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11</xdr:row>
      <xdr:rowOff>0</xdr:rowOff>
    </xdr:from>
    <xdr:to>
      <xdr:col>8</xdr:col>
      <xdr:colOff>0</xdr:colOff>
      <xdr:row>26</xdr:row>
      <xdr:rowOff>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xdr:row>
      <xdr:rowOff>0</xdr:rowOff>
    </xdr:from>
    <xdr:to>
      <xdr:col>14</xdr:col>
      <xdr:colOff>0</xdr:colOff>
      <xdr:row>16</xdr:row>
      <xdr:rowOff>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picsTable" displayName="EpicsTable" ref="A1:J13" totalsRowShown="0">
  <tableColumns count="10">
    <tableColumn id="1" xr3:uid="{00000000-0010-0000-0000-000001000000}" name="Epic ID"/>
    <tableColumn id="2" xr3:uid="{00000000-0010-0000-0000-000002000000}" name="Epic Name"/>
    <tableColumn id="3" xr3:uid="{00000000-0010-0000-0000-000003000000}" name="Description"/>
    <tableColumn id="4" xr3:uid="{00000000-0010-0000-0000-000004000000}" name="Priority"/>
    <tableColumn id="5" xr3:uid="{00000000-0010-0000-0000-000005000000}" name="Release"/>
    <tableColumn id="6" xr3:uid="{00000000-0010-0000-0000-000006000000}" name="Owner"/>
    <tableColumn id="7" xr3:uid="{00000000-0010-0000-0000-000007000000}" name="Status"/>
    <tableColumn id="8" xr3:uid="{00000000-0010-0000-0000-000008000000}" name="Target Sprint"/>
    <tableColumn id="9" xr3:uid="{00000000-0010-0000-0000-000009000000}" name="% Complete"/>
    <tableColumn id="10" xr3:uid="{00000000-0010-0000-0000-00000A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UserStoriesTable" displayName="UserStoriesTable" ref="A1:O76" totalsRowShown="0">
  <tableColumns count="15">
    <tableColumn id="1" xr3:uid="{00000000-0010-0000-0100-000001000000}" name="Story ID"/>
    <tableColumn id="2" xr3:uid="{00000000-0010-0000-0100-000002000000}" name="Epic ID"/>
    <tableColumn id="3" xr3:uid="{00000000-0010-0000-0100-000003000000}" name="Title"/>
    <tableColumn id="4" xr3:uid="{00000000-0010-0000-0100-000004000000}" name="Persona"/>
    <tableColumn id="5" xr3:uid="{00000000-0010-0000-0100-000005000000}" name="User Story"/>
    <tableColumn id="6" xr3:uid="{00000000-0010-0000-0100-000006000000}" name="AC Count"/>
    <tableColumn id="7" xr3:uid="{00000000-0010-0000-0100-000007000000}" name="Dependencies"/>
    <tableColumn id="8" xr3:uid="{00000000-0010-0000-0100-000008000000}" name="Owner"/>
    <tableColumn id="9" xr3:uid="{00000000-0010-0000-0100-000009000000}" name="Priority"/>
    <tableColumn id="10" xr3:uid="{00000000-0010-0000-0100-00000A000000}" name="Release"/>
    <tableColumn id="11" xr3:uid="{00000000-0010-0000-0100-00000B000000}" name="Sprint"/>
    <tableColumn id="12" xr3:uid="{00000000-0010-0000-0100-00000C000000}" name="Status"/>
    <tableColumn id="13" xr3:uid="{00000000-0010-0000-0100-00000D000000}" name="Estimate Points"/>
    <tableColumn id="14" xr3:uid="{00000000-0010-0000-0100-00000E000000}" name="Dev Notes"/>
    <tableColumn id="15" xr3:uid="{00000000-0010-0000-0100-00000F000000}" name="QA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cceptanceCriteriaTable" displayName="AcceptanceCriteriaTable" ref="A1:K301" totalsRowShown="0" dataDxfId="20">
  <tableColumns count="11">
    <tableColumn id="1" xr3:uid="{00000000-0010-0000-0200-000001000000}" name="AC ID" dataDxfId="19"/>
    <tableColumn id="2" xr3:uid="{00000000-0010-0000-0200-000002000000}" name="Story ID" dataDxfId="18"/>
    <tableColumn id="3" xr3:uid="{00000000-0010-0000-0200-000003000000}" name="Epic ID" dataDxfId="17"/>
    <tableColumn id="4" xr3:uid="{00000000-0010-0000-0200-000004000000}" name="Acceptance Criterion" dataDxfId="16"/>
    <tableColumn id="5" xr3:uid="{00000000-0010-0000-0200-000005000000}" name="Test Case ID" dataDxfId="15"/>
    <tableColumn id="6" xr3:uid="{00000000-0010-0000-0200-000006000000}" name="Test Status" dataDxfId="14"/>
    <tableColumn id="7" xr3:uid="{00000000-0010-0000-0200-000007000000}" name="Evidence / Link" dataDxfId="13"/>
    <tableColumn id="8" xr3:uid="{00000000-0010-0000-0200-000008000000}" name="Defect ID" dataDxfId="12"/>
    <tableColumn id="9" xr3:uid="{00000000-0010-0000-0200-000009000000}" name="Tester" dataDxfId="11"/>
    <tableColumn id="10" xr3:uid="{00000000-0010-0000-0200-00000A000000}" name="Test Cycle" dataDxfId="10"/>
    <tableColumn id="11" xr3:uid="{00000000-0010-0000-0200-00000B000000}" name="Comments" dataDxfId="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chnologyStackTable" displayName="TechnologyStackTable" ref="A1:C19" totalsRowShown="0">
  <tableColumns count="3">
    <tableColumn id="1" xr3:uid="{00000000-0010-0000-0300-000001000000}" name="Layer"/>
    <tableColumn id="2" xr3:uid="{00000000-0010-0000-0300-000002000000}" name="Recommended Technology"/>
    <tableColumn id="3" xr3:uid="{00000000-0010-0000-0300-000003000000}"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reensTable" displayName="ScreensTable" ref="A1:C21" totalsRowShown="0">
  <tableColumns count="3">
    <tableColumn id="1" xr3:uid="{00000000-0010-0000-0400-000001000000}" name="Screen ID"/>
    <tableColumn id="2" xr3:uid="{00000000-0010-0000-0400-000002000000}" name="Screen"/>
    <tableColumn id="3" xr3:uid="{00000000-0010-0000-0400-000003000000}" name="Delivery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raceabilityTable" displayName="TraceabilityTable" ref="A1:J76" totalsRowShown="0">
  <tableColumns count="10">
    <tableColumn id="1" xr3:uid="{00000000-0010-0000-0500-000001000000}" name="Epic ID"/>
    <tableColumn id="2" xr3:uid="{00000000-0010-0000-0500-000002000000}" name="Story ID"/>
    <tableColumn id="3" xr3:uid="{00000000-0010-0000-0500-000003000000}" name="SRS AC Count"/>
    <tableColumn id="4" xr3:uid="{00000000-0010-0000-0500-000004000000}" name="Tracker AC Count"/>
    <tableColumn id="5" xr3:uid="{00000000-0010-0000-0500-000005000000}" name="Story Status"/>
    <tableColumn id="6" xr3:uid="{00000000-0010-0000-0500-000006000000}" name="AC Tested"/>
    <tableColumn id="7" xr3:uid="{00000000-0010-0000-0500-000007000000}" name="AC Passed"/>
    <tableColumn id="8" xr3:uid="{00000000-0010-0000-0500-000008000000}" name="AC Failed"/>
    <tableColumn id="9" xr3:uid="{00000000-0010-0000-0500-000009000000}" name="Traceability"/>
    <tableColumn id="10" xr3:uid="{00000000-0010-0000-0500-00000A000000}" name="QA Completion %"/>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isksTable" displayName="RisksTable" ref="A1:I7" totalsRowShown="0">
  <tableColumns count="9">
    <tableColumn id="1" xr3:uid="{00000000-0010-0000-0600-000001000000}" name="Risk ID"/>
    <tableColumn id="2" xr3:uid="{00000000-0010-0000-0600-000002000000}" name="Risk"/>
    <tableColumn id="3" xr3:uid="{00000000-0010-0000-0600-000003000000}" name="Impact"/>
    <tableColumn id="4" xr3:uid="{00000000-0010-0000-0600-000004000000}" name="Likelihood"/>
    <tableColumn id="5" xr3:uid="{00000000-0010-0000-0600-000005000000}" name="Mitigation"/>
    <tableColumn id="6" xr3:uid="{00000000-0010-0000-0600-000006000000}" name="Owner"/>
    <tableColumn id="7" xr3:uid="{00000000-0010-0000-0600-000007000000}" name="Status"/>
    <tableColumn id="8" xr3:uid="{00000000-0010-0000-0600-000008000000}" name="Decision / Dependency"/>
    <tableColumn id="9" xr3:uid="{00000000-0010-0000-0600-000009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heetViews>
  <sheetFormatPr defaultRowHeight="13.8"/>
  <cols>
    <col min="1" max="6" width="18" customWidth="1"/>
  </cols>
  <sheetData>
    <row r="1" spans="1:6" ht="24" customHeight="1">
      <c r="A1" s="2" t="s">
        <v>1022</v>
      </c>
      <c r="B1" s="2" t="s">
        <v>1023</v>
      </c>
      <c r="C1" s="2" t="s">
        <v>1024</v>
      </c>
      <c r="D1" s="2" t="s">
        <v>1025</v>
      </c>
      <c r="E1" s="2" t="s">
        <v>1026</v>
      </c>
      <c r="F1" s="2" t="s">
        <v>9</v>
      </c>
    </row>
    <row r="2" spans="1:6">
      <c r="A2" s="4" t="s">
        <v>1027</v>
      </c>
      <c r="B2" s="4" t="s">
        <v>1028</v>
      </c>
      <c r="C2" s="4" t="s">
        <v>1029</v>
      </c>
      <c r="D2" s="4" t="s">
        <v>1030</v>
      </c>
      <c r="E2" s="4" t="s">
        <v>1031</v>
      </c>
      <c r="F2" s="4" t="s">
        <v>17</v>
      </c>
    </row>
    <row r="3" spans="1:6">
      <c r="A3" s="4" t="s">
        <v>1032</v>
      </c>
      <c r="B3" s="4" t="s">
        <v>1033</v>
      </c>
      <c r="C3" s="4" t="s">
        <v>1034</v>
      </c>
      <c r="D3" s="4" t="s">
        <v>15</v>
      </c>
      <c r="E3" s="4" t="s">
        <v>1035</v>
      </c>
      <c r="F3" s="4" t="s">
        <v>1036</v>
      </c>
    </row>
    <row r="4" spans="1:6">
      <c r="A4" s="4" t="s">
        <v>1037</v>
      </c>
      <c r="B4" s="4" t="s">
        <v>1038</v>
      </c>
      <c r="C4" s="4" t="s">
        <v>1039</v>
      </c>
      <c r="D4" s="4" t="s">
        <v>1040</v>
      </c>
      <c r="E4" s="4" t="s">
        <v>1041</v>
      </c>
      <c r="F4" s="4" t="s">
        <v>1042</v>
      </c>
    </row>
    <row r="5" spans="1:6">
      <c r="A5" s="4" t="s">
        <v>1043</v>
      </c>
      <c r="B5" s="4"/>
      <c r="C5" s="4"/>
      <c r="D5" s="4" t="s">
        <v>1037</v>
      </c>
      <c r="E5" s="4" t="s">
        <v>1044</v>
      </c>
      <c r="F5" s="4"/>
    </row>
    <row r="6" spans="1:6">
      <c r="A6" s="4" t="s">
        <v>1045</v>
      </c>
      <c r="B6" s="4"/>
      <c r="C6" s="4"/>
      <c r="D6" s="4" t="s">
        <v>1046</v>
      </c>
      <c r="E6" s="4"/>
      <c r="F6" s="4"/>
    </row>
    <row r="7" spans="1:6">
      <c r="A7" s="4" t="s">
        <v>1047</v>
      </c>
      <c r="B7" s="4"/>
      <c r="C7" s="4"/>
      <c r="D7" s="4"/>
      <c r="E7" s="4"/>
      <c r="F7" s="4"/>
    </row>
    <row r="8" spans="1:6">
      <c r="A8" s="4" t="s">
        <v>1048</v>
      </c>
      <c r="B8" s="4"/>
      <c r="C8" s="4"/>
      <c r="D8" s="4"/>
      <c r="E8" s="4"/>
      <c r="F8" s="4"/>
    </row>
    <row r="9" spans="1:6">
      <c r="A9" s="4"/>
      <c r="B9" s="4"/>
      <c r="C9" s="4"/>
      <c r="D9" s="4"/>
      <c r="E9" s="4"/>
      <c r="F9"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
  <sheetViews>
    <sheetView workbookViewId="0"/>
  </sheetViews>
  <sheetFormatPr defaultRowHeight="13.8"/>
  <cols>
    <col min="1" max="1" width="12" customWidth="1"/>
    <col min="2" max="2" width="30" customWidth="1"/>
    <col min="3" max="3" width="50" customWidth="1"/>
    <col min="4" max="4" width="14" customWidth="1"/>
    <col min="5" max="5" width="12" customWidth="1"/>
    <col min="6" max="8" width="16" customWidth="1"/>
    <col min="9" max="9" width="12" customWidth="1"/>
    <col min="10" max="10" width="28" customWidth="1"/>
  </cols>
  <sheetData>
    <row r="1" spans="1:10" ht="24" customHeight="1">
      <c r="A1" s="2" t="s">
        <v>2</v>
      </c>
      <c r="B1" s="2" t="s">
        <v>1049</v>
      </c>
      <c r="C1" s="2" t="s">
        <v>1050</v>
      </c>
      <c r="D1" s="2" t="s">
        <v>1023</v>
      </c>
      <c r="E1" s="2" t="s">
        <v>1024</v>
      </c>
      <c r="F1" s="2" t="s">
        <v>1051</v>
      </c>
      <c r="G1" s="2" t="s">
        <v>1052</v>
      </c>
      <c r="H1" s="2" t="s">
        <v>1053</v>
      </c>
      <c r="I1" s="2" t="s">
        <v>1054</v>
      </c>
      <c r="J1" s="2" t="s">
        <v>1055</v>
      </c>
    </row>
    <row r="2" spans="1:10" ht="55.2" customHeight="1">
      <c r="A2" s="4" t="s">
        <v>13</v>
      </c>
      <c r="B2" s="4" t="s">
        <v>1056</v>
      </c>
      <c r="C2" s="4" t="s">
        <v>1057</v>
      </c>
      <c r="D2" s="4" t="s">
        <v>1028</v>
      </c>
      <c r="E2" s="4" t="s">
        <v>1029</v>
      </c>
      <c r="F2" s="4" t="s">
        <v>16</v>
      </c>
      <c r="G2" s="4" t="s">
        <v>1045</v>
      </c>
      <c r="H2" s="4" t="s">
        <v>1058</v>
      </c>
      <c r="I2" s="5">
        <v>100</v>
      </c>
      <c r="J2" s="4" t="s">
        <v>1059</v>
      </c>
    </row>
    <row r="3" spans="1:10" ht="55.2" customHeight="1">
      <c r="A3" s="4" t="s">
        <v>109</v>
      </c>
      <c r="B3" s="4" t="s">
        <v>1060</v>
      </c>
      <c r="C3" s="4" t="s">
        <v>1061</v>
      </c>
      <c r="D3" s="4" t="s">
        <v>1028</v>
      </c>
      <c r="E3" s="4" t="s">
        <v>1029</v>
      </c>
      <c r="F3" s="4" t="s">
        <v>16</v>
      </c>
      <c r="G3" s="4" t="s">
        <v>1045</v>
      </c>
      <c r="H3" s="4" t="s">
        <v>1058</v>
      </c>
      <c r="I3" s="5">
        <v>100</v>
      </c>
      <c r="J3" s="4" t="s">
        <v>1062</v>
      </c>
    </row>
    <row r="4" spans="1:10" ht="69" customHeight="1">
      <c r="A4" s="4" t="s">
        <v>191</v>
      </c>
      <c r="B4" s="4" t="s">
        <v>1063</v>
      </c>
      <c r="C4" s="4" t="s">
        <v>1064</v>
      </c>
      <c r="D4" s="4" t="s">
        <v>1028</v>
      </c>
      <c r="E4" s="4" t="s">
        <v>1029</v>
      </c>
      <c r="F4" s="4" t="s">
        <v>16</v>
      </c>
      <c r="G4" s="4" t="s">
        <v>1045</v>
      </c>
      <c r="H4" s="4" t="s">
        <v>1058</v>
      </c>
      <c r="I4" s="5">
        <v>100</v>
      </c>
      <c r="J4" s="4" t="s">
        <v>1065</v>
      </c>
    </row>
    <row r="5" spans="1:10" ht="69" customHeight="1">
      <c r="A5" s="4" t="s">
        <v>299</v>
      </c>
      <c r="B5" s="4" t="s">
        <v>1066</v>
      </c>
      <c r="C5" s="4" t="s">
        <v>1067</v>
      </c>
      <c r="D5" s="4" t="s">
        <v>1028</v>
      </c>
      <c r="E5" s="4" t="s">
        <v>1029</v>
      </c>
      <c r="F5" s="4" t="s">
        <v>16</v>
      </c>
      <c r="G5" s="4" t="s">
        <v>1045</v>
      </c>
      <c r="H5" s="4" t="s">
        <v>1058</v>
      </c>
      <c r="I5" s="5">
        <v>100</v>
      </c>
      <c r="J5" s="4" t="s">
        <v>1068</v>
      </c>
    </row>
    <row r="6" spans="1:10" ht="41.4" customHeight="1">
      <c r="A6" s="4" t="s">
        <v>380</v>
      </c>
      <c r="B6" s="4" t="s">
        <v>1069</v>
      </c>
      <c r="C6" s="4" t="s">
        <v>1070</v>
      </c>
      <c r="D6" s="4" t="s">
        <v>1028</v>
      </c>
      <c r="E6" s="4" t="s">
        <v>1029</v>
      </c>
      <c r="F6" s="4" t="s">
        <v>16</v>
      </c>
      <c r="G6" s="4" t="s">
        <v>1045</v>
      </c>
      <c r="H6" s="4" t="s">
        <v>1058</v>
      </c>
      <c r="I6" s="5">
        <v>100</v>
      </c>
      <c r="J6" s="4" t="s">
        <v>1071</v>
      </c>
    </row>
    <row r="7" spans="1:10" ht="69" customHeight="1">
      <c r="A7" s="4" t="s">
        <v>488</v>
      </c>
      <c r="B7" s="4" t="s">
        <v>1072</v>
      </c>
      <c r="C7" s="4" t="s">
        <v>1073</v>
      </c>
      <c r="D7" s="4" t="s">
        <v>1028</v>
      </c>
      <c r="E7" s="4" t="s">
        <v>1029</v>
      </c>
      <c r="F7" s="4" t="s">
        <v>16</v>
      </c>
      <c r="G7" s="4" t="s">
        <v>1045</v>
      </c>
      <c r="H7" s="4" t="s">
        <v>1058</v>
      </c>
      <c r="I7" s="5">
        <v>100</v>
      </c>
      <c r="J7" s="4" t="s">
        <v>1074</v>
      </c>
    </row>
    <row r="8" spans="1:10" ht="82.8" customHeight="1">
      <c r="A8" s="4" t="s">
        <v>619</v>
      </c>
      <c r="B8" s="4" t="s">
        <v>1075</v>
      </c>
      <c r="C8" s="4" t="s">
        <v>1076</v>
      </c>
      <c r="D8" s="4" t="s">
        <v>1028</v>
      </c>
      <c r="E8" s="4" t="s">
        <v>1029</v>
      </c>
      <c r="F8" s="4" t="s">
        <v>16</v>
      </c>
      <c r="G8" s="4" t="s">
        <v>1045</v>
      </c>
      <c r="H8" s="4" t="s">
        <v>1058</v>
      </c>
      <c r="I8" s="5">
        <v>100</v>
      </c>
      <c r="J8" s="4" t="s">
        <v>1077</v>
      </c>
    </row>
    <row r="9" spans="1:10" ht="110.4" customHeight="1">
      <c r="A9" s="4" t="s">
        <v>685</v>
      </c>
      <c r="B9" s="4" t="s">
        <v>1078</v>
      </c>
      <c r="C9" s="4" t="s">
        <v>1079</v>
      </c>
      <c r="D9" s="4" t="s">
        <v>1028</v>
      </c>
      <c r="E9" s="4" t="s">
        <v>1029</v>
      </c>
      <c r="F9" s="4" t="s">
        <v>16</v>
      </c>
      <c r="G9" s="4" t="s">
        <v>1045</v>
      </c>
      <c r="H9" s="4" t="s">
        <v>1058</v>
      </c>
      <c r="I9" s="5">
        <v>100</v>
      </c>
      <c r="J9" s="4" t="s">
        <v>1080</v>
      </c>
    </row>
    <row r="10" spans="1:10" ht="69" customHeight="1">
      <c r="A10" s="4" t="s">
        <v>754</v>
      </c>
      <c r="B10" s="4" t="s">
        <v>1081</v>
      </c>
      <c r="C10" s="4" t="s">
        <v>1082</v>
      </c>
      <c r="D10" s="4" t="s">
        <v>1028</v>
      </c>
      <c r="E10" s="4" t="s">
        <v>1029</v>
      </c>
      <c r="F10" s="4" t="s">
        <v>16</v>
      </c>
      <c r="G10" s="4" t="s">
        <v>1045</v>
      </c>
      <c r="H10" s="4" t="s">
        <v>1058</v>
      </c>
      <c r="I10" s="5">
        <v>100</v>
      </c>
      <c r="J10" s="4" t="s">
        <v>1083</v>
      </c>
    </row>
    <row r="11" spans="1:10" ht="234.6" customHeight="1">
      <c r="A11" s="4" t="s">
        <v>823</v>
      </c>
      <c r="B11" s="4" t="s">
        <v>1084</v>
      </c>
      <c r="C11" s="4" t="s">
        <v>1085</v>
      </c>
      <c r="D11" s="4" t="s">
        <v>1033</v>
      </c>
      <c r="E11" s="4" t="s">
        <v>1029</v>
      </c>
      <c r="F11" s="4" t="s">
        <v>16</v>
      </c>
      <c r="G11" s="4" t="s">
        <v>1045</v>
      </c>
      <c r="H11" s="4" t="s">
        <v>1058</v>
      </c>
      <c r="I11" s="5">
        <v>100</v>
      </c>
      <c r="J11" s="4" t="s">
        <v>1086</v>
      </c>
    </row>
    <row r="12" spans="1:10" ht="358.8" customHeight="1">
      <c r="A12" s="4" t="s">
        <v>891</v>
      </c>
      <c r="B12" s="4" t="s">
        <v>1087</v>
      </c>
      <c r="C12" s="4" t="s">
        <v>1088</v>
      </c>
      <c r="D12" s="4" t="s">
        <v>1033</v>
      </c>
      <c r="E12" s="4" t="s">
        <v>1034</v>
      </c>
      <c r="F12" s="4" t="s">
        <v>16</v>
      </c>
      <c r="G12" s="4" t="s">
        <v>1045</v>
      </c>
      <c r="H12" s="4" t="s">
        <v>1058</v>
      </c>
      <c r="I12" s="5">
        <v>100</v>
      </c>
      <c r="J12" s="4" t="s">
        <v>1089</v>
      </c>
    </row>
    <row r="13" spans="1:10" ht="248.4" customHeight="1">
      <c r="A13" s="4" t="s">
        <v>945</v>
      </c>
      <c r="B13" s="4" t="s">
        <v>1090</v>
      </c>
      <c r="C13" s="4" t="s">
        <v>1091</v>
      </c>
      <c r="D13" s="4" t="s">
        <v>1028</v>
      </c>
      <c r="E13" s="4" t="s">
        <v>1029</v>
      </c>
      <c r="F13" s="4" t="s">
        <v>16</v>
      </c>
      <c r="G13" s="4" t="s">
        <v>1045</v>
      </c>
      <c r="H13" s="4" t="s">
        <v>1058</v>
      </c>
      <c r="I13" s="5">
        <v>100</v>
      </c>
      <c r="J13" s="4" t="s">
        <v>1092</v>
      </c>
    </row>
  </sheetData>
  <conditionalFormatting sqref="G2:G13">
    <cfRule type="expression" dxfId="8" priority="1">
      <formula>G2="Done"</formula>
    </cfRule>
    <cfRule type="expression" dxfId="7" priority="2">
      <formula>G2="Blocked"</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6"/>
  <sheetViews>
    <sheetView workbookViewId="0"/>
  </sheetViews>
  <sheetFormatPr defaultRowHeight="13.8"/>
  <cols>
    <col min="1" max="1" width="15" customWidth="1"/>
    <col min="2" max="2" width="12" customWidth="1"/>
    <col min="3" max="3" width="30" customWidth="1"/>
    <col min="4" max="4" width="20" customWidth="1"/>
    <col min="5" max="5" width="62" customWidth="1"/>
    <col min="6" max="6" width="10" customWidth="1"/>
    <col min="7" max="7" width="22" customWidth="1"/>
    <col min="8" max="8" width="16" customWidth="1"/>
    <col min="9" max="9" width="14" customWidth="1"/>
    <col min="10" max="10" width="12" customWidth="1"/>
    <col min="11" max="11" width="14" customWidth="1"/>
    <col min="12" max="12" width="16" customWidth="1"/>
    <col min="13" max="13" width="14" customWidth="1"/>
    <col min="14" max="15" width="28" customWidth="1"/>
  </cols>
  <sheetData>
    <row r="1" spans="1:15" ht="24" customHeight="1">
      <c r="A1" s="2" t="s">
        <v>1</v>
      </c>
      <c r="B1" s="2" t="s">
        <v>2</v>
      </c>
      <c r="C1" s="2" t="s">
        <v>1093</v>
      </c>
      <c r="D1" s="2" t="s">
        <v>1094</v>
      </c>
      <c r="E1" s="2" t="s">
        <v>1095</v>
      </c>
      <c r="F1" s="2" t="s">
        <v>1096</v>
      </c>
      <c r="G1" s="2" t="s">
        <v>1097</v>
      </c>
      <c r="H1" s="2" t="s">
        <v>1051</v>
      </c>
      <c r="I1" s="2" t="s">
        <v>1023</v>
      </c>
      <c r="J1" s="2" t="s">
        <v>1024</v>
      </c>
      <c r="K1" s="2" t="s">
        <v>1098</v>
      </c>
      <c r="L1" s="2" t="s">
        <v>1052</v>
      </c>
      <c r="M1" s="2" t="s">
        <v>1099</v>
      </c>
      <c r="N1" s="2" t="s">
        <v>1100</v>
      </c>
      <c r="O1" s="2" t="s">
        <v>1101</v>
      </c>
    </row>
    <row r="2" spans="1:15" ht="55.2" customHeight="1">
      <c r="A2" s="4" t="s">
        <v>12</v>
      </c>
      <c r="B2" s="4" t="s">
        <v>13</v>
      </c>
      <c r="C2" s="4" t="s">
        <v>1102</v>
      </c>
      <c r="D2" s="4" t="s">
        <v>1103</v>
      </c>
      <c r="E2" s="4" t="s">
        <v>1104</v>
      </c>
      <c r="F2" s="4">
        <v>4</v>
      </c>
      <c r="G2" s="4"/>
      <c r="H2" s="4" t="s">
        <v>16</v>
      </c>
      <c r="I2" s="4" t="s">
        <v>1028</v>
      </c>
      <c r="J2" s="4" t="s">
        <v>1029</v>
      </c>
      <c r="K2" s="4" t="s">
        <v>1058</v>
      </c>
      <c r="L2" s="4" t="s">
        <v>1045</v>
      </c>
      <c r="M2" s="4">
        <v>3</v>
      </c>
      <c r="N2" s="4" t="s">
        <v>1105</v>
      </c>
      <c r="O2" s="4" t="s">
        <v>1106</v>
      </c>
    </row>
    <row r="3" spans="1:15" ht="55.2" customHeight="1">
      <c r="A3" s="4" t="s">
        <v>29</v>
      </c>
      <c r="B3" s="4" t="s">
        <v>13</v>
      </c>
      <c r="C3" s="4" t="s">
        <v>1107</v>
      </c>
      <c r="D3" s="4" t="s">
        <v>1108</v>
      </c>
      <c r="E3" s="4" t="s">
        <v>1109</v>
      </c>
      <c r="F3" s="4">
        <v>4</v>
      </c>
      <c r="G3" s="4"/>
      <c r="H3" s="4" t="s">
        <v>16</v>
      </c>
      <c r="I3" s="4" t="s">
        <v>1028</v>
      </c>
      <c r="J3" s="4" t="s">
        <v>1029</v>
      </c>
      <c r="K3" s="4" t="s">
        <v>1058</v>
      </c>
      <c r="L3" s="4" t="s">
        <v>1045</v>
      </c>
      <c r="M3" s="4">
        <v>3</v>
      </c>
      <c r="N3" s="4" t="s">
        <v>1110</v>
      </c>
      <c r="O3" s="4" t="s">
        <v>1106</v>
      </c>
    </row>
    <row r="4" spans="1:15" ht="69" customHeight="1">
      <c r="A4" s="4" t="s">
        <v>42</v>
      </c>
      <c r="B4" s="4" t="s">
        <v>13</v>
      </c>
      <c r="C4" s="4" t="s">
        <v>1111</v>
      </c>
      <c r="D4" s="4" t="s">
        <v>1103</v>
      </c>
      <c r="E4" s="4" t="s">
        <v>1112</v>
      </c>
      <c r="F4" s="4">
        <v>4</v>
      </c>
      <c r="G4" s="4"/>
      <c r="H4" s="4" t="s">
        <v>16</v>
      </c>
      <c r="I4" s="4" t="s">
        <v>1028</v>
      </c>
      <c r="J4" s="4" t="s">
        <v>1029</v>
      </c>
      <c r="K4" s="4" t="s">
        <v>1058</v>
      </c>
      <c r="L4" s="4" t="s">
        <v>1045</v>
      </c>
      <c r="M4" s="4">
        <v>3</v>
      </c>
      <c r="N4" s="4" t="s">
        <v>1113</v>
      </c>
      <c r="O4" s="4" t="s">
        <v>1106</v>
      </c>
    </row>
    <row r="5" spans="1:15" ht="55.2" customHeight="1">
      <c r="A5" s="4" t="s">
        <v>55</v>
      </c>
      <c r="B5" s="4" t="s">
        <v>13</v>
      </c>
      <c r="C5" s="4" t="s">
        <v>1114</v>
      </c>
      <c r="D5" s="4" t="s">
        <v>1103</v>
      </c>
      <c r="E5" s="4" t="s">
        <v>1115</v>
      </c>
      <c r="F5" s="4">
        <v>4</v>
      </c>
      <c r="G5" s="4"/>
      <c r="H5" s="4" t="s">
        <v>16</v>
      </c>
      <c r="I5" s="4" t="s">
        <v>1028</v>
      </c>
      <c r="J5" s="4" t="s">
        <v>1029</v>
      </c>
      <c r="K5" s="4" t="s">
        <v>1058</v>
      </c>
      <c r="L5" s="4" t="s">
        <v>1045</v>
      </c>
      <c r="M5" s="4">
        <v>3</v>
      </c>
      <c r="N5" s="4" t="s">
        <v>1116</v>
      </c>
      <c r="O5" s="4" t="s">
        <v>1106</v>
      </c>
    </row>
    <row r="6" spans="1:15" ht="55.2" customHeight="1">
      <c r="A6" s="4" t="s">
        <v>68</v>
      </c>
      <c r="B6" s="4" t="s">
        <v>13</v>
      </c>
      <c r="C6" s="4" t="s">
        <v>1117</v>
      </c>
      <c r="D6" s="4" t="s">
        <v>1103</v>
      </c>
      <c r="E6" s="4" t="s">
        <v>1118</v>
      </c>
      <c r="F6" s="4">
        <v>4</v>
      </c>
      <c r="G6" s="4"/>
      <c r="H6" s="4" t="s">
        <v>16</v>
      </c>
      <c r="I6" s="4" t="s">
        <v>1028</v>
      </c>
      <c r="J6" s="4" t="s">
        <v>1029</v>
      </c>
      <c r="K6" s="4" t="s">
        <v>1058</v>
      </c>
      <c r="L6" s="4" t="s">
        <v>1045</v>
      </c>
      <c r="M6" s="4">
        <v>3</v>
      </c>
      <c r="N6" s="4" t="s">
        <v>1105</v>
      </c>
      <c r="O6" s="4" t="s">
        <v>1119</v>
      </c>
    </row>
    <row r="7" spans="1:15" ht="55.2" customHeight="1">
      <c r="A7" s="4" t="s">
        <v>82</v>
      </c>
      <c r="B7" s="4" t="s">
        <v>13</v>
      </c>
      <c r="C7" s="4" t="s">
        <v>1120</v>
      </c>
      <c r="D7" s="4" t="s">
        <v>1103</v>
      </c>
      <c r="E7" s="4" t="s">
        <v>1121</v>
      </c>
      <c r="F7" s="4">
        <v>4</v>
      </c>
      <c r="G7" s="4"/>
      <c r="H7" s="4" t="s">
        <v>16</v>
      </c>
      <c r="I7" s="4" t="s">
        <v>1028</v>
      </c>
      <c r="J7" s="4" t="s">
        <v>1029</v>
      </c>
      <c r="K7" s="4" t="s">
        <v>1058</v>
      </c>
      <c r="L7" s="4" t="s">
        <v>1045</v>
      </c>
      <c r="M7" s="4">
        <v>3</v>
      </c>
      <c r="N7" s="4" t="s">
        <v>1105</v>
      </c>
      <c r="O7" s="4" t="s">
        <v>1106</v>
      </c>
    </row>
    <row r="8" spans="1:15" ht="124.2" customHeight="1">
      <c r="A8" s="4" t="s">
        <v>95</v>
      </c>
      <c r="B8" s="4" t="s">
        <v>13</v>
      </c>
      <c r="C8" s="4" t="s">
        <v>1122</v>
      </c>
      <c r="D8" s="4" t="s">
        <v>1123</v>
      </c>
      <c r="E8" s="4" t="s">
        <v>1124</v>
      </c>
      <c r="F8" s="4">
        <v>4</v>
      </c>
      <c r="G8" s="4"/>
      <c r="H8" s="4" t="s">
        <v>16</v>
      </c>
      <c r="I8" s="4" t="s">
        <v>1028</v>
      </c>
      <c r="J8" s="4" t="s">
        <v>1029</v>
      </c>
      <c r="K8" s="4" t="s">
        <v>1058</v>
      </c>
      <c r="L8" s="4" t="s">
        <v>1045</v>
      </c>
      <c r="M8" s="4">
        <v>3</v>
      </c>
      <c r="N8" s="4" t="s">
        <v>1125</v>
      </c>
      <c r="O8" s="4" t="s">
        <v>1106</v>
      </c>
    </row>
    <row r="9" spans="1:15" ht="55.2" customHeight="1">
      <c r="A9" s="4" t="s">
        <v>108</v>
      </c>
      <c r="B9" s="4" t="s">
        <v>109</v>
      </c>
      <c r="C9" s="4" t="s">
        <v>1126</v>
      </c>
      <c r="D9" s="4" t="s">
        <v>1108</v>
      </c>
      <c r="E9" s="4" t="s">
        <v>1127</v>
      </c>
      <c r="F9" s="4">
        <v>4</v>
      </c>
      <c r="G9" s="4"/>
      <c r="H9" s="4" t="s">
        <v>16</v>
      </c>
      <c r="I9" s="4" t="s">
        <v>1028</v>
      </c>
      <c r="J9" s="4" t="s">
        <v>1029</v>
      </c>
      <c r="K9" s="4" t="s">
        <v>1058</v>
      </c>
      <c r="L9" s="4" t="s">
        <v>1045</v>
      </c>
      <c r="M9" s="4">
        <v>3</v>
      </c>
      <c r="N9" s="4" t="s">
        <v>1105</v>
      </c>
      <c r="O9" s="4" t="s">
        <v>1106</v>
      </c>
    </row>
    <row r="10" spans="1:15" ht="55.2" customHeight="1">
      <c r="A10" s="4" t="s">
        <v>122</v>
      </c>
      <c r="B10" s="4" t="s">
        <v>109</v>
      </c>
      <c r="C10" s="4" t="s">
        <v>1128</v>
      </c>
      <c r="D10" s="4" t="s">
        <v>1108</v>
      </c>
      <c r="E10" s="4" t="s">
        <v>1129</v>
      </c>
      <c r="F10" s="4">
        <v>4</v>
      </c>
      <c r="G10" s="4"/>
      <c r="H10" s="4" t="s">
        <v>16</v>
      </c>
      <c r="I10" s="4" t="s">
        <v>1028</v>
      </c>
      <c r="J10" s="4" t="s">
        <v>1029</v>
      </c>
      <c r="K10" s="4" t="s">
        <v>1058</v>
      </c>
      <c r="L10" s="4" t="s">
        <v>1045</v>
      </c>
      <c r="M10" s="4">
        <v>3</v>
      </c>
      <c r="N10" s="4" t="s">
        <v>1105</v>
      </c>
      <c r="O10" s="4" t="s">
        <v>1130</v>
      </c>
    </row>
    <row r="11" spans="1:15" ht="55.2" customHeight="1">
      <c r="A11" s="4" t="s">
        <v>136</v>
      </c>
      <c r="B11" s="4" t="s">
        <v>109</v>
      </c>
      <c r="C11" s="4" t="s">
        <v>1131</v>
      </c>
      <c r="D11" s="4" t="s">
        <v>1103</v>
      </c>
      <c r="E11" s="4" t="s">
        <v>1132</v>
      </c>
      <c r="F11" s="4">
        <v>4</v>
      </c>
      <c r="G11" s="4"/>
      <c r="H11" s="4" t="s">
        <v>16</v>
      </c>
      <c r="I11" s="4" t="s">
        <v>1028</v>
      </c>
      <c r="J11" s="4" t="s">
        <v>1029</v>
      </c>
      <c r="K11" s="4" t="s">
        <v>1058</v>
      </c>
      <c r="L11" s="4" t="s">
        <v>1045</v>
      </c>
      <c r="M11" s="4">
        <v>3</v>
      </c>
      <c r="N11" s="4" t="s">
        <v>1105</v>
      </c>
      <c r="O11" s="4" t="s">
        <v>1106</v>
      </c>
    </row>
    <row r="12" spans="1:15" ht="55.2" customHeight="1">
      <c r="A12" s="4" t="s">
        <v>149</v>
      </c>
      <c r="B12" s="4" t="s">
        <v>109</v>
      </c>
      <c r="C12" s="4" t="s">
        <v>1133</v>
      </c>
      <c r="D12" s="4" t="s">
        <v>1108</v>
      </c>
      <c r="E12" s="4" t="s">
        <v>1134</v>
      </c>
      <c r="F12" s="4">
        <v>4</v>
      </c>
      <c r="G12" s="4"/>
      <c r="H12" s="4" t="s">
        <v>16</v>
      </c>
      <c r="I12" s="4" t="s">
        <v>1028</v>
      </c>
      <c r="J12" s="4" t="s">
        <v>1029</v>
      </c>
      <c r="K12" s="4" t="s">
        <v>1058</v>
      </c>
      <c r="L12" s="4" t="s">
        <v>1045</v>
      </c>
      <c r="M12" s="4">
        <v>3</v>
      </c>
      <c r="N12" s="4" t="s">
        <v>1105</v>
      </c>
      <c r="O12" s="4" t="s">
        <v>1106</v>
      </c>
    </row>
    <row r="13" spans="1:15" ht="55.2" customHeight="1">
      <c r="A13" s="4" t="s">
        <v>162</v>
      </c>
      <c r="B13" s="4" t="s">
        <v>109</v>
      </c>
      <c r="C13" s="4" t="s">
        <v>1135</v>
      </c>
      <c r="D13" s="4" t="s">
        <v>1108</v>
      </c>
      <c r="E13" s="4" t="s">
        <v>1136</v>
      </c>
      <c r="F13" s="4">
        <v>4</v>
      </c>
      <c r="G13" s="4"/>
      <c r="H13" s="4" t="s">
        <v>16</v>
      </c>
      <c r="I13" s="4" t="s">
        <v>1028</v>
      </c>
      <c r="J13" s="4" t="s">
        <v>1029</v>
      </c>
      <c r="K13" s="4" t="s">
        <v>1058</v>
      </c>
      <c r="L13" s="4" t="s">
        <v>1045</v>
      </c>
      <c r="M13" s="4">
        <v>3</v>
      </c>
      <c r="N13" s="4" t="s">
        <v>1105</v>
      </c>
      <c r="O13" s="4" t="s">
        <v>1106</v>
      </c>
    </row>
    <row r="14" spans="1:15" ht="55.2" customHeight="1">
      <c r="A14" s="4" t="s">
        <v>175</v>
      </c>
      <c r="B14" s="4" t="s">
        <v>109</v>
      </c>
      <c r="C14" s="4" t="s">
        <v>1137</v>
      </c>
      <c r="D14" s="4" t="s">
        <v>1108</v>
      </c>
      <c r="E14" s="4" t="s">
        <v>1138</v>
      </c>
      <c r="F14" s="4">
        <v>4</v>
      </c>
      <c r="G14" s="4"/>
      <c r="H14" s="4" t="s">
        <v>16</v>
      </c>
      <c r="I14" s="4" t="s">
        <v>1028</v>
      </c>
      <c r="J14" s="4" t="s">
        <v>1029</v>
      </c>
      <c r="K14" s="4" t="s">
        <v>1058</v>
      </c>
      <c r="L14" s="4" t="s">
        <v>1045</v>
      </c>
      <c r="M14" s="4">
        <v>3</v>
      </c>
      <c r="N14" s="4" t="s">
        <v>1105</v>
      </c>
      <c r="O14" s="4" t="s">
        <v>1139</v>
      </c>
    </row>
    <row r="15" spans="1:15" ht="55.2" customHeight="1">
      <c r="A15" s="4" t="s">
        <v>190</v>
      </c>
      <c r="B15" s="4" t="s">
        <v>191</v>
      </c>
      <c r="C15" s="4" t="s">
        <v>1140</v>
      </c>
      <c r="D15" s="4" t="s">
        <v>1103</v>
      </c>
      <c r="E15" s="4" t="s">
        <v>1141</v>
      </c>
      <c r="F15" s="4">
        <v>4</v>
      </c>
      <c r="G15" s="4"/>
      <c r="H15" s="4" t="s">
        <v>16</v>
      </c>
      <c r="I15" s="4" t="s">
        <v>1028</v>
      </c>
      <c r="J15" s="4" t="s">
        <v>1029</v>
      </c>
      <c r="K15" s="4" t="s">
        <v>1058</v>
      </c>
      <c r="L15" s="4" t="s">
        <v>1045</v>
      </c>
      <c r="M15" s="4">
        <v>3</v>
      </c>
      <c r="N15" s="4" t="s">
        <v>1142</v>
      </c>
      <c r="O15" s="4" t="s">
        <v>1106</v>
      </c>
    </row>
    <row r="16" spans="1:15" ht="55.2" customHeight="1">
      <c r="A16" s="4" t="s">
        <v>204</v>
      </c>
      <c r="B16" s="4" t="s">
        <v>191</v>
      </c>
      <c r="C16" s="4" t="s">
        <v>1143</v>
      </c>
      <c r="D16" s="4" t="s">
        <v>1103</v>
      </c>
      <c r="E16" s="4" t="s">
        <v>1144</v>
      </c>
      <c r="F16" s="4">
        <v>4</v>
      </c>
      <c r="G16" s="4"/>
      <c r="H16" s="4" t="s">
        <v>16</v>
      </c>
      <c r="I16" s="4" t="s">
        <v>1028</v>
      </c>
      <c r="J16" s="4" t="s">
        <v>1029</v>
      </c>
      <c r="K16" s="4" t="s">
        <v>1058</v>
      </c>
      <c r="L16" s="4" t="s">
        <v>1045</v>
      </c>
      <c r="M16" s="4">
        <v>3</v>
      </c>
      <c r="N16" s="4" t="s">
        <v>1145</v>
      </c>
      <c r="O16" s="4" t="s">
        <v>1106</v>
      </c>
    </row>
    <row r="17" spans="1:15" ht="55.2" customHeight="1">
      <c r="A17" s="4" t="s">
        <v>217</v>
      </c>
      <c r="B17" s="4" t="s">
        <v>191</v>
      </c>
      <c r="C17" s="4" t="s">
        <v>1146</v>
      </c>
      <c r="D17" s="4" t="s">
        <v>1103</v>
      </c>
      <c r="E17" s="4" t="s">
        <v>1147</v>
      </c>
      <c r="F17" s="4">
        <v>4</v>
      </c>
      <c r="G17" s="4"/>
      <c r="H17" s="4" t="s">
        <v>16</v>
      </c>
      <c r="I17" s="4" t="s">
        <v>1028</v>
      </c>
      <c r="J17" s="4" t="s">
        <v>1029</v>
      </c>
      <c r="K17" s="4" t="s">
        <v>1058</v>
      </c>
      <c r="L17" s="4" t="s">
        <v>1045</v>
      </c>
      <c r="M17" s="4">
        <v>3</v>
      </c>
      <c r="N17" s="4" t="s">
        <v>1105</v>
      </c>
      <c r="O17" s="4" t="s">
        <v>1106</v>
      </c>
    </row>
    <row r="18" spans="1:15" ht="55.2" customHeight="1">
      <c r="A18" s="4" t="s">
        <v>230</v>
      </c>
      <c r="B18" s="4" t="s">
        <v>191</v>
      </c>
      <c r="C18" s="4" t="s">
        <v>1148</v>
      </c>
      <c r="D18" s="4" t="s">
        <v>1103</v>
      </c>
      <c r="E18" s="4" t="s">
        <v>1149</v>
      </c>
      <c r="F18" s="4">
        <v>4</v>
      </c>
      <c r="G18" s="4"/>
      <c r="H18" s="4" t="s">
        <v>16</v>
      </c>
      <c r="I18" s="4" t="s">
        <v>1028</v>
      </c>
      <c r="J18" s="4" t="s">
        <v>1029</v>
      </c>
      <c r="K18" s="4" t="s">
        <v>1058</v>
      </c>
      <c r="L18" s="4" t="s">
        <v>1045</v>
      </c>
      <c r="M18" s="4">
        <v>3</v>
      </c>
      <c r="N18" s="4" t="s">
        <v>1105</v>
      </c>
      <c r="O18" s="4" t="s">
        <v>1106</v>
      </c>
    </row>
    <row r="19" spans="1:15" ht="69" customHeight="1">
      <c r="A19" s="4" t="s">
        <v>243</v>
      </c>
      <c r="B19" s="4" t="s">
        <v>191</v>
      </c>
      <c r="C19" s="4" t="s">
        <v>1150</v>
      </c>
      <c r="D19" s="4" t="s">
        <v>1103</v>
      </c>
      <c r="E19" s="4" t="s">
        <v>1151</v>
      </c>
      <c r="F19" s="4">
        <v>4</v>
      </c>
      <c r="G19" s="4"/>
      <c r="H19" s="4" t="s">
        <v>16</v>
      </c>
      <c r="I19" s="4" t="s">
        <v>1028</v>
      </c>
      <c r="J19" s="4" t="s">
        <v>1029</v>
      </c>
      <c r="K19" s="4" t="s">
        <v>1058</v>
      </c>
      <c r="L19" s="4" t="s">
        <v>1045</v>
      </c>
      <c r="M19" s="4">
        <v>3</v>
      </c>
      <c r="N19" s="4" t="s">
        <v>1152</v>
      </c>
      <c r="O19" s="4" t="s">
        <v>1106</v>
      </c>
    </row>
    <row r="20" spans="1:15" ht="55.2" customHeight="1">
      <c r="A20" s="4" t="s">
        <v>256</v>
      </c>
      <c r="B20" s="4" t="s">
        <v>191</v>
      </c>
      <c r="C20" s="4" t="s">
        <v>1153</v>
      </c>
      <c r="D20" s="4" t="s">
        <v>1103</v>
      </c>
      <c r="E20" s="4" t="s">
        <v>1154</v>
      </c>
      <c r="F20" s="4">
        <v>4</v>
      </c>
      <c r="G20" s="4"/>
      <c r="H20" s="4" t="s">
        <v>16</v>
      </c>
      <c r="I20" s="4" t="s">
        <v>1028</v>
      </c>
      <c r="J20" s="4" t="s">
        <v>1029</v>
      </c>
      <c r="K20" s="4" t="s">
        <v>1058</v>
      </c>
      <c r="L20" s="4" t="s">
        <v>1045</v>
      </c>
      <c r="M20" s="4">
        <v>3</v>
      </c>
      <c r="N20" s="4" t="s">
        <v>1105</v>
      </c>
      <c r="O20" s="4" t="s">
        <v>1106</v>
      </c>
    </row>
    <row r="21" spans="1:15" ht="55.2" customHeight="1">
      <c r="A21" s="4" t="s">
        <v>269</v>
      </c>
      <c r="B21" s="4" t="s">
        <v>191</v>
      </c>
      <c r="C21" s="4" t="s">
        <v>1155</v>
      </c>
      <c r="D21" s="4" t="s">
        <v>1103</v>
      </c>
      <c r="E21" s="4" t="s">
        <v>1156</v>
      </c>
      <c r="F21" s="4">
        <v>4</v>
      </c>
      <c r="G21" s="4"/>
      <c r="H21" s="4" t="s">
        <v>16</v>
      </c>
      <c r="I21" s="4" t="s">
        <v>1028</v>
      </c>
      <c r="J21" s="4" t="s">
        <v>1029</v>
      </c>
      <c r="K21" s="4" t="s">
        <v>1058</v>
      </c>
      <c r="L21" s="4" t="s">
        <v>1045</v>
      </c>
      <c r="M21" s="4">
        <v>3</v>
      </c>
      <c r="N21" s="4" t="s">
        <v>1105</v>
      </c>
      <c r="O21" s="4" t="s">
        <v>1157</v>
      </c>
    </row>
    <row r="22" spans="1:15" ht="55.2" customHeight="1">
      <c r="A22" s="4" t="s">
        <v>284</v>
      </c>
      <c r="B22" s="4" t="s">
        <v>191</v>
      </c>
      <c r="C22" s="4" t="s">
        <v>1158</v>
      </c>
      <c r="D22" s="4" t="s">
        <v>1108</v>
      </c>
      <c r="E22" s="4" t="s">
        <v>1159</v>
      </c>
      <c r="F22" s="4">
        <v>4</v>
      </c>
      <c r="G22" s="4"/>
      <c r="H22" s="4" t="s">
        <v>16</v>
      </c>
      <c r="I22" s="4" t="s">
        <v>1028</v>
      </c>
      <c r="J22" s="4" t="s">
        <v>1029</v>
      </c>
      <c r="K22" s="4" t="s">
        <v>1058</v>
      </c>
      <c r="L22" s="4" t="s">
        <v>1045</v>
      </c>
      <c r="M22" s="4">
        <v>3</v>
      </c>
      <c r="N22" s="4" t="s">
        <v>1105</v>
      </c>
      <c r="O22" s="4" t="s">
        <v>1160</v>
      </c>
    </row>
    <row r="23" spans="1:15" ht="55.2" customHeight="1">
      <c r="A23" s="4" t="s">
        <v>298</v>
      </c>
      <c r="B23" s="4" t="s">
        <v>299</v>
      </c>
      <c r="C23" s="4" t="s">
        <v>1161</v>
      </c>
      <c r="D23" s="4" t="s">
        <v>1103</v>
      </c>
      <c r="E23" s="4" t="s">
        <v>1162</v>
      </c>
      <c r="F23" s="4">
        <v>4</v>
      </c>
      <c r="G23" s="4"/>
      <c r="H23" s="4" t="s">
        <v>16</v>
      </c>
      <c r="I23" s="4" t="s">
        <v>1028</v>
      </c>
      <c r="J23" s="4" t="s">
        <v>1029</v>
      </c>
      <c r="K23" s="4" t="s">
        <v>1058</v>
      </c>
      <c r="L23" s="4" t="s">
        <v>1045</v>
      </c>
      <c r="M23" s="4">
        <v>3</v>
      </c>
      <c r="N23" s="4" t="s">
        <v>1163</v>
      </c>
      <c r="O23" s="4" t="s">
        <v>1106</v>
      </c>
    </row>
    <row r="24" spans="1:15" ht="41.4" customHeight="1">
      <c r="A24" s="4" t="s">
        <v>312</v>
      </c>
      <c r="B24" s="4" t="s">
        <v>299</v>
      </c>
      <c r="C24" s="4" t="s">
        <v>1164</v>
      </c>
      <c r="D24" s="4" t="s">
        <v>1103</v>
      </c>
      <c r="E24" s="4" t="s">
        <v>1165</v>
      </c>
      <c r="F24" s="4">
        <v>4</v>
      </c>
      <c r="G24" s="4"/>
      <c r="H24" s="4" t="s">
        <v>16</v>
      </c>
      <c r="I24" s="4" t="s">
        <v>1028</v>
      </c>
      <c r="J24" s="4" t="s">
        <v>1029</v>
      </c>
      <c r="K24" s="4" t="s">
        <v>1058</v>
      </c>
      <c r="L24" s="4" t="s">
        <v>1045</v>
      </c>
      <c r="M24" s="4">
        <v>3</v>
      </c>
      <c r="N24" s="4" t="s">
        <v>1166</v>
      </c>
      <c r="O24" s="4" t="s">
        <v>1106</v>
      </c>
    </row>
    <row r="25" spans="1:15" ht="69" customHeight="1">
      <c r="A25" s="4" t="s">
        <v>325</v>
      </c>
      <c r="B25" s="4" t="s">
        <v>299</v>
      </c>
      <c r="C25" s="4" t="s">
        <v>1167</v>
      </c>
      <c r="D25" s="4" t="s">
        <v>1103</v>
      </c>
      <c r="E25" s="4" t="s">
        <v>1168</v>
      </c>
      <c r="F25" s="4">
        <v>4</v>
      </c>
      <c r="G25" s="4"/>
      <c r="H25" s="4" t="s">
        <v>16</v>
      </c>
      <c r="I25" s="4" t="s">
        <v>1028</v>
      </c>
      <c r="J25" s="4" t="s">
        <v>1029</v>
      </c>
      <c r="K25" s="4" t="s">
        <v>1058</v>
      </c>
      <c r="L25" s="4" t="s">
        <v>1045</v>
      </c>
      <c r="M25" s="4">
        <v>3</v>
      </c>
      <c r="N25" s="4" t="s">
        <v>1169</v>
      </c>
      <c r="O25" s="4" t="s">
        <v>1106</v>
      </c>
    </row>
    <row r="26" spans="1:15" ht="55.2" customHeight="1">
      <c r="A26" s="4" t="s">
        <v>338</v>
      </c>
      <c r="B26" s="4" t="s">
        <v>299</v>
      </c>
      <c r="C26" s="4" t="s">
        <v>1170</v>
      </c>
      <c r="D26" s="4" t="s">
        <v>1103</v>
      </c>
      <c r="E26" s="4" t="s">
        <v>1171</v>
      </c>
      <c r="F26" s="4">
        <v>4</v>
      </c>
      <c r="G26" s="4"/>
      <c r="H26" s="4" t="s">
        <v>16</v>
      </c>
      <c r="I26" s="4" t="s">
        <v>1028</v>
      </c>
      <c r="J26" s="4" t="s">
        <v>1029</v>
      </c>
      <c r="K26" s="4" t="s">
        <v>1058</v>
      </c>
      <c r="L26" s="4" t="s">
        <v>1045</v>
      </c>
      <c r="M26" s="4">
        <v>3</v>
      </c>
      <c r="N26" s="4" t="s">
        <v>1172</v>
      </c>
      <c r="O26" s="4" t="s">
        <v>1106</v>
      </c>
    </row>
    <row r="27" spans="1:15" ht="55.2" customHeight="1">
      <c r="A27" s="4" t="s">
        <v>351</v>
      </c>
      <c r="B27" s="4" t="s">
        <v>299</v>
      </c>
      <c r="C27" s="4" t="s">
        <v>1173</v>
      </c>
      <c r="D27" s="4" t="s">
        <v>1103</v>
      </c>
      <c r="E27" s="4" t="s">
        <v>1174</v>
      </c>
      <c r="F27" s="4">
        <v>4</v>
      </c>
      <c r="G27" s="4"/>
      <c r="H27" s="4" t="s">
        <v>16</v>
      </c>
      <c r="I27" s="4" t="s">
        <v>1028</v>
      </c>
      <c r="J27" s="4" t="s">
        <v>1029</v>
      </c>
      <c r="K27" s="4" t="s">
        <v>1058</v>
      </c>
      <c r="L27" s="4" t="s">
        <v>1045</v>
      </c>
      <c r="M27" s="4">
        <v>3</v>
      </c>
      <c r="N27" s="4" t="s">
        <v>1105</v>
      </c>
      <c r="O27" s="4" t="s">
        <v>1175</v>
      </c>
    </row>
    <row r="28" spans="1:15" ht="55.2" customHeight="1">
      <c r="A28" s="4" t="s">
        <v>365</v>
      </c>
      <c r="B28" s="4" t="s">
        <v>299</v>
      </c>
      <c r="C28" s="4" t="s">
        <v>1176</v>
      </c>
      <c r="D28" s="4" t="s">
        <v>1108</v>
      </c>
      <c r="E28" s="4" t="s">
        <v>1177</v>
      </c>
      <c r="F28" s="4">
        <v>4</v>
      </c>
      <c r="G28" s="4"/>
      <c r="H28" s="4" t="s">
        <v>16</v>
      </c>
      <c r="I28" s="4" t="s">
        <v>1028</v>
      </c>
      <c r="J28" s="4" t="s">
        <v>1029</v>
      </c>
      <c r="K28" s="4" t="s">
        <v>1058</v>
      </c>
      <c r="L28" s="4" t="s">
        <v>1045</v>
      </c>
      <c r="M28" s="4">
        <v>3</v>
      </c>
      <c r="N28" s="4" t="s">
        <v>1105</v>
      </c>
      <c r="O28" s="4" t="s">
        <v>1178</v>
      </c>
    </row>
    <row r="29" spans="1:15" ht="41.4" customHeight="1">
      <c r="A29" s="4" t="s">
        <v>379</v>
      </c>
      <c r="B29" s="4" t="s">
        <v>380</v>
      </c>
      <c r="C29" s="4" t="s">
        <v>1179</v>
      </c>
      <c r="D29" s="4" t="s">
        <v>1108</v>
      </c>
      <c r="E29" s="4" t="s">
        <v>1180</v>
      </c>
      <c r="F29" s="4">
        <v>4</v>
      </c>
      <c r="G29" s="4"/>
      <c r="H29" s="4" t="s">
        <v>16</v>
      </c>
      <c r="I29" s="4" t="s">
        <v>1028</v>
      </c>
      <c r="J29" s="4" t="s">
        <v>1029</v>
      </c>
      <c r="K29" s="4" t="s">
        <v>1058</v>
      </c>
      <c r="L29" s="4" t="s">
        <v>1045</v>
      </c>
      <c r="M29" s="4">
        <v>3</v>
      </c>
      <c r="N29" s="4" t="s">
        <v>1181</v>
      </c>
      <c r="O29" s="4" t="s">
        <v>1106</v>
      </c>
    </row>
    <row r="30" spans="1:15" ht="55.2" customHeight="1">
      <c r="A30" s="4" t="s">
        <v>392</v>
      </c>
      <c r="B30" s="4" t="s">
        <v>380</v>
      </c>
      <c r="C30" s="4" t="s">
        <v>1182</v>
      </c>
      <c r="D30" s="4" t="s">
        <v>1103</v>
      </c>
      <c r="E30" s="4" t="s">
        <v>1183</v>
      </c>
      <c r="F30" s="4">
        <v>4</v>
      </c>
      <c r="G30" s="4"/>
      <c r="H30" s="4" t="s">
        <v>16</v>
      </c>
      <c r="I30" s="4" t="s">
        <v>1028</v>
      </c>
      <c r="J30" s="4" t="s">
        <v>1029</v>
      </c>
      <c r="K30" s="4" t="s">
        <v>1058</v>
      </c>
      <c r="L30" s="4" t="s">
        <v>1045</v>
      </c>
      <c r="M30" s="4">
        <v>3</v>
      </c>
      <c r="N30" s="4" t="s">
        <v>1105</v>
      </c>
      <c r="O30" s="4" t="s">
        <v>1106</v>
      </c>
    </row>
    <row r="31" spans="1:15" ht="27.6" customHeight="1">
      <c r="A31" s="4" t="s">
        <v>405</v>
      </c>
      <c r="B31" s="4" t="s">
        <v>380</v>
      </c>
      <c r="C31" s="4" t="s">
        <v>1184</v>
      </c>
      <c r="D31" s="4" t="s">
        <v>1108</v>
      </c>
      <c r="E31" s="4" t="s">
        <v>1185</v>
      </c>
      <c r="F31" s="4">
        <v>4</v>
      </c>
      <c r="G31" s="4"/>
      <c r="H31" s="4" t="s">
        <v>16</v>
      </c>
      <c r="I31" s="4" t="s">
        <v>1028</v>
      </c>
      <c r="J31" s="4" t="s">
        <v>1029</v>
      </c>
      <c r="K31" s="4" t="s">
        <v>1058</v>
      </c>
      <c r="L31" s="4" t="s">
        <v>1045</v>
      </c>
      <c r="M31" s="4">
        <v>3</v>
      </c>
      <c r="N31" s="4" t="s">
        <v>1186</v>
      </c>
      <c r="O31" s="4" t="s">
        <v>1106</v>
      </c>
    </row>
    <row r="32" spans="1:15" ht="55.2" customHeight="1">
      <c r="A32" s="4" t="s">
        <v>418</v>
      </c>
      <c r="B32" s="4" t="s">
        <v>380</v>
      </c>
      <c r="C32" s="4" t="s">
        <v>1187</v>
      </c>
      <c r="D32" s="4" t="s">
        <v>1108</v>
      </c>
      <c r="E32" s="4" t="s">
        <v>1188</v>
      </c>
      <c r="F32" s="4">
        <v>4</v>
      </c>
      <c r="G32" s="4"/>
      <c r="H32" s="4" t="s">
        <v>16</v>
      </c>
      <c r="I32" s="4" t="s">
        <v>1028</v>
      </c>
      <c r="J32" s="4" t="s">
        <v>1029</v>
      </c>
      <c r="K32" s="4" t="s">
        <v>1058</v>
      </c>
      <c r="L32" s="4" t="s">
        <v>1045</v>
      </c>
      <c r="M32" s="4">
        <v>3</v>
      </c>
      <c r="N32" s="4" t="s">
        <v>1105</v>
      </c>
      <c r="O32" s="4" t="s">
        <v>1106</v>
      </c>
    </row>
    <row r="33" spans="1:15" ht="55.2" customHeight="1">
      <c r="A33" s="4" t="s">
        <v>431</v>
      </c>
      <c r="B33" s="4" t="s">
        <v>380</v>
      </c>
      <c r="C33" s="4" t="s">
        <v>1189</v>
      </c>
      <c r="D33" s="4" t="s">
        <v>1108</v>
      </c>
      <c r="E33" s="4" t="s">
        <v>1190</v>
      </c>
      <c r="F33" s="4">
        <v>4</v>
      </c>
      <c r="G33" s="4"/>
      <c r="H33" s="4" t="s">
        <v>16</v>
      </c>
      <c r="I33" s="4" t="s">
        <v>1028</v>
      </c>
      <c r="J33" s="4" t="s">
        <v>1029</v>
      </c>
      <c r="K33" s="4" t="s">
        <v>1058</v>
      </c>
      <c r="L33" s="4" t="s">
        <v>1045</v>
      </c>
      <c r="M33" s="4">
        <v>3</v>
      </c>
      <c r="N33" s="4" t="s">
        <v>1105</v>
      </c>
      <c r="O33" s="4" t="s">
        <v>1191</v>
      </c>
    </row>
    <row r="34" spans="1:15" ht="55.2" customHeight="1">
      <c r="A34" s="4" t="s">
        <v>445</v>
      </c>
      <c r="B34" s="4" t="s">
        <v>380</v>
      </c>
      <c r="C34" s="4" t="s">
        <v>1192</v>
      </c>
      <c r="D34" s="4" t="s">
        <v>1103</v>
      </c>
      <c r="E34" s="4" t="s">
        <v>1193</v>
      </c>
      <c r="F34" s="4">
        <v>4</v>
      </c>
      <c r="G34" s="4"/>
      <c r="H34" s="4" t="s">
        <v>16</v>
      </c>
      <c r="I34" s="4" t="s">
        <v>1028</v>
      </c>
      <c r="J34" s="4" t="s">
        <v>1029</v>
      </c>
      <c r="K34" s="4" t="s">
        <v>1058</v>
      </c>
      <c r="L34" s="4" t="s">
        <v>1045</v>
      </c>
      <c r="M34" s="4">
        <v>3</v>
      </c>
      <c r="N34" s="4" t="s">
        <v>1105</v>
      </c>
      <c r="O34" s="4" t="s">
        <v>1194</v>
      </c>
    </row>
    <row r="35" spans="1:15" ht="55.2" customHeight="1">
      <c r="A35" s="4" t="s">
        <v>459</v>
      </c>
      <c r="B35" s="4" t="s">
        <v>380</v>
      </c>
      <c r="C35" s="4" t="s">
        <v>1195</v>
      </c>
      <c r="D35" s="4" t="s">
        <v>1103</v>
      </c>
      <c r="E35" s="4" t="s">
        <v>1196</v>
      </c>
      <c r="F35" s="4">
        <v>4</v>
      </c>
      <c r="G35" s="4"/>
      <c r="H35" s="4" t="s">
        <v>16</v>
      </c>
      <c r="I35" s="4" t="s">
        <v>1028</v>
      </c>
      <c r="J35" s="4" t="s">
        <v>1029</v>
      </c>
      <c r="K35" s="4" t="s">
        <v>1058</v>
      </c>
      <c r="L35" s="4" t="s">
        <v>1045</v>
      </c>
      <c r="M35" s="4">
        <v>3</v>
      </c>
      <c r="N35" s="4" t="s">
        <v>1105</v>
      </c>
      <c r="O35" s="4" t="s">
        <v>1106</v>
      </c>
    </row>
    <row r="36" spans="1:15" ht="55.2" customHeight="1">
      <c r="A36" s="4" t="s">
        <v>472</v>
      </c>
      <c r="B36" s="4" t="s">
        <v>380</v>
      </c>
      <c r="C36" s="4" t="s">
        <v>1197</v>
      </c>
      <c r="D36" s="4" t="s">
        <v>1103</v>
      </c>
      <c r="E36" s="4" t="s">
        <v>1198</v>
      </c>
      <c r="F36" s="4">
        <v>4</v>
      </c>
      <c r="G36" s="4"/>
      <c r="H36" s="4" t="s">
        <v>16</v>
      </c>
      <c r="I36" s="4" t="s">
        <v>1028</v>
      </c>
      <c r="J36" s="4" t="s">
        <v>1029</v>
      </c>
      <c r="K36" s="4" t="s">
        <v>1058</v>
      </c>
      <c r="L36" s="4" t="s">
        <v>1045</v>
      </c>
      <c r="M36" s="4">
        <v>3</v>
      </c>
      <c r="N36" s="4" t="s">
        <v>1105</v>
      </c>
      <c r="O36" s="4" t="s">
        <v>1199</v>
      </c>
    </row>
    <row r="37" spans="1:15" ht="55.2" customHeight="1">
      <c r="A37" s="4" t="s">
        <v>487</v>
      </c>
      <c r="B37" s="4" t="s">
        <v>488</v>
      </c>
      <c r="C37" s="4" t="s">
        <v>1200</v>
      </c>
      <c r="D37" s="4" t="s">
        <v>1103</v>
      </c>
      <c r="E37" s="4" t="s">
        <v>1201</v>
      </c>
      <c r="F37" s="4">
        <v>4</v>
      </c>
      <c r="G37" s="4"/>
      <c r="H37" s="4" t="s">
        <v>16</v>
      </c>
      <c r="I37" s="4" t="s">
        <v>1028</v>
      </c>
      <c r="J37" s="4" t="s">
        <v>1029</v>
      </c>
      <c r="K37" s="4" t="s">
        <v>1058</v>
      </c>
      <c r="L37" s="4" t="s">
        <v>1045</v>
      </c>
      <c r="M37" s="4">
        <v>3</v>
      </c>
      <c r="N37" s="4" t="s">
        <v>1202</v>
      </c>
      <c r="O37" s="4" t="s">
        <v>1106</v>
      </c>
    </row>
    <row r="38" spans="1:15" ht="55.2" customHeight="1">
      <c r="A38" s="4" t="s">
        <v>501</v>
      </c>
      <c r="B38" s="4" t="s">
        <v>488</v>
      </c>
      <c r="C38" s="4" t="s">
        <v>1203</v>
      </c>
      <c r="D38" s="4" t="s">
        <v>1103</v>
      </c>
      <c r="E38" s="4" t="s">
        <v>1204</v>
      </c>
      <c r="F38" s="4">
        <v>4</v>
      </c>
      <c r="G38" s="4"/>
      <c r="H38" s="4" t="s">
        <v>16</v>
      </c>
      <c r="I38" s="4" t="s">
        <v>1028</v>
      </c>
      <c r="J38" s="4" t="s">
        <v>1029</v>
      </c>
      <c r="K38" s="4" t="s">
        <v>1058</v>
      </c>
      <c r="L38" s="4" t="s">
        <v>1045</v>
      </c>
      <c r="M38" s="4">
        <v>3</v>
      </c>
      <c r="N38" s="4" t="s">
        <v>1105</v>
      </c>
      <c r="O38" s="4" t="s">
        <v>1106</v>
      </c>
    </row>
    <row r="39" spans="1:15" ht="55.2" customHeight="1">
      <c r="A39" s="4" t="s">
        <v>514</v>
      </c>
      <c r="B39" s="4" t="s">
        <v>488</v>
      </c>
      <c r="C39" s="4" t="s">
        <v>1205</v>
      </c>
      <c r="D39" s="4" t="s">
        <v>1103</v>
      </c>
      <c r="E39" s="4" t="s">
        <v>1206</v>
      </c>
      <c r="F39" s="4">
        <v>4</v>
      </c>
      <c r="G39" s="4"/>
      <c r="H39" s="4" t="s">
        <v>16</v>
      </c>
      <c r="I39" s="4" t="s">
        <v>1028</v>
      </c>
      <c r="J39" s="4" t="s">
        <v>1029</v>
      </c>
      <c r="K39" s="4" t="s">
        <v>1058</v>
      </c>
      <c r="L39" s="4" t="s">
        <v>1045</v>
      </c>
      <c r="M39" s="4">
        <v>3</v>
      </c>
      <c r="N39" s="4" t="s">
        <v>1207</v>
      </c>
      <c r="O39" s="4" t="s">
        <v>1106</v>
      </c>
    </row>
    <row r="40" spans="1:15" ht="41.4" customHeight="1">
      <c r="A40" s="4" t="s">
        <v>527</v>
      </c>
      <c r="B40" s="4" t="s">
        <v>488</v>
      </c>
      <c r="C40" s="4" t="s">
        <v>1208</v>
      </c>
      <c r="D40" s="4" t="s">
        <v>1103</v>
      </c>
      <c r="E40" s="4" t="s">
        <v>1209</v>
      </c>
      <c r="F40" s="4">
        <v>4</v>
      </c>
      <c r="G40" s="4"/>
      <c r="H40" s="4" t="s">
        <v>16</v>
      </c>
      <c r="I40" s="4" t="s">
        <v>1028</v>
      </c>
      <c r="J40" s="4" t="s">
        <v>1029</v>
      </c>
      <c r="K40" s="4" t="s">
        <v>1058</v>
      </c>
      <c r="L40" s="4" t="s">
        <v>1045</v>
      </c>
      <c r="M40" s="4">
        <v>3</v>
      </c>
      <c r="N40" s="4" t="s">
        <v>1210</v>
      </c>
      <c r="O40" s="4" t="s">
        <v>1106</v>
      </c>
    </row>
    <row r="41" spans="1:15" ht="55.2" customHeight="1">
      <c r="A41" s="4" t="s">
        <v>540</v>
      </c>
      <c r="B41" s="4" t="s">
        <v>488</v>
      </c>
      <c r="C41" s="4" t="s">
        <v>1211</v>
      </c>
      <c r="D41" s="4" t="s">
        <v>1103</v>
      </c>
      <c r="E41" s="4" t="s">
        <v>1212</v>
      </c>
      <c r="F41" s="4">
        <v>4</v>
      </c>
      <c r="G41" s="4"/>
      <c r="H41" s="4" t="s">
        <v>16</v>
      </c>
      <c r="I41" s="4" t="s">
        <v>1028</v>
      </c>
      <c r="J41" s="4" t="s">
        <v>1029</v>
      </c>
      <c r="K41" s="4" t="s">
        <v>1058</v>
      </c>
      <c r="L41" s="4" t="s">
        <v>1045</v>
      </c>
      <c r="M41" s="4">
        <v>3</v>
      </c>
      <c r="N41" s="4" t="s">
        <v>1105</v>
      </c>
      <c r="O41" s="4" t="s">
        <v>1106</v>
      </c>
    </row>
    <row r="42" spans="1:15" ht="41.4" customHeight="1">
      <c r="A42" s="4" t="s">
        <v>553</v>
      </c>
      <c r="B42" s="4" t="s">
        <v>488</v>
      </c>
      <c r="C42" s="4" t="s">
        <v>1213</v>
      </c>
      <c r="D42" s="4" t="s">
        <v>1103</v>
      </c>
      <c r="E42" s="4" t="s">
        <v>1214</v>
      </c>
      <c r="F42" s="4">
        <v>4</v>
      </c>
      <c r="G42" s="4"/>
      <c r="H42" s="4" t="s">
        <v>16</v>
      </c>
      <c r="I42" s="4" t="s">
        <v>1028</v>
      </c>
      <c r="J42" s="4" t="s">
        <v>1029</v>
      </c>
      <c r="K42" s="4" t="s">
        <v>1058</v>
      </c>
      <c r="L42" s="4" t="s">
        <v>1045</v>
      </c>
      <c r="M42" s="4">
        <v>3</v>
      </c>
      <c r="N42" s="4" t="s">
        <v>1215</v>
      </c>
      <c r="O42" s="4" t="s">
        <v>1106</v>
      </c>
    </row>
    <row r="43" spans="1:15" ht="55.2" customHeight="1">
      <c r="A43" s="4" t="s">
        <v>566</v>
      </c>
      <c r="B43" s="4" t="s">
        <v>488</v>
      </c>
      <c r="C43" s="4" t="s">
        <v>1216</v>
      </c>
      <c r="D43" s="4" t="s">
        <v>1217</v>
      </c>
      <c r="E43" s="4" t="s">
        <v>1218</v>
      </c>
      <c r="F43" s="4">
        <v>4</v>
      </c>
      <c r="G43" s="4"/>
      <c r="H43" s="4" t="s">
        <v>16</v>
      </c>
      <c r="I43" s="4" t="s">
        <v>1028</v>
      </c>
      <c r="J43" s="4" t="s">
        <v>1029</v>
      </c>
      <c r="K43" s="4" t="s">
        <v>1058</v>
      </c>
      <c r="L43" s="4" t="s">
        <v>1045</v>
      </c>
      <c r="M43" s="4">
        <v>3</v>
      </c>
      <c r="N43" s="4" t="s">
        <v>1219</v>
      </c>
      <c r="O43" s="4" t="s">
        <v>1106</v>
      </c>
    </row>
    <row r="44" spans="1:15" ht="82.8" customHeight="1">
      <c r="A44" s="4" t="s">
        <v>579</v>
      </c>
      <c r="B44" s="4" t="s">
        <v>488</v>
      </c>
      <c r="C44" s="4" t="s">
        <v>1220</v>
      </c>
      <c r="D44" s="4" t="s">
        <v>1103</v>
      </c>
      <c r="E44" s="4" t="s">
        <v>1221</v>
      </c>
      <c r="F44" s="4">
        <v>4</v>
      </c>
      <c r="G44" s="4"/>
      <c r="H44" s="4" t="s">
        <v>16</v>
      </c>
      <c r="I44" s="4" t="s">
        <v>1028</v>
      </c>
      <c r="J44" s="4" t="s">
        <v>1029</v>
      </c>
      <c r="K44" s="4" t="s">
        <v>1058</v>
      </c>
      <c r="L44" s="4" t="s">
        <v>1045</v>
      </c>
      <c r="M44" s="4">
        <v>3</v>
      </c>
      <c r="N44" s="4" t="s">
        <v>1222</v>
      </c>
      <c r="O44" s="4" t="s">
        <v>1106</v>
      </c>
    </row>
    <row r="45" spans="1:15" ht="55.2" customHeight="1">
      <c r="A45" s="4" t="s">
        <v>592</v>
      </c>
      <c r="B45" s="4" t="s">
        <v>488</v>
      </c>
      <c r="C45" s="4" t="s">
        <v>1223</v>
      </c>
      <c r="D45" s="4" t="s">
        <v>1103</v>
      </c>
      <c r="E45" s="4" t="s">
        <v>1224</v>
      </c>
      <c r="F45" s="4">
        <v>4</v>
      </c>
      <c r="G45" s="4"/>
      <c r="H45" s="4" t="s">
        <v>16</v>
      </c>
      <c r="I45" s="4" t="s">
        <v>1028</v>
      </c>
      <c r="J45" s="4" t="s">
        <v>1029</v>
      </c>
      <c r="K45" s="4" t="s">
        <v>1058</v>
      </c>
      <c r="L45" s="4" t="s">
        <v>1045</v>
      </c>
      <c r="M45" s="4">
        <v>3</v>
      </c>
      <c r="N45" s="4" t="s">
        <v>1105</v>
      </c>
      <c r="O45" s="4" t="s">
        <v>1106</v>
      </c>
    </row>
    <row r="46" spans="1:15" ht="55.2" customHeight="1">
      <c r="A46" s="4" t="s">
        <v>605</v>
      </c>
      <c r="B46" s="4" t="s">
        <v>488</v>
      </c>
      <c r="C46" s="4" t="s">
        <v>1225</v>
      </c>
      <c r="D46" s="4" t="s">
        <v>1103</v>
      </c>
      <c r="E46" s="4" t="s">
        <v>1226</v>
      </c>
      <c r="F46" s="4">
        <v>4</v>
      </c>
      <c r="G46" s="4"/>
      <c r="H46" s="4" t="s">
        <v>16</v>
      </c>
      <c r="I46" s="4" t="s">
        <v>1028</v>
      </c>
      <c r="J46" s="4" t="s">
        <v>1029</v>
      </c>
      <c r="K46" s="4" t="s">
        <v>1058</v>
      </c>
      <c r="L46" s="4" t="s">
        <v>1045</v>
      </c>
      <c r="M46" s="4">
        <v>3</v>
      </c>
      <c r="N46" s="4" t="s">
        <v>1105</v>
      </c>
      <c r="O46" s="4" t="s">
        <v>1106</v>
      </c>
    </row>
    <row r="47" spans="1:15" ht="55.2" customHeight="1">
      <c r="A47" s="4" t="s">
        <v>618</v>
      </c>
      <c r="B47" s="4" t="s">
        <v>619</v>
      </c>
      <c r="C47" s="4" t="s">
        <v>1227</v>
      </c>
      <c r="D47" s="4" t="s">
        <v>1228</v>
      </c>
      <c r="E47" s="4" t="s">
        <v>1229</v>
      </c>
      <c r="F47" s="4">
        <v>4</v>
      </c>
      <c r="G47" s="4"/>
      <c r="H47" s="4" t="s">
        <v>16</v>
      </c>
      <c r="I47" s="4" t="s">
        <v>1028</v>
      </c>
      <c r="J47" s="4" t="s">
        <v>1029</v>
      </c>
      <c r="K47" s="4" t="s">
        <v>1058</v>
      </c>
      <c r="L47" s="4" t="s">
        <v>1045</v>
      </c>
      <c r="M47" s="4">
        <v>3</v>
      </c>
      <c r="N47" s="4" t="s">
        <v>1230</v>
      </c>
      <c r="O47" s="4" t="s">
        <v>1106</v>
      </c>
    </row>
    <row r="48" spans="1:15" ht="27.6" customHeight="1">
      <c r="A48" s="4" t="s">
        <v>632</v>
      </c>
      <c r="B48" s="4" t="s">
        <v>619</v>
      </c>
      <c r="C48" s="4" t="s">
        <v>1231</v>
      </c>
      <c r="D48" s="4" t="s">
        <v>1228</v>
      </c>
      <c r="E48" s="4" t="s">
        <v>1232</v>
      </c>
      <c r="F48" s="4">
        <v>4</v>
      </c>
      <c r="G48" s="4"/>
      <c r="H48" s="4" t="s">
        <v>16</v>
      </c>
      <c r="I48" s="4" t="s">
        <v>1028</v>
      </c>
      <c r="J48" s="4" t="s">
        <v>1029</v>
      </c>
      <c r="K48" s="4" t="s">
        <v>1058</v>
      </c>
      <c r="L48" s="4" t="s">
        <v>1045</v>
      </c>
      <c r="M48" s="4">
        <v>3</v>
      </c>
      <c r="N48" s="4" t="s">
        <v>1233</v>
      </c>
      <c r="O48" s="4" t="s">
        <v>1106</v>
      </c>
    </row>
    <row r="49" spans="1:15" ht="27.6" customHeight="1">
      <c r="A49" s="4" t="s">
        <v>645</v>
      </c>
      <c r="B49" s="4" t="s">
        <v>619</v>
      </c>
      <c r="C49" s="4" t="s">
        <v>1234</v>
      </c>
      <c r="D49" s="4" t="s">
        <v>1103</v>
      </c>
      <c r="E49" s="4" t="s">
        <v>1235</v>
      </c>
      <c r="F49" s="4">
        <v>4</v>
      </c>
      <c r="G49" s="4"/>
      <c r="H49" s="4" t="s">
        <v>16</v>
      </c>
      <c r="I49" s="4" t="s">
        <v>1028</v>
      </c>
      <c r="J49" s="4" t="s">
        <v>1029</v>
      </c>
      <c r="K49" s="4" t="s">
        <v>1058</v>
      </c>
      <c r="L49" s="4" t="s">
        <v>1045</v>
      </c>
      <c r="M49" s="4">
        <v>3</v>
      </c>
      <c r="N49" s="4" t="s">
        <v>1236</v>
      </c>
      <c r="O49" s="4" t="s">
        <v>1106</v>
      </c>
    </row>
    <row r="50" spans="1:15" ht="110.4" customHeight="1">
      <c r="A50" s="4" t="s">
        <v>658</v>
      </c>
      <c r="B50" s="4" t="s">
        <v>619</v>
      </c>
      <c r="C50" s="4" t="s">
        <v>1237</v>
      </c>
      <c r="D50" s="4" t="s">
        <v>1108</v>
      </c>
      <c r="E50" s="4" t="s">
        <v>1238</v>
      </c>
      <c r="F50" s="4">
        <v>4</v>
      </c>
      <c r="G50" s="4"/>
      <c r="H50" s="4" t="s">
        <v>16</v>
      </c>
      <c r="I50" s="4" t="s">
        <v>1028</v>
      </c>
      <c r="J50" s="4" t="s">
        <v>1029</v>
      </c>
      <c r="K50" s="4" t="s">
        <v>1058</v>
      </c>
      <c r="L50" s="4" t="s">
        <v>1045</v>
      </c>
      <c r="M50" s="4">
        <v>3</v>
      </c>
      <c r="N50" s="4" t="s">
        <v>1239</v>
      </c>
      <c r="O50" s="4" t="s">
        <v>1106</v>
      </c>
    </row>
    <row r="51" spans="1:15" ht="55.2" customHeight="1">
      <c r="A51" s="4" t="s">
        <v>671</v>
      </c>
      <c r="B51" s="4" t="s">
        <v>619</v>
      </c>
      <c r="C51" s="4" t="s">
        <v>1240</v>
      </c>
      <c r="D51" s="4" t="s">
        <v>1103</v>
      </c>
      <c r="E51" s="4" t="s">
        <v>1241</v>
      </c>
      <c r="F51" s="4">
        <v>4</v>
      </c>
      <c r="G51" s="4"/>
      <c r="H51" s="4" t="s">
        <v>16</v>
      </c>
      <c r="I51" s="4" t="s">
        <v>1028</v>
      </c>
      <c r="J51" s="4" t="s">
        <v>1029</v>
      </c>
      <c r="K51" s="4" t="s">
        <v>1058</v>
      </c>
      <c r="L51" s="4" t="s">
        <v>1045</v>
      </c>
      <c r="M51" s="4">
        <v>3</v>
      </c>
      <c r="N51" s="4" t="s">
        <v>1105</v>
      </c>
      <c r="O51" s="4" t="s">
        <v>1106</v>
      </c>
    </row>
    <row r="52" spans="1:15" ht="55.2" customHeight="1">
      <c r="A52" s="4" t="s">
        <v>684</v>
      </c>
      <c r="B52" s="4" t="s">
        <v>685</v>
      </c>
      <c r="C52" s="4" t="s">
        <v>1242</v>
      </c>
      <c r="D52" s="4" t="s">
        <v>1103</v>
      </c>
      <c r="E52" s="4" t="s">
        <v>1243</v>
      </c>
      <c r="F52" s="4">
        <v>4</v>
      </c>
      <c r="G52" s="4"/>
      <c r="H52" s="4" t="s">
        <v>16</v>
      </c>
      <c r="I52" s="4" t="s">
        <v>1028</v>
      </c>
      <c r="J52" s="4" t="s">
        <v>1029</v>
      </c>
      <c r="K52" s="4" t="s">
        <v>1058</v>
      </c>
      <c r="L52" s="4" t="s">
        <v>1045</v>
      </c>
      <c r="M52" s="4">
        <v>3</v>
      </c>
      <c r="N52" s="4" t="s">
        <v>1105</v>
      </c>
      <c r="O52" s="4" t="s">
        <v>1106</v>
      </c>
    </row>
    <row r="53" spans="1:15" ht="55.2" customHeight="1">
      <c r="A53" s="4" t="s">
        <v>698</v>
      </c>
      <c r="B53" s="4" t="s">
        <v>685</v>
      </c>
      <c r="C53" s="4" t="s">
        <v>1244</v>
      </c>
      <c r="D53" s="4" t="s">
        <v>1108</v>
      </c>
      <c r="E53" s="4" t="s">
        <v>1245</v>
      </c>
      <c r="F53" s="4">
        <v>4</v>
      </c>
      <c r="G53" s="4"/>
      <c r="H53" s="4" t="s">
        <v>16</v>
      </c>
      <c r="I53" s="4" t="s">
        <v>1028</v>
      </c>
      <c r="J53" s="4" t="s">
        <v>1029</v>
      </c>
      <c r="K53" s="4" t="s">
        <v>1058</v>
      </c>
      <c r="L53" s="4" t="s">
        <v>1045</v>
      </c>
      <c r="M53" s="4">
        <v>3</v>
      </c>
      <c r="N53" s="4" t="s">
        <v>1105</v>
      </c>
      <c r="O53" s="4" t="s">
        <v>1246</v>
      </c>
    </row>
    <row r="54" spans="1:15" ht="55.2" customHeight="1">
      <c r="A54" s="4" t="s">
        <v>712</v>
      </c>
      <c r="B54" s="4" t="s">
        <v>685</v>
      </c>
      <c r="C54" s="4" t="s">
        <v>1247</v>
      </c>
      <c r="D54" s="4" t="s">
        <v>1108</v>
      </c>
      <c r="E54" s="4" t="s">
        <v>1248</v>
      </c>
      <c r="F54" s="4">
        <v>4</v>
      </c>
      <c r="G54" s="4"/>
      <c r="H54" s="4" t="s">
        <v>16</v>
      </c>
      <c r="I54" s="4" t="s">
        <v>1028</v>
      </c>
      <c r="J54" s="4" t="s">
        <v>1029</v>
      </c>
      <c r="K54" s="4" t="s">
        <v>1058</v>
      </c>
      <c r="L54" s="4" t="s">
        <v>1045</v>
      </c>
      <c r="M54" s="4">
        <v>3</v>
      </c>
      <c r="N54" s="4" t="s">
        <v>1105</v>
      </c>
      <c r="O54" s="4" t="s">
        <v>1249</v>
      </c>
    </row>
    <row r="55" spans="1:15" ht="55.2" customHeight="1">
      <c r="A55" s="4" t="s">
        <v>726</v>
      </c>
      <c r="B55" s="4" t="s">
        <v>685</v>
      </c>
      <c r="C55" s="4" t="s">
        <v>1250</v>
      </c>
      <c r="D55" s="4" t="s">
        <v>1108</v>
      </c>
      <c r="E55" s="4" t="s">
        <v>1251</v>
      </c>
      <c r="F55" s="4">
        <v>4</v>
      </c>
      <c r="G55" s="4"/>
      <c r="H55" s="4" t="s">
        <v>16</v>
      </c>
      <c r="I55" s="4" t="s">
        <v>1028</v>
      </c>
      <c r="J55" s="4" t="s">
        <v>1029</v>
      </c>
      <c r="K55" s="4" t="s">
        <v>1058</v>
      </c>
      <c r="L55" s="4" t="s">
        <v>1045</v>
      </c>
      <c r="M55" s="4">
        <v>3</v>
      </c>
      <c r="N55" s="4" t="s">
        <v>1105</v>
      </c>
      <c r="O55" s="4" t="s">
        <v>1106</v>
      </c>
    </row>
    <row r="56" spans="1:15" ht="220.8" customHeight="1">
      <c r="A56" s="4" t="s">
        <v>739</v>
      </c>
      <c r="B56" s="4" t="s">
        <v>685</v>
      </c>
      <c r="C56" s="4" t="s">
        <v>1252</v>
      </c>
      <c r="D56" s="4" t="s">
        <v>1103</v>
      </c>
      <c r="E56" s="4" t="s">
        <v>1253</v>
      </c>
      <c r="F56" s="4">
        <v>4</v>
      </c>
      <c r="G56" s="4"/>
      <c r="H56" s="4" t="s">
        <v>16</v>
      </c>
      <c r="I56" s="4" t="s">
        <v>1028</v>
      </c>
      <c r="J56" s="4" t="s">
        <v>1029</v>
      </c>
      <c r="K56" s="4" t="s">
        <v>1058</v>
      </c>
      <c r="L56" s="4" t="s">
        <v>1045</v>
      </c>
      <c r="M56" s="4">
        <v>3</v>
      </c>
      <c r="N56" s="4" t="s">
        <v>1254</v>
      </c>
      <c r="O56" s="4" t="s">
        <v>1255</v>
      </c>
    </row>
    <row r="57" spans="1:15" ht="41.4" customHeight="1">
      <c r="A57" s="4" t="s">
        <v>753</v>
      </c>
      <c r="B57" s="4" t="s">
        <v>754</v>
      </c>
      <c r="C57" s="4" t="s">
        <v>1256</v>
      </c>
      <c r="D57" s="4" t="s">
        <v>1103</v>
      </c>
      <c r="E57" s="4" t="s">
        <v>1257</v>
      </c>
      <c r="F57" s="4">
        <v>4</v>
      </c>
      <c r="G57" s="4"/>
      <c r="H57" s="4" t="s">
        <v>16</v>
      </c>
      <c r="I57" s="4" t="s">
        <v>1028</v>
      </c>
      <c r="J57" s="4" t="s">
        <v>1029</v>
      </c>
      <c r="K57" s="4" t="s">
        <v>1058</v>
      </c>
      <c r="L57" s="4" t="s">
        <v>1045</v>
      </c>
      <c r="M57" s="4">
        <v>3</v>
      </c>
      <c r="N57" s="4" t="s">
        <v>1258</v>
      </c>
      <c r="O57" s="4" t="s">
        <v>1106</v>
      </c>
    </row>
    <row r="58" spans="1:15" ht="55.2" customHeight="1">
      <c r="A58" s="4" t="s">
        <v>767</v>
      </c>
      <c r="B58" s="4" t="s">
        <v>754</v>
      </c>
      <c r="C58" s="4" t="s">
        <v>1259</v>
      </c>
      <c r="D58" s="4" t="s">
        <v>1108</v>
      </c>
      <c r="E58" s="4" t="s">
        <v>1260</v>
      </c>
      <c r="F58" s="4">
        <v>4</v>
      </c>
      <c r="G58" s="4"/>
      <c r="H58" s="4" t="s">
        <v>16</v>
      </c>
      <c r="I58" s="4" t="s">
        <v>1028</v>
      </c>
      <c r="J58" s="4" t="s">
        <v>1029</v>
      </c>
      <c r="K58" s="4" t="s">
        <v>1058</v>
      </c>
      <c r="L58" s="4" t="s">
        <v>1045</v>
      </c>
      <c r="M58" s="4">
        <v>3</v>
      </c>
      <c r="N58" s="4" t="s">
        <v>1261</v>
      </c>
      <c r="O58" s="4" t="s">
        <v>1262</v>
      </c>
    </row>
    <row r="59" spans="1:15" ht="55.2" customHeight="1">
      <c r="A59" s="4" t="s">
        <v>781</v>
      </c>
      <c r="B59" s="4" t="s">
        <v>754</v>
      </c>
      <c r="C59" s="4" t="s">
        <v>1263</v>
      </c>
      <c r="D59" s="4" t="s">
        <v>1103</v>
      </c>
      <c r="E59" s="4" t="s">
        <v>1264</v>
      </c>
      <c r="F59" s="4">
        <v>4</v>
      </c>
      <c r="G59" s="4"/>
      <c r="H59" s="4" t="s">
        <v>16</v>
      </c>
      <c r="I59" s="4" t="s">
        <v>1028</v>
      </c>
      <c r="J59" s="4" t="s">
        <v>1029</v>
      </c>
      <c r="K59" s="4" t="s">
        <v>1058</v>
      </c>
      <c r="L59" s="4" t="s">
        <v>1045</v>
      </c>
      <c r="M59" s="4">
        <v>3</v>
      </c>
      <c r="N59" s="4" t="s">
        <v>1105</v>
      </c>
      <c r="O59" s="4" t="s">
        <v>1265</v>
      </c>
    </row>
    <row r="60" spans="1:15" ht="55.2" customHeight="1">
      <c r="A60" s="4" t="s">
        <v>796</v>
      </c>
      <c r="B60" s="4" t="s">
        <v>754</v>
      </c>
      <c r="C60" s="4" t="s">
        <v>1266</v>
      </c>
      <c r="D60" s="4" t="s">
        <v>1108</v>
      </c>
      <c r="E60" s="4" t="s">
        <v>1267</v>
      </c>
      <c r="F60" s="4">
        <v>4</v>
      </c>
      <c r="G60" s="4"/>
      <c r="H60" s="4" t="s">
        <v>16</v>
      </c>
      <c r="I60" s="4" t="s">
        <v>1028</v>
      </c>
      <c r="J60" s="4" t="s">
        <v>1029</v>
      </c>
      <c r="K60" s="4" t="s">
        <v>1058</v>
      </c>
      <c r="L60" s="4" t="s">
        <v>1045</v>
      </c>
      <c r="M60" s="4">
        <v>3</v>
      </c>
      <c r="N60" s="4" t="s">
        <v>1105</v>
      </c>
      <c r="O60" s="4" t="s">
        <v>1268</v>
      </c>
    </row>
    <row r="61" spans="1:15" ht="55.2" customHeight="1">
      <c r="A61" s="4" t="s">
        <v>809</v>
      </c>
      <c r="B61" s="4" t="s">
        <v>754</v>
      </c>
      <c r="C61" s="4" t="s">
        <v>1269</v>
      </c>
      <c r="D61" s="4" t="s">
        <v>1270</v>
      </c>
      <c r="E61" s="4" t="s">
        <v>1271</v>
      </c>
      <c r="F61" s="4">
        <v>4</v>
      </c>
      <c r="G61" s="4"/>
      <c r="H61" s="4" t="s">
        <v>16</v>
      </c>
      <c r="I61" s="4" t="s">
        <v>1028</v>
      </c>
      <c r="J61" s="4" t="s">
        <v>1029</v>
      </c>
      <c r="K61" s="4" t="s">
        <v>1058</v>
      </c>
      <c r="L61" s="4" t="s">
        <v>1045</v>
      </c>
      <c r="M61" s="4">
        <v>3</v>
      </c>
      <c r="N61" s="4" t="s">
        <v>1272</v>
      </c>
      <c r="O61" s="4" t="s">
        <v>1106</v>
      </c>
    </row>
    <row r="62" spans="1:15" ht="55.2" customHeight="1">
      <c r="A62" s="4" t="s">
        <v>822</v>
      </c>
      <c r="B62" s="4" t="s">
        <v>823</v>
      </c>
      <c r="C62" s="4" t="s">
        <v>1273</v>
      </c>
      <c r="D62" s="4" t="s">
        <v>1108</v>
      </c>
      <c r="E62" s="4" t="s">
        <v>1274</v>
      </c>
      <c r="F62" s="4">
        <v>4</v>
      </c>
      <c r="G62" s="4"/>
      <c r="H62" s="4" t="s">
        <v>16</v>
      </c>
      <c r="I62" s="4" t="s">
        <v>1028</v>
      </c>
      <c r="J62" s="4" t="s">
        <v>1029</v>
      </c>
      <c r="K62" s="4" t="s">
        <v>1058</v>
      </c>
      <c r="L62" s="4" t="s">
        <v>1045</v>
      </c>
      <c r="M62" s="4">
        <v>3</v>
      </c>
      <c r="N62" s="4" t="s">
        <v>1105</v>
      </c>
      <c r="O62" s="4" t="s">
        <v>1106</v>
      </c>
    </row>
    <row r="63" spans="1:15" ht="55.2" customHeight="1">
      <c r="A63" s="4" t="s">
        <v>836</v>
      </c>
      <c r="B63" s="4" t="s">
        <v>823</v>
      </c>
      <c r="C63" s="4" t="s">
        <v>1275</v>
      </c>
      <c r="D63" s="4" t="s">
        <v>1108</v>
      </c>
      <c r="E63" s="4" t="s">
        <v>1276</v>
      </c>
      <c r="F63" s="4">
        <v>4</v>
      </c>
      <c r="G63" s="4"/>
      <c r="H63" s="4" t="s">
        <v>16</v>
      </c>
      <c r="I63" s="4" t="s">
        <v>1028</v>
      </c>
      <c r="J63" s="4" t="s">
        <v>1029</v>
      </c>
      <c r="K63" s="4" t="s">
        <v>1058</v>
      </c>
      <c r="L63" s="4" t="s">
        <v>1045</v>
      </c>
      <c r="M63" s="4">
        <v>3</v>
      </c>
      <c r="N63" s="4" t="s">
        <v>1105</v>
      </c>
      <c r="O63" s="4" t="s">
        <v>1106</v>
      </c>
    </row>
    <row r="64" spans="1:15" ht="55.2" customHeight="1">
      <c r="A64" s="4" t="s">
        <v>849</v>
      </c>
      <c r="B64" s="4" t="s">
        <v>823</v>
      </c>
      <c r="C64" s="4" t="s">
        <v>1277</v>
      </c>
      <c r="D64" s="4" t="s">
        <v>1108</v>
      </c>
      <c r="E64" s="4" t="s">
        <v>1278</v>
      </c>
      <c r="F64" s="4">
        <v>4</v>
      </c>
      <c r="G64" s="4"/>
      <c r="H64" s="4" t="s">
        <v>16</v>
      </c>
      <c r="I64" s="4" t="s">
        <v>1028</v>
      </c>
      <c r="J64" s="4" t="s">
        <v>1029</v>
      </c>
      <c r="K64" s="4" t="s">
        <v>1058</v>
      </c>
      <c r="L64" s="4" t="s">
        <v>1045</v>
      </c>
      <c r="M64" s="4">
        <v>3</v>
      </c>
      <c r="N64" s="4" t="s">
        <v>1105</v>
      </c>
      <c r="O64" s="4" t="s">
        <v>1106</v>
      </c>
    </row>
    <row r="65" spans="1:15" ht="55.2" customHeight="1">
      <c r="A65" s="4" t="s">
        <v>862</v>
      </c>
      <c r="B65" s="4" t="s">
        <v>823</v>
      </c>
      <c r="C65" s="4" t="s">
        <v>1279</v>
      </c>
      <c r="D65" s="4" t="s">
        <v>1108</v>
      </c>
      <c r="E65" s="4" t="s">
        <v>1280</v>
      </c>
      <c r="F65" s="4">
        <v>4</v>
      </c>
      <c r="G65" s="4"/>
      <c r="H65" s="4" t="s">
        <v>16</v>
      </c>
      <c r="I65" s="4" t="s">
        <v>1028</v>
      </c>
      <c r="J65" s="4" t="s">
        <v>1029</v>
      </c>
      <c r="K65" s="4" t="s">
        <v>1058</v>
      </c>
      <c r="L65" s="4" t="s">
        <v>1045</v>
      </c>
      <c r="M65" s="4">
        <v>3</v>
      </c>
      <c r="N65" s="4" t="s">
        <v>1105</v>
      </c>
      <c r="O65" s="4" t="s">
        <v>1281</v>
      </c>
    </row>
    <row r="66" spans="1:15" ht="55.2" customHeight="1">
      <c r="A66" s="4" t="s">
        <v>876</v>
      </c>
      <c r="B66" s="4" t="s">
        <v>823</v>
      </c>
      <c r="C66" s="4" t="s">
        <v>1282</v>
      </c>
      <c r="D66" s="4" t="s">
        <v>1108</v>
      </c>
      <c r="E66" s="4" t="s">
        <v>1283</v>
      </c>
      <c r="F66" s="4">
        <v>4</v>
      </c>
      <c r="G66" s="4"/>
      <c r="H66" s="4" t="s">
        <v>16</v>
      </c>
      <c r="I66" s="4" t="s">
        <v>1028</v>
      </c>
      <c r="J66" s="4" t="s">
        <v>1029</v>
      </c>
      <c r="K66" s="4" t="s">
        <v>1058</v>
      </c>
      <c r="L66" s="4" t="s">
        <v>1045</v>
      </c>
      <c r="M66" s="4">
        <v>3</v>
      </c>
      <c r="N66" s="4" t="s">
        <v>1105</v>
      </c>
      <c r="O66" s="4" t="s">
        <v>1284</v>
      </c>
    </row>
    <row r="67" spans="1:15" ht="55.2" customHeight="1">
      <c r="A67" s="4" t="s">
        <v>890</v>
      </c>
      <c r="B67" s="4" t="s">
        <v>891</v>
      </c>
      <c r="C67" s="4" t="s">
        <v>1285</v>
      </c>
      <c r="D67" s="4" t="s">
        <v>1103</v>
      </c>
      <c r="E67" s="4" t="s">
        <v>1286</v>
      </c>
      <c r="F67" s="4">
        <v>4</v>
      </c>
      <c r="G67" s="4"/>
      <c r="H67" s="4" t="s">
        <v>16</v>
      </c>
      <c r="I67" s="4" t="s">
        <v>1033</v>
      </c>
      <c r="J67" s="4" t="s">
        <v>1034</v>
      </c>
      <c r="K67" s="4" t="s">
        <v>1058</v>
      </c>
      <c r="L67" s="4" t="s">
        <v>1045</v>
      </c>
      <c r="M67" s="4">
        <v>3</v>
      </c>
      <c r="N67" s="4" t="s">
        <v>1287</v>
      </c>
      <c r="O67" s="4" t="s">
        <v>1106</v>
      </c>
    </row>
    <row r="68" spans="1:15" ht="55.2" customHeight="1">
      <c r="A68" s="4" t="s">
        <v>904</v>
      </c>
      <c r="B68" s="4" t="s">
        <v>891</v>
      </c>
      <c r="C68" s="4" t="s">
        <v>1288</v>
      </c>
      <c r="D68" s="4" t="s">
        <v>1103</v>
      </c>
      <c r="E68" s="4" t="s">
        <v>1289</v>
      </c>
      <c r="F68" s="4">
        <v>4</v>
      </c>
      <c r="G68" s="4"/>
      <c r="H68" s="4" t="s">
        <v>16</v>
      </c>
      <c r="I68" s="4" t="s">
        <v>1033</v>
      </c>
      <c r="J68" s="4" t="s">
        <v>1034</v>
      </c>
      <c r="K68" s="4" t="s">
        <v>1058</v>
      </c>
      <c r="L68" s="4" t="s">
        <v>1045</v>
      </c>
      <c r="M68" s="4">
        <v>3</v>
      </c>
      <c r="N68" s="4" t="s">
        <v>1287</v>
      </c>
      <c r="O68" s="4" t="s">
        <v>1290</v>
      </c>
    </row>
    <row r="69" spans="1:15" ht="55.2" customHeight="1">
      <c r="A69" s="4" t="s">
        <v>918</v>
      </c>
      <c r="B69" s="4" t="s">
        <v>891</v>
      </c>
      <c r="C69" s="4" t="s">
        <v>1291</v>
      </c>
      <c r="D69" s="4" t="s">
        <v>1103</v>
      </c>
      <c r="E69" s="4" t="s">
        <v>1292</v>
      </c>
      <c r="F69" s="4">
        <v>4</v>
      </c>
      <c r="G69" s="4"/>
      <c r="H69" s="4" t="s">
        <v>16</v>
      </c>
      <c r="I69" s="4" t="s">
        <v>1033</v>
      </c>
      <c r="J69" s="4" t="s">
        <v>1034</v>
      </c>
      <c r="K69" s="4" t="s">
        <v>1058</v>
      </c>
      <c r="L69" s="4" t="s">
        <v>1045</v>
      </c>
      <c r="M69" s="4">
        <v>3</v>
      </c>
      <c r="N69" s="4" t="s">
        <v>1287</v>
      </c>
      <c r="O69" s="4" t="s">
        <v>1106</v>
      </c>
    </row>
    <row r="70" spans="1:15" ht="55.2" customHeight="1">
      <c r="A70" s="4" t="s">
        <v>931</v>
      </c>
      <c r="B70" s="4" t="s">
        <v>891</v>
      </c>
      <c r="C70" s="4" t="s">
        <v>1293</v>
      </c>
      <c r="D70" s="4" t="s">
        <v>1103</v>
      </c>
      <c r="E70" s="4" t="s">
        <v>1294</v>
      </c>
      <c r="F70" s="4">
        <v>4</v>
      </c>
      <c r="G70" s="4"/>
      <c r="H70" s="4" t="s">
        <v>16</v>
      </c>
      <c r="I70" s="4" t="s">
        <v>1033</v>
      </c>
      <c r="J70" s="4" t="s">
        <v>1034</v>
      </c>
      <c r="K70" s="4" t="s">
        <v>1058</v>
      </c>
      <c r="L70" s="4" t="s">
        <v>1045</v>
      </c>
      <c r="M70" s="4">
        <v>3</v>
      </c>
      <c r="N70" s="4" t="s">
        <v>1287</v>
      </c>
      <c r="O70" s="4" t="s">
        <v>1106</v>
      </c>
    </row>
    <row r="71" spans="1:15" ht="41.4" customHeight="1">
      <c r="A71" s="4" t="s">
        <v>944</v>
      </c>
      <c r="B71" s="4" t="s">
        <v>945</v>
      </c>
      <c r="C71" s="4" t="s">
        <v>1295</v>
      </c>
      <c r="D71" s="4" t="s">
        <v>1123</v>
      </c>
      <c r="E71" s="4" t="s">
        <v>1296</v>
      </c>
      <c r="F71" s="4">
        <v>4</v>
      </c>
      <c r="G71" s="4"/>
      <c r="H71" s="4" t="s">
        <v>16</v>
      </c>
      <c r="I71" s="4" t="s">
        <v>1028</v>
      </c>
      <c r="J71" s="4" t="s">
        <v>1029</v>
      </c>
      <c r="K71" s="4" t="s">
        <v>1058</v>
      </c>
      <c r="L71" s="4" t="s">
        <v>1045</v>
      </c>
      <c r="M71" s="4">
        <v>3</v>
      </c>
      <c r="N71" s="4" t="s">
        <v>1297</v>
      </c>
      <c r="O71" s="4" t="s">
        <v>1106</v>
      </c>
    </row>
    <row r="72" spans="1:15" ht="55.2" customHeight="1">
      <c r="A72" s="4" t="s">
        <v>958</v>
      </c>
      <c r="B72" s="4" t="s">
        <v>945</v>
      </c>
      <c r="C72" s="4" t="s">
        <v>1298</v>
      </c>
      <c r="D72" s="4" t="s">
        <v>1123</v>
      </c>
      <c r="E72" s="4" t="s">
        <v>1299</v>
      </c>
      <c r="F72" s="4">
        <v>4</v>
      </c>
      <c r="G72" s="4"/>
      <c r="H72" s="4" t="s">
        <v>16</v>
      </c>
      <c r="I72" s="4" t="s">
        <v>1028</v>
      </c>
      <c r="J72" s="4" t="s">
        <v>1029</v>
      </c>
      <c r="K72" s="4" t="s">
        <v>1058</v>
      </c>
      <c r="L72" s="4" t="s">
        <v>1045</v>
      </c>
      <c r="M72" s="4">
        <v>3</v>
      </c>
      <c r="N72" s="4" t="s">
        <v>1300</v>
      </c>
      <c r="O72" s="4" t="s">
        <v>1106</v>
      </c>
    </row>
    <row r="73" spans="1:15" ht="82.8" customHeight="1">
      <c r="A73" s="4" t="s">
        <v>971</v>
      </c>
      <c r="B73" s="4" t="s">
        <v>945</v>
      </c>
      <c r="C73" s="4" t="s">
        <v>1301</v>
      </c>
      <c r="D73" s="4" t="s">
        <v>1217</v>
      </c>
      <c r="E73" s="4" t="s">
        <v>1302</v>
      </c>
      <c r="F73" s="4">
        <v>4</v>
      </c>
      <c r="G73" s="4"/>
      <c r="H73" s="4" t="s">
        <v>16</v>
      </c>
      <c r="I73" s="4" t="s">
        <v>1028</v>
      </c>
      <c r="J73" s="4" t="s">
        <v>1029</v>
      </c>
      <c r="K73" s="4" t="s">
        <v>1058</v>
      </c>
      <c r="L73" s="4" t="s">
        <v>1045</v>
      </c>
      <c r="M73" s="4">
        <v>3</v>
      </c>
      <c r="N73" s="4" t="s">
        <v>1303</v>
      </c>
      <c r="O73" s="4" t="s">
        <v>1106</v>
      </c>
    </row>
    <row r="74" spans="1:15" ht="96.6" customHeight="1">
      <c r="A74" s="4" t="s">
        <v>984</v>
      </c>
      <c r="B74" s="4" t="s">
        <v>945</v>
      </c>
      <c r="C74" s="4" t="s">
        <v>1304</v>
      </c>
      <c r="D74" s="4" t="s">
        <v>1305</v>
      </c>
      <c r="E74" s="4" t="s">
        <v>1306</v>
      </c>
      <c r="F74" s="4">
        <v>4</v>
      </c>
      <c r="G74" s="4"/>
      <c r="H74" s="4" t="s">
        <v>16</v>
      </c>
      <c r="I74" s="4" t="s">
        <v>1028</v>
      </c>
      <c r="J74" s="4" t="s">
        <v>1029</v>
      </c>
      <c r="K74" s="4" t="s">
        <v>1058</v>
      </c>
      <c r="L74" s="4" t="s">
        <v>1045</v>
      </c>
      <c r="M74" s="4">
        <v>3</v>
      </c>
      <c r="N74" s="4" t="s">
        <v>1307</v>
      </c>
      <c r="O74" s="4" t="s">
        <v>1106</v>
      </c>
    </row>
    <row r="75" spans="1:15" ht="220.8" customHeight="1">
      <c r="A75" s="4" t="s">
        <v>997</v>
      </c>
      <c r="B75" s="4" t="s">
        <v>945</v>
      </c>
      <c r="C75" s="4" t="s">
        <v>1308</v>
      </c>
      <c r="D75" s="4" t="s">
        <v>1305</v>
      </c>
      <c r="E75" s="4" t="s">
        <v>1309</v>
      </c>
      <c r="F75" s="4">
        <v>4</v>
      </c>
      <c r="G75" s="4"/>
      <c r="H75" s="4" t="s">
        <v>16</v>
      </c>
      <c r="I75" s="4" t="s">
        <v>1028</v>
      </c>
      <c r="J75" s="4" t="s">
        <v>1029</v>
      </c>
      <c r="K75" s="4" t="s">
        <v>1058</v>
      </c>
      <c r="L75" s="4" t="s">
        <v>1045</v>
      </c>
      <c r="M75" s="4">
        <v>3</v>
      </c>
      <c r="N75" s="4" t="s">
        <v>1310</v>
      </c>
      <c r="O75" s="4" t="s">
        <v>1106</v>
      </c>
    </row>
    <row r="76" spans="1:15" ht="124.2" customHeight="1">
      <c r="A76" s="4" t="s">
        <v>1010</v>
      </c>
      <c r="B76" s="4" t="s">
        <v>945</v>
      </c>
      <c r="C76" s="4" t="s">
        <v>1311</v>
      </c>
      <c r="D76" s="4" t="s">
        <v>1312</v>
      </c>
      <c r="E76" s="4" t="s">
        <v>1313</v>
      </c>
      <c r="F76" s="4">
        <v>4</v>
      </c>
      <c r="G76" s="4"/>
      <c r="H76" s="4" t="s">
        <v>16</v>
      </c>
      <c r="I76" s="4" t="s">
        <v>1028</v>
      </c>
      <c r="J76" s="4" t="s">
        <v>1029</v>
      </c>
      <c r="K76" s="4" t="s">
        <v>1058</v>
      </c>
      <c r="L76" s="4" t="s">
        <v>1045</v>
      </c>
      <c r="M76" s="4">
        <v>3</v>
      </c>
      <c r="N76" s="4" t="s">
        <v>1314</v>
      </c>
      <c r="O76" s="4" t="s">
        <v>1106</v>
      </c>
    </row>
  </sheetData>
  <conditionalFormatting sqref="L2:L76">
    <cfRule type="expression" dxfId="6" priority="1">
      <formula>L2="Done"</formula>
    </cfRule>
    <cfRule type="expression" dxfId="5" priority="2">
      <formula>L2="Blocked"</formula>
    </cfRule>
    <cfRule type="expression" dxfId="4" priority="3">
      <formula>L2="In Progress"</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01"/>
  <sheetViews>
    <sheetView tabSelected="1" topLeftCell="I15" zoomScale="70" workbookViewId="0">
      <selection activeCell="K18" sqref="K18"/>
    </sheetView>
  </sheetViews>
  <sheetFormatPr defaultRowHeight="13.8"/>
  <cols>
    <col min="1" max="1" width="17" customWidth="1"/>
    <col min="2" max="2" width="15" customWidth="1"/>
    <col min="3" max="3" width="12" customWidth="1"/>
    <col min="4" max="4" width="70" customWidth="1"/>
    <col min="5" max="6" width="16" customWidth="1"/>
    <col min="7" max="7" width="30" customWidth="1"/>
    <col min="8" max="8" width="14" customWidth="1"/>
    <col min="9" max="10" width="16" customWidth="1"/>
    <col min="11" max="11" width="255.3984375" customWidth="1"/>
  </cols>
  <sheetData>
    <row r="1" spans="1:11" ht="24" customHeight="1">
      <c r="A1" s="1" t="s">
        <v>0</v>
      </c>
      <c r="B1" s="2" t="s">
        <v>1</v>
      </c>
      <c r="C1" s="2" t="s">
        <v>2</v>
      </c>
      <c r="D1" s="2" t="s">
        <v>3</v>
      </c>
      <c r="E1" s="2" t="s">
        <v>4</v>
      </c>
      <c r="F1" s="2" t="s">
        <v>5</v>
      </c>
      <c r="G1" s="2" t="s">
        <v>6</v>
      </c>
      <c r="H1" s="2" t="s">
        <v>7</v>
      </c>
      <c r="I1" s="2" t="s">
        <v>8</v>
      </c>
      <c r="J1" s="2" t="s">
        <v>9</v>
      </c>
      <c r="K1" s="2" t="s">
        <v>10</v>
      </c>
    </row>
    <row r="2" spans="1:11" ht="27.6" customHeight="1">
      <c r="A2" s="3" t="s">
        <v>11</v>
      </c>
      <c r="B2" s="3" t="s">
        <v>12</v>
      </c>
      <c r="C2" s="3" t="s">
        <v>13</v>
      </c>
      <c r="D2" s="3" t="s">
        <v>14</v>
      </c>
      <c r="E2" s="3"/>
      <c r="F2" s="3" t="s">
        <v>15</v>
      </c>
      <c r="G2" s="3"/>
      <c r="H2" s="3"/>
      <c r="I2" s="3" t="s">
        <v>16</v>
      </c>
      <c r="J2" s="3" t="s">
        <v>17</v>
      </c>
      <c r="K2" s="3" t="s">
        <v>18</v>
      </c>
    </row>
    <row r="3" spans="1:11" ht="27.6" customHeight="1">
      <c r="A3" s="3" t="s">
        <v>19</v>
      </c>
      <c r="B3" s="3" t="s">
        <v>12</v>
      </c>
      <c r="C3" s="3" t="s">
        <v>13</v>
      </c>
      <c r="D3" s="3" t="s">
        <v>20</v>
      </c>
      <c r="E3" s="3"/>
      <c r="F3" s="3" t="s">
        <v>15</v>
      </c>
      <c r="G3" s="3"/>
      <c r="H3" s="3"/>
      <c r="I3" s="3" t="s">
        <v>16</v>
      </c>
      <c r="J3" s="3" t="s">
        <v>17</v>
      </c>
      <c r="K3" s="3" t="s">
        <v>21</v>
      </c>
    </row>
    <row r="4" spans="1:11" ht="27.6" customHeight="1">
      <c r="A4" s="3" t="s">
        <v>22</v>
      </c>
      <c r="B4" s="3" t="s">
        <v>12</v>
      </c>
      <c r="C4" s="3" t="s">
        <v>13</v>
      </c>
      <c r="D4" s="3" t="s">
        <v>23</v>
      </c>
      <c r="E4" s="3"/>
      <c r="F4" s="3" t="s">
        <v>15</v>
      </c>
      <c r="G4" s="3"/>
      <c r="H4" s="3"/>
      <c r="I4" s="3" t="s">
        <v>16</v>
      </c>
      <c r="J4" s="3" t="s">
        <v>17</v>
      </c>
      <c r="K4" s="3" t="s">
        <v>24</v>
      </c>
    </row>
    <row r="5" spans="1:11" ht="27.6" customHeight="1">
      <c r="A5" s="3" t="s">
        <v>25</v>
      </c>
      <c r="B5" s="3" t="s">
        <v>12</v>
      </c>
      <c r="C5" s="3" t="s">
        <v>13</v>
      </c>
      <c r="D5" s="3" t="s">
        <v>26</v>
      </c>
      <c r="E5" s="3"/>
      <c r="F5" s="3" t="s">
        <v>15</v>
      </c>
      <c r="G5" s="3"/>
      <c r="H5" s="3"/>
      <c r="I5" s="3" t="s">
        <v>16</v>
      </c>
      <c r="J5" s="3" t="s">
        <v>17</v>
      </c>
      <c r="K5" s="3" t="s">
        <v>27</v>
      </c>
    </row>
    <row r="6" spans="1:11" ht="27.6" customHeight="1">
      <c r="A6" s="3" t="s">
        <v>28</v>
      </c>
      <c r="B6" s="3" t="s">
        <v>29</v>
      </c>
      <c r="C6" s="3" t="s">
        <v>13</v>
      </c>
      <c r="D6" s="3" t="s">
        <v>30</v>
      </c>
      <c r="E6" s="3"/>
      <c r="F6" s="3" t="s">
        <v>15</v>
      </c>
      <c r="G6" s="3"/>
      <c r="H6" s="3"/>
      <c r="I6" s="3" t="s">
        <v>16</v>
      </c>
      <c r="J6" s="3" t="s">
        <v>17</v>
      </c>
      <c r="K6" s="3" t="s">
        <v>31</v>
      </c>
    </row>
    <row r="7" spans="1:11" ht="41.4" customHeight="1">
      <c r="A7" s="3" t="s">
        <v>32</v>
      </c>
      <c r="B7" s="3" t="s">
        <v>29</v>
      </c>
      <c r="C7" s="3" t="s">
        <v>13</v>
      </c>
      <c r="D7" s="3" t="s">
        <v>33</v>
      </c>
      <c r="E7" s="3"/>
      <c r="F7" s="3" t="s">
        <v>15</v>
      </c>
      <c r="G7" s="3"/>
      <c r="H7" s="3"/>
      <c r="I7" s="3" t="s">
        <v>16</v>
      </c>
      <c r="J7" s="3" t="s">
        <v>17</v>
      </c>
      <c r="K7" s="3" t="s">
        <v>34</v>
      </c>
    </row>
    <row r="8" spans="1:11" ht="27.6" customHeight="1">
      <c r="A8" s="3" t="s">
        <v>35</v>
      </c>
      <c r="B8" s="3" t="s">
        <v>29</v>
      </c>
      <c r="C8" s="3" t="s">
        <v>13</v>
      </c>
      <c r="D8" s="3" t="s">
        <v>36</v>
      </c>
      <c r="E8" s="3"/>
      <c r="F8" s="3" t="s">
        <v>15</v>
      </c>
      <c r="G8" s="3"/>
      <c r="H8" s="3"/>
      <c r="I8" s="3" t="s">
        <v>16</v>
      </c>
      <c r="J8" s="3" t="s">
        <v>17</v>
      </c>
      <c r="K8" s="3" t="s">
        <v>37</v>
      </c>
    </row>
    <row r="9" spans="1:11" ht="27.6" customHeight="1">
      <c r="A9" s="3" t="s">
        <v>38</v>
      </c>
      <c r="B9" s="3" t="s">
        <v>29</v>
      </c>
      <c r="C9" s="3" t="s">
        <v>13</v>
      </c>
      <c r="D9" s="3" t="s">
        <v>39</v>
      </c>
      <c r="E9" s="3"/>
      <c r="F9" s="3" t="s">
        <v>15</v>
      </c>
      <c r="G9" s="3"/>
      <c r="H9" s="3"/>
      <c r="I9" s="3" t="s">
        <v>16</v>
      </c>
      <c r="J9" s="3" t="s">
        <v>17</v>
      </c>
      <c r="K9" s="3" t="s">
        <v>40</v>
      </c>
    </row>
    <row r="10" spans="1:11" ht="27.6" customHeight="1">
      <c r="A10" s="3" t="s">
        <v>41</v>
      </c>
      <c r="B10" s="3" t="s">
        <v>42</v>
      </c>
      <c r="C10" s="3" t="s">
        <v>13</v>
      </c>
      <c r="D10" s="3" t="s">
        <v>43</v>
      </c>
      <c r="E10" s="3"/>
      <c r="F10" s="3" t="s">
        <v>15</v>
      </c>
      <c r="G10" s="3"/>
      <c r="H10" s="3"/>
      <c r="I10" s="3" t="s">
        <v>16</v>
      </c>
      <c r="J10" s="3" t="s">
        <v>17</v>
      </c>
      <c r="K10" s="3" t="s">
        <v>44</v>
      </c>
    </row>
    <row r="11" spans="1:11" ht="27.6" customHeight="1">
      <c r="A11" s="3" t="s">
        <v>45</v>
      </c>
      <c r="B11" s="3" t="s">
        <v>42</v>
      </c>
      <c r="C11" s="3" t="s">
        <v>13</v>
      </c>
      <c r="D11" s="3" t="s">
        <v>46</v>
      </c>
      <c r="E11" s="3"/>
      <c r="F11" s="3" t="s">
        <v>15</v>
      </c>
      <c r="G11" s="3"/>
      <c r="H11" s="3"/>
      <c r="I11" s="3" t="s">
        <v>16</v>
      </c>
      <c r="J11" s="3" t="s">
        <v>17</v>
      </c>
      <c r="K11" s="3" t="s">
        <v>47</v>
      </c>
    </row>
    <row r="12" spans="1:11" ht="27.6" customHeight="1">
      <c r="A12" s="3" t="s">
        <v>48</v>
      </c>
      <c r="B12" s="3" t="s">
        <v>42</v>
      </c>
      <c r="C12" s="3" t="s">
        <v>13</v>
      </c>
      <c r="D12" s="3" t="s">
        <v>49</v>
      </c>
      <c r="E12" s="3"/>
      <c r="F12" s="3" t="s">
        <v>15</v>
      </c>
      <c r="G12" s="3"/>
      <c r="H12" s="3"/>
      <c r="I12" s="3" t="s">
        <v>16</v>
      </c>
      <c r="J12" s="3" t="s">
        <v>17</v>
      </c>
      <c r="K12" s="3" t="s">
        <v>50</v>
      </c>
    </row>
    <row r="13" spans="1:11" ht="27.6" customHeight="1">
      <c r="A13" s="3" t="s">
        <v>51</v>
      </c>
      <c r="B13" s="3" t="s">
        <v>42</v>
      </c>
      <c r="C13" s="3" t="s">
        <v>13</v>
      </c>
      <c r="D13" s="3" t="s">
        <v>52</v>
      </c>
      <c r="E13" s="3"/>
      <c r="F13" s="3" t="s">
        <v>15</v>
      </c>
      <c r="G13" s="3"/>
      <c r="H13" s="3"/>
      <c r="I13" s="3" t="s">
        <v>16</v>
      </c>
      <c r="J13" s="3" t="s">
        <v>17</v>
      </c>
      <c r="K13" s="3" t="s">
        <v>53</v>
      </c>
    </row>
    <row r="14" spans="1:11" ht="27.6" customHeight="1">
      <c r="A14" s="3" t="s">
        <v>54</v>
      </c>
      <c r="B14" s="3" t="s">
        <v>55</v>
      </c>
      <c r="C14" s="3" t="s">
        <v>13</v>
      </c>
      <c r="D14" s="3" t="s">
        <v>56</v>
      </c>
      <c r="E14" s="3"/>
      <c r="F14" s="3" t="s">
        <v>15</v>
      </c>
      <c r="G14" s="3"/>
      <c r="H14" s="3"/>
      <c r="I14" s="3" t="s">
        <v>16</v>
      </c>
      <c r="J14" s="3" t="s">
        <v>17</v>
      </c>
      <c r="K14" s="3" t="s">
        <v>57</v>
      </c>
    </row>
    <row r="15" spans="1:11" ht="27.6" customHeight="1">
      <c r="A15" s="3" t="s">
        <v>58</v>
      </c>
      <c r="B15" s="3" t="s">
        <v>55</v>
      </c>
      <c r="C15" s="3" t="s">
        <v>13</v>
      </c>
      <c r="D15" s="3" t="s">
        <v>59</v>
      </c>
      <c r="E15" s="3"/>
      <c r="F15" s="3" t="s">
        <v>15</v>
      </c>
      <c r="G15" s="3"/>
      <c r="H15" s="3"/>
      <c r="I15" s="3" t="s">
        <v>16</v>
      </c>
      <c r="J15" s="3" t="s">
        <v>17</v>
      </c>
      <c r="K15" s="3" t="s">
        <v>60</v>
      </c>
    </row>
    <row r="16" spans="1:11" ht="27.6" customHeight="1">
      <c r="A16" s="3" t="s">
        <v>61</v>
      </c>
      <c r="B16" s="3" t="s">
        <v>55</v>
      </c>
      <c r="C16" s="3" t="s">
        <v>13</v>
      </c>
      <c r="D16" s="3" t="s">
        <v>62</v>
      </c>
      <c r="E16" s="3"/>
      <c r="F16" s="3" t="s">
        <v>15</v>
      </c>
      <c r="G16" s="3"/>
      <c r="H16" s="3"/>
      <c r="I16" s="3" t="s">
        <v>16</v>
      </c>
      <c r="J16" s="3" t="s">
        <v>17</v>
      </c>
      <c r="K16" s="3" t="s">
        <v>63</v>
      </c>
    </row>
    <row r="17" spans="1:11" ht="46.2" customHeight="1">
      <c r="A17" s="3" t="s">
        <v>64</v>
      </c>
      <c r="B17" s="3" t="s">
        <v>55</v>
      </c>
      <c r="C17" s="3" t="s">
        <v>13</v>
      </c>
      <c r="D17" s="3" t="s">
        <v>65</v>
      </c>
      <c r="E17" s="3"/>
      <c r="F17" s="3" t="s">
        <v>15</v>
      </c>
      <c r="G17" s="3"/>
      <c r="H17" s="3"/>
      <c r="I17" s="3" t="s">
        <v>16</v>
      </c>
      <c r="J17" s="3" t="s">
        <v>17</v>
      </c>
      <c r="K17" s="3" t="s">
        <v>66</v>
      </c>
    </row>
    <row r="18" spans="1:11" ht="39.6" customHeight="1">
      <c r="A18" s="3" t="s">
        <v>67</v>
      </c>
      <c r="B18" s="3" t="s">
        <v>68</v>
      </c>
      <c r="C18" s="3" t="s">
        <v>13</v>
      </c>
      <c r="D18" s="3" t="s">
        <v>69</v>
      </c>
      <c r="E18" s="3"/>
      <c r="F18" s="3" t="s">
        <v>15</v>
      </c>
      <c r="G18" s="3"/>
      <c r="H18" s="3" t="s">
        <v>70</v>
      </c>
      <c r="I18" s="3" t="s">
        <v>16</v>
      </c>
      <c r="J18" s="3" t="s">
        <v>17</v>
      </c>
      <c r="K18" s="3" t="s">
        <v>71</v>
      </c>
    </row>
    <row r="19" spans="1:11" ht="27.6" customHeight="1">
      <c r="A19" s="3" t="s">
        <v>72</v>
      </c>
      <c r="B19" s="3" t="s">
        <v>68</v>
      </c>
      <c r="C19" s="3" t="s">
        <v>13</v>
      </c>
      <c r="D19" s="3" t="s">
        <v>73</v>
      </c>
      <c r="E19" s="3"/>
      <c r="F19" s="3" t="s">
        <v>15</v>
      </c>
      <c r="G19" s="3"/>
      <c r="H19" s="3"/>
      <c r="I19" s="3" t="s">
        <v>16</v>
      </c>
      <c r="J19" s="3" t="s">
        <v>17</v>
      </c>
      <c r="K19" s="3" t="s">
        <v>74</v>
      </c>
    </row>
    <row r="20" spans="1:11" ht="27.6" customHeight="1">
      <c r="A20" s="3" t="s">
        <v>75</v>
      </c>
      <c r="B20" s="3" t="s">
        <v>68</v>
      </c>
      <c r="C20" s="3" t="s">
        <v>13</v>
      </c>
      <c r="D20" s="3" t="s">
        <v>76</v>
      </c>
      <c r="E20" s="3"/>
      <c r="F20" s="3" t="s">
        <v>15</v>
      </c>
      <c r="G20" s="3"/>
      <c r="H20" s="3"/>
      <c r="I20" s="3" t="s">
        <v>16</v>
      </c>
      <c r="J20" s="3" t="s">
        <v>17</v>
      </c>
      <c r="K20" s="3" t="s">
        <v>77</v>
      </c>
    </row>
    <row r="21" spans="1:11" ht="27.6" customHeight="1">
      <c r="A21" s="3" t="s">
        <v>78</v>
      </c>
      <c r="B21" s="3" t="s">
        <v>68</v>
      </c>
      <c r="C21" s="3" t="s">
        <v>13</v>
      </c>
      <c r="D21" s="3" t="s">
        <v>79</v>
      </c>
      <c r="E21" s="3"/>
      <c r="F21" s="3" t="s">
        <v>15</v>
      </c>
      <c r="G21" s="3"/>
      <c r="H21" s="3"/>
      <c r="I21" s="3" t="s">
        <v>16</v>
      </c>
      <c r="J21" s="3" t="s">
        <v>17</v>
      </c>
      <c r="K21" s="3" t="s">
        <v>80</v>
      </c>
    </row>
    <row r="22" spans="1:11" ht="27.6" customHeight="1">
      <c r="A22" s="3" t="s">
        <v>81</v>
      </c>
      <c r="B22" s="3" t="s">
        <v>82</v>
      </c>
      <c r="C22" s="3" t="s">
        <v>13</v>
      </c>
      <c r="D22" s="3" t="s">
        <v>83</v>
      </c>
      <c r="E22" s="3"/>
      <c r="F22" s="3" t="s">
        <v>15</v>
      </c>
      <c r="G22" s="3"/>
      <c r="H22" s="3"/>
      <c r="I22" s="3" t="s">
        <v>16</v>
      </c>
      <c r="J22" s="3" t="s">
        <v>17</v>
      </c>
      <c r="K22" s="3" t="s">
        <v>84</v>
      </c>
    </row>
    <row r="23" spans="1:11" ht="27.6" customHeight="1">
      <c r="A23" s="3" t="s">
        <v>85</v>
      </c>
      <c r="B23" s="3" t="s">
        <v>82</v>
      </c>
      <c r="C23" s="3" t="s">
        <v>13</v>
      </c>
      <c r="D23" s="3" t="s">
        <v>86</v>
      </c>
      <c r="E23" s="3"/>
      <c r="F23" s="3" t="s">
        <v>15</v>
      </c>
      <c r="G23" s="3"/>
      <c r="H23" s="3"/>
      <c r="I23" s="3" t="s">
        <v>16</v>
      </c>
      <c r="J23" s="3" t="s">
        <v>17</v>
      </c>
      <c r="K23" s="3" t="s">
        <v>87</v>
      </c>
    </row>
    <row r="24" spans="1:11" ht="27.6" customHeight="1">
      <c r="A24" s="3" t="s">
        <v>88</v>
      </c>
      <c r="B24" s="3" t="s">
        <v>82</v>
      </c>
      <c r="C24" s="3" t="s">
        <v>13</v>
      </c>
      <c r="D24" s="3" t="s">
        <v>89</v>
      </c>
      <c r="E24" s="3"/>
      <c r="F24" s="3" t="s">
        <v>15</v>
      </c>
      <c r="G24" s="3"/>
      <c r="H24" s="3"/>
      <c r="I24" s="3" t="s">
        <v>16</v>
      </c>
      <c r="J24" s="3" t="s">
        <v>17</v>
      </c>
      <c r="K24" s="3" t="s">
        <v>90</v>
      </c>
    </row>
    <row r="25" spans="1:11" ht="27.6" customHeight="1">
      <c r="A25" s="3" t="s">
        <v>91</v>
      </c>
      <c r="B25" s="3" t="s">
        <v>82</v>
      </c>
      <c r="C25" s="3" t="s">
        <v>13</v>
      </c>
      <c r="D25" s="3" t="s">
        <v>92</v>
      </c>
      <c r="E25" s="3"/>
      <c r="F25" s="3" t="s">
        <v>15</v>
      </c>
      <c r="G25" s="3"/>
      <c r="H25" s="3"/>
      <c r="I25" s="3" t="s">
        <v>16</v>
      </c>
      <c r="J25" s="3" t="s">
        <v>17</v>
      </c>
      <c r="K25" s="3" t="s">
        <v>93</v>
      </c>
    </row>
    <row r="26" spans="1:11" ht="27.6" customHeight="1">
      <c r="A26" s="3" t="s">
        <v>94</v>
      </c>
      <c r="B26" s="3" t="s">
        <v>95</v>
      </c>
      <c r="C26" s="3" t="s">
        <v>13</v>
      </c>
      <c r="D26" s="3" t="s">
        <v>96</v>
      </c>
      <c r="E26" s="3"/>
      <c r="F26" s="3" t="s">
        <v>15</v>
      </c>
      <c r="G26" s="3"/>
      <c r="H26" s="3"/>
      <c r="I26" s="3" t="s">
        <v>16</v>
      </c>
      <c r="J26" s="3" t="s">
        <v>17</v>
      </c>
      <c r="K26" s="3" t="s">
        <v>97</v>
      </c>
    </row>
    <row r="27" spans="1:11" ht="27.6" customHeight="1">
      <c r="A27" s="3" t="s">
        <v>98</v>
      </c>
      <c r="B27" s="3" t="s">
        <v>95</v>
      </c>
      <c r="C27" s="3" t="s">
        <v>13</v>
      </c>
      <c r="D27" s="3" t="s">
        <v>99</v>
      </c>
      <c r="E27" s="3"/>
      <c r="F27" s="3" t="s">
        <v>15</v>
      </c>
      <c r="G27" s="3"/>
      <c r="H27" s="3"/>
      <c r="I27" s="3" t="s">
        <v>16</v>
      </c>
      <c r="J27" s="3" t="s">
        <v>17</v>
      </c>
      <c r="K27" s="3" t="s">
        <v>100</v>
      </c>
    </row>
    <row r="28" spans="1:11" ht="27.6" customHeight="1">
      <c r="A28" s="3" t="s">
        <v>101</v>
      </c>
      <c r="B28" s="3" t="s">
        <v>95</v>
      </c>
      <c r="C28" s="3" t="s">
        <v>13</v>
      </c>
      <c r="D28" s="3" t="s">
        <v>102</v>
      </c>
      <c r="E28" s="3"/>
      <c r="F28" s="3" t="s">
        <v>15</v>
      </c>
      <c r="G28" s="3"/>
      <c r="H28" s="3"/>
      <c r="I28" s="3" t="s">
        <v>16</v>
      </c>
      <c r="J28" s="3" t="s">
        <v>17</v>
      </c>
      <c r="K28" s="3" t="s">
        <v>103</v>
      </c>
    </row>
    <row r="29" spans="1:11" ht="55.2" customHeight="1">
      <c r="A29" s="3" t="s">
        <v>104</v>
      </c>
      <c r="B29" s="3" t="s">
        <v>95</v>
      </c>
      <c r="C29" s="3" t="s">
        <v>13</v>
      </c>
      <c r="D29" s="3" t="s">
        <v>105</v>
      </c>
      <c r="E29" s="3"/>
      <c r="F29" s="3" t="s">
        <v>15</v>
      </c>
      <c r="G29" s="3"/>
      <c r="H29" s="3"/>
      <c r="I29" s="3" t="s">
        <v>16</v>
      </c>
      <c r="J29" s="3" t="s">
        <v>17</v>
      </c>
      <c r="K29" s="3" t="s">
        <v>106</v>
      </c>
    </row>
    <row r="30" spans="1:11" ht="27.6" customHeight="1">
      <c r="A30" s="3" t="s">
        <v>107</v>
      </c>
      <c r="B30" s="3" t="s">
        <v>108</v>
      </c>
      <c r="C30" s="3" t="s">
        <v>109</v>
      </c>
      <c r="D30" s="3" t="s">
        <v>110</v>
      </c>
      <c r="E30" s="3"/>
      <c r="F30" s="3" t="s">
        <v>15</v>
      </c>
      <c r="G30" s="3"/>
      <c r="H30" s="3"/>
      <c r="I30" s="3" t="s">
        <v>16</v>
      </c>
      <c r="J30" s="3" t="s">
        <v>17</v>
      </c>
      <c r="K30" s="3" t="s">
        <v>111</v>
      </c>
    </row>
    <row r="31" spans="1:11" ht="27.6" customHeight="1">
      <c r="A31" s="3" t="s">
        <v>112</v>
      </c>
      <c r="B31" s="3" t="s">
        <v>108</v>
      </c>
      <c r="C31" s="3" t="s">
        <v>109</v>
      </c>
      <c r="D31" s="3" t="s">
        <v>113</v>
      </c>
      <c r="E31" s="3"/>
      <c r="F31" s="3" t="s">
        <v>15</v>
      </c>
      <c r="G31" s="3"/>
      <c r="H31" s="3"/>
      <c r="I31" s="3" t="s">
        <v>16</v>
      </c>
      <c r="J31" s="3" t="s">
        <v>17</v>
      </c>
      <c r="K31" s="3" t="s">
        <v>114</v>
      </c>
    </row>
    <row r="32" spans="1:11" ht="27.6" customHeight="1">
      <c r="A32" s="3" t="s">
        <v>115</v>
      </c>
      <c r="B32" s="3" t="s">
        <v>108</v>
      </c>
      <c r="C32" s="3" t="s">
        <v>109</v>
      </c>
      <c r="D32" s="3" t="s">
        <v>116</v>
      </c>
      <c r="E32" s="3"/>
      <c r="F32" s="3" t="s">
        <v>15</v>
      </c>
      <c r="G32" s="3"/>
      <c r="H32" s="3"/>
      <c r="I32" s="3" t="s">
        <v>16</v>
      </c>
      <c r="J32" s="3" t="s">
        <v>17</v>
      </c>
      <c r="K32" s="3" t="s">
        <v>117</v>
      </c>
    </row>
    <row r="33" spans="1:11" ht="27.6" customHeight="1">
      <c r="A33" s="3" t="s">
        <v>118</v>
      </c>
      <c r="B33" s="3" t="s">
        <v>108</v>
      </c>
      <c r="C33" s="3" t="s">
        <v>109</v>
      </c>
      <c r="D33" s="3" t="s">
        <v>119</v>
      </c>
      <c r="E33" s="3"/>
      <c r="F33" s="3" t="s">
        <v>15</v>
      </c>
      <c r="G33" s="3"/>
      <c r="H33" s="3"/>
      <c r="I33" s="3" t="s">
        <v>16</v>
      </c>
      <c r="J33" s="3" t="s">
        <v>17</v>
      </c>
      <c r="K33" s="3" t="s">
        <v>120</v>
      </c>
    </row>
    <row r="34" spans="1:11" ht="27.6" customHeight="1">
      <c r="A34" s="3" t="s">
        <v>121</v>
      </c>
      <c r="B34" s="3" t="s">
        <v>122</v>
      </c>
      <c r="C34" s="3" t="s">
        <v>109</v>
      </c>
      <c r="D34" s="3" t="s">
        <v>123</v>
      </c>
      <c r="E34" s="3"/>
      <c r="F34" s="3" t="s">
        <v>15</v>
      </c>
      <c r="G34" s="3"/>
      <c r="H34" s="3" t="s">
        <v>124</v>
      </c>
      <c r="I34" s="3" t="s">
        <v>16</v>
      </c>
      <c r="J34" s="3" t="s">
        <v>17</v>
      </c>
      <c r="K34" s="3" t="s">
        <v>125</v>
      </c>
    </row>
    <row r="35" spans="1:11" ht="27.6" customHeight="1">
      <c r="A35" s="3" t="s">
        <v>126</v>
      </c>
      <c r="B35" s="3" t="s">
        <v>122</v>
      </c>
      <c r="C35" s="3" t="s">
        <v>109</v>
      </c>
      <c r="D35" s="3" t="s">
        <v>127</v>
      </c>
      <c r="E35" s="3"/>
      <c r="F35" s="3" t="s">
        <v>15</v>
      </c>
      <c r="G35" s="3"/>
      <c r="H35" s="3"/>
      <c r="I35" s="3" t="s">
        <v>16</v>
      </c>
      <c r="J35" s="3" t="s">
        <v>17</v>
      </c>
      <c r="K35" s="3" t="s">
        <v>128</v>
      </c>
    </row>
    <row r="36" spans="1:11" ht="27.6" customHeight="1">
      <c r="A36" s="3" t="s">
        <v>129</v>
      </c>
      <c r="B36" s="3" t="s">
        <v>122</v>
      </c>
      <c r="C36" s="3" t="s">
        <v>109</v>
      </c>
      <c r="D36" s="3" t="s">
        <v>130</v>
      </c>
      <c r="E36" s="3"/>
      <c r="F36" s="3" t="s">
        <v>15</v>
      </c>
      <c r="G36" s="3"/>
      <c r="H36" s="3"/>
      <c r="I36" s="3" t="s">
        <v>16</v>
      </c>
      <c r="J36" s="3" t="s">
        <v>17</v>
      </c>
      <c r="K36" s="3" t="s">
        <v>131</v>
      </c>
    </row>
    <row r="37" spans="1:11" ht="27.6" customHeight="1">
      <c r="A37" s="3" t="s">
        <v>132</v>
      </c>
      <c r="B37" s="3" t="s">
        <v>122</v>
      </c>
      <c r="C37" s="3" t="s">
        <v>109</v>
      </c>
      <c r="D37" s="3" t="s">
        <v>133</v>
      </c>
      <c r="E37" s="3"/>
      <c r="F37" s="3" t="s">
        <v>15</v>
      </c>
      <c r="G37" s="3"/>
      <c r="H37" s="3"/>
      <c r="I37" s="3" t="s">
        <v>16</v>
      </c>
      <c r="J37" s="3" t="s">
        <v>17</v>
      </c>
      <c r="K37" s="3" t="s">
        <v>134</v>
      </c>
    </row>
    <row r="38" spans="1:11" ht="27.6" customHeight="1">
      <c r="A38" s="3" t="s">
        <v>135</v>
      </c>
      <c r="B38" s="3" t="s">
        <v>136</v>
      </c>
      <c r="C38" s="3" t="s">
        <v>109</v>
      </c>
      <c r="D38" s="3" t="s">
        <v>137</v>
      </c>
      <c r="E38" s="3"/>
      <c r="F38" s="3" t="s">
        <v>15</v>
      </c>
      <c r="G38" s="3"/>
      <c r="H38" s="3"/>
      <c r="I38" s="3" t="s">
        <v>16</v>
      </c>
      <c r="J38" s="3" t="s">
        <v>17</v>
      </c>
      <c r="K38" s="3" t="s">
        <v>138</v>
      </c>
    </row>
    <row r="39" spans="1:11" ht="27.6" customHeight="1">
      <c r="A39" s="3" t="s">
        <v>139</v>
      </c>
      <c r="B39" s="3" t="s">
        <v>136</v>
      </c>
      <c r="C39" s="3" t="s">
        <v>109</v>
      </c>
      <c r="D39" s="3" t="s">
        <v>140</v>
      </c>
      <c r="E39" s="3"/>
      <c r="F39" s="3" t="s">
        <v>15</v>
      </c>
      <c r="G39" s="3"/>
      <c r="H39" s="3"/>
      <c r="I39" s="3" t="s">
        <v>16</v>
      </c>
      <c r="J39" s="3" t="s">
        <v>17</v>
      </c>
      <c r="K39" s="3" t="s">
        <v>141</v>
      </c>
    </row>
    <row r="40" spans="1:11" ht="27.6" customHeight="1">
      <c r="A40" s="3" t="s">
        <v>142</v>
      </c>
      <c r="B40" s="3" t="s">
        <v>136</v>
      </c>
      <c r="C40" s="3" t="s">
        <v>109</v>
      </c>
      <c r="D40" s="3" t="s">
        <v>143</v>
      </c>
      <c r="E40" s="3"/>
      <c r="F40" s="3" t="s">
        <v>15</v>
      </c>
      <c r="G40" s="3"/>
      <c r="H40" s="3"/>
      <c r="I40" s="3" t="s">
        <v>16</v>
      </c>
      <c r="J40" s="3" t="s">
        <v>17</v>
      </c>
      <c r="K40" s="3" t="s">
        <v>144</v>
      </c>
    </row>
    <row r="41" spans="1:11" ht="27.6" customHeight="1">
      <c r="A41" s="3" t="s">
        <v>145</v>
      </c>
      <c r="B41" s="3" t="s">
        <v>136</v>
      </c>
      <c r="C41" s="3" t="s">
        <v>109</v>
      </c>
      <c r="D41" s="3" t="s">
        <v>146</v>
      </c>
      <c r="E41" s="3"/>
      <c r="F41" s="3" t="s">
        <v>15</v>
      </c>
      <c r="G41" s="3"/>
      <c r="H41" s="3"/>
      <c r="I41" s="3" t="s">
        <v>16</v>
      </c>
      <c r="J41" s="3" t="s">
        <v>17</v>
      </c>
      <c r="K41" s="3" t="s">
        <v>147</v>
      </c>
    </row>
    <row r="42" spans="1:11" ht="27.6" customHeight="1">
      <c r="A42" s="3" t="s">
        <v>148</v>
      </c>
      <c r="B42" s="3" t="s">
        <v>149</v>
      </c>
      <c r="C42" s="3" t="s">
        <v>109</v>
      </c>
      <c r="D42" s="3" t="s">
        <v>150</v>
      </c>
      <c r="E42" s="3"/>
      <c r="F42" s="3" t="s">
        <v>15</v>
      </c>
      <c r="G42" s="3"/>
      <c r="H42" s="3"/>
      <c r="I42" s="3" t="s">
        <v>16</v>
      </c>
      <c r="J42" s="3" t="s">
        <v>17</v>
      </c>
      <c r="K42" s="3" t="s">
        <v>151</v>
      </c>
    </row>
    <row r="43" spans="1:11" ht="27.6" customHeight="1">
      <c r="A43" s="3" t="s">
        <v>152</v>
      </c>
      <c r="B43" s="3" t="s">
        <v>149</v>
      </c>
      <c r="C43" s="3" t="s">
        <v>109</v>
      </c>
      <c r="D43" s="3" t="s">
        <v>153</v>
      </c>
      <c r="E43" s="3"/>
      <c r="F43" s="3" t="s">
        <v>15</v>
      </c>
      <c r="G43" s="3"/>
      <c r="H43" s="3"/>
      <c r="I43" s="3" t="s">
        <v>16</v>
      </c>
      <c r="J43" s="3" t="s">
        <v>17</v>
      </c>
      <c r="K43" s="3" t="s">
        <v>154</v>
      </c>
    </row>
    <row r="44" spans="1:11" ht="27.6" customHeight="1">
      <c r="A44" s="3" t="s">
        <v>155</v>
      </c>
      <c r="B44" s="3" t="s">
        <v>149</v>
      </c>
      <c r="C44" s="3" t="s">
        <v>109</v>
      </c>
      <c r="D44" s="3" t="s">
        <v>156</v>
      </c>
      <c r="E44" s="3"/>
      <c r="F44" s="3" t="s">
        <v>15</v>
      </c>
      <c r="G44" s="3"/>
      <c r="H44" s="3"/>
      <c r="I44" s="3" t="s">
        <v>16</v>
      </c>
      <c r="J44" s="3" t="s">
        <v>17</v>
      </c>
      <c r="K44" s="3" t="s">
        <v>157</v>
      </c>
    </row>
    <row r="45" spans="1:11" ht="27.6" customHeight="1">
      <c r="A45" s="3" t="s">
        <v>158</v>
      </c>
      <c r="B45" s="3" t="s">
        <v>149</v>
      </c>
      <c r="C45" s="3" t="s">
        <v>109</v>
      </c>
      <c r="D45" s="3" t="s">
        <v>159</v>
      </c>
      <c r="E45" s="3"/>
      <c r="F45" s="3" t="s">
        <v>15</v>
      </c>
      <c r="G45" s="3"/>
      <c r="H45" s="3"/>
      <c r="I45" s="3" t="s">
        <v>16</v>
      </c>
      <c r="J45" s="3" t="s">
        <v>17</v>
      </c>
      <c r="K45" s="3" t="s">
        <v>160</v>
      </c>
    </row>
    <row r="46" spans="1:11" ht="27.6" customHeight="1">
      <c r="A46" s="3" t="s">
        <v>161</v>
      </c>
      <c r="B46" s="3" t="s">
        <v>162</v>
      </c>
      <c r="C46" s="3" t="s">
        <v>109</v>
      </c>
      <c r="D46" s="3" t="s">
        <v>163</v>
      </c>
      <c r="E46" s="3"/>
      <c r="F46" s="3" t="s">
        <v>15</v>
      </c>
      <c r="G46" s="3"/>
      <c r="H46" s="3"/>
      <c r="I46" s="3" t="s">
        <v>16</v>
      </c>
      <c r="J46" s="3" t="s">
        <v>17</v>
      </c>
      <c r="K46" s="3" t="s">
        <v>164</v>
      </c>
    </row>
    <row r="47" spans="1:11" ht="27.6" customHeight="1">
      <c r="A47" s="3" t="s">
        <v>165</v>
      </c>
      <c r="B47" s="3" t="s">
        <v>162</v>
      </c>
      <c r="C47" s="3" t="s">
        <v>109</v>
      </c>
      <c r="D47" s="3" t="s">
        <v>166</v>
      </c>
      <c r="E47" s="3"/>
      <c r="F47" s="3" t="s">
        <v>15</v>
      </c>
      <c r="G47" s="3"/>
      <c r="H47" s="3"/>
      <c r="I47" s="3" t="s">
        <v>16</v>
      </c>
      <c r="J47" s="3" t="s">
        <v>17</v>
      </c>
      <c r="K47" s="3" t="s">
        <v>167</v>
      </c>
    </row>
    <row r="48" spans="1:11" ht="27.6" customHeight="1">
      <c r="A48" s="3" t="s">
        <v>168</v>
      </c>
      <c r="B48" s="3" t="s">
        <v>162</v>
      </c>
      <c r="C48" s="3" t="s">
        <v>109</v>
      </c>
      <c r="D48" s="3" t="s">
        <v>169</v>
      </c>
      <c r="E48" s="3"/>
      <c r="F48" s="3" t="s">
        <v>15</v>
      </c>
      <c r="G48" s="3"/>
      <c r="H48" s="3"/>
      <c r="I48" s="3" t="s">
        <v>16</v>
      </c>
      <c r="J48" s="3" t="s">
        <v>17</v>
      </c>
      <c r="K48" s="3" t="s">
        <v>170</v>
      </c>
    </row>
    <row r="49" spans="1:11" ht="27.6" customHeight="1">
      <c r="A49" s="3" t="s">
        <v>171</v>
      </c>
      <c r="B49" s="3" t="s">
        <v>162</v>
      </c>
      <c r="C49" s="3" t="s">
        <v>109</v>
      </c>
      <c r="D49" s="3" t="s">
        <v>172</v>
      </c>
      <c r="E49" s="3"/>
      <c r="F49" s="3" t="s">
        <v>15</v>
      </c>
      <c r="G49" s="3"/>
      <c r="H49" s="3"/>
      <c r="I49" s="3" t="s">
        <v>16</v>
      </c>
      <c r="J49" s="3" t="s">
        <v>17</v>
      </c>
      <c r="K49" s="3" t="s">
        <v>173</v>
      </c>
    </row>
    <row r="50" spans="1:11" ht="27.6" customHeight="1">
      <c r="A50" s="3" t="s">
        <v>174</v>
      </c>
      <c r="B50" s="3" t="s">
        <v>175</v>
      </c>
      <c r="C50" s="3" t="s">
        <v>109</v>
      </c>
      <c r="D50" s="3" t="s">
        <v>176</v>
      </c>
      <c r="E50" s="3"/>
      <c r="F50" s="3" t="s">
        <v>15</v>
      </c>
      <c r="G50" s="3"/>
      <c r="H50" s="3" t="s">
        <v>177</v>
      </c>
      <c r="I50" s="3" t="s">
        <v>16</v>
      </c>
      <c r="J50" s="3" t="s">
        <v>17</v>
      </c>
      <c r="K50" s="3" t="s">
        <v>178</v>
      </c>
    </row>
    <row r="51" spans="1:11" ht="27.6" customHeight="1">
      <c r="A51" s="3" t="s">
        <v>179</v>
      </c>
      <c r="B51" s="3" t="s">
        <v>175</v>
      </c>
      <c r="C51" s="3" t="s">
        <v>109</v>
      </c>
      <c r="D51" s="3" t="s">
        <v>180</v>
      </c>
      <c r="E51" s="3"/>
      <c r="F51" s="3" t="s">
        <v>15</v>
      </c>
      <c r="G51" s="3"/>
      <c r="H51" s="3"/>
      <c r="I51" s="3" t="s">
        <v>16</v>
      </c>
      <c r="J51" s="3" t="s">
        <v>17</v>
      </c>
      <c r="K51" s="3" t="s">
        <v>181</v>
      </c>
    </row>
    <row r="52" spans="1:11" ht="27.6" customHeight="1">
      <c r="A52" s="3" t="s">
        <v>182</v>
      </c>
      <c r="B52" s="3" t="s">
        <v>175</v>
      </c>
      <c r="C52" s="3" t="s">
        <v>109</v>
      </c>
      <c r="D52" s="3" t="s">
        <v>183</v>
      </c>
      <c r="E52" s="3"/>
      <c r="F52" s="3" t="s">
        <v>15</v>
      </c>
      <c r="G52" s="3"/>
      <c r="H52" s="3"/>
      <c r="I52" s="3" t="s">
        <v>16</v>
      </c>
      <c r="J52" s="3" t="s">
        <v>17</v>
      </c>
      <c r="K52" s="3" t="s">
        <v>184</v>
      </c>
    </row>
    <row r="53" spans="1:11" ht="27.6" customHeight="1">
      <c r="A53" s="3" t="s">
        <v>185</v>
      </c>
      <c r="B53" s="3" t="s">
        <v>175</v>
      </c>
      <c r="C53" s="3" t="s">
        <v>109</v>
      </c>
      <c r="D53" s="3" t="s">
        <v>186</v>
      </c>
      <c r="E53" s="3"/>
      <c r="F53" s="3" t="s">
        <v>15</v>
      </c>
      <c r="G53" s="3"/>
      <c r="H53" s="3" t="s">
        <v>187</v>
      </c>
      <c r="I53" s="3" t="s">
        <v>16</v>
      </c>
      <c r="J53" s="3" t="s">
        <v>17</v>
      </c>
      <c r="K53" s="3" t="s">
        <v>188</v>
      </c>
    </row>
    <row r="54" spans="1:11" ht="27.6" customHeight="1">
      <c r="A54" s="3" t="s">
        <v>189</v>
      </c>
      <c r="B54" s="3" t="s">
        <v>190</v>
      </c>
      <c r="C54" s="3" t="s">
        <v>191</v>
      </c>
      <c r="D54" s="3" t="s">
        <v>192</v>
      </c>
      <c r="E54" s="3"/>
      <c r="F54" s="3" t="s">
        <v>15</v>
      </c>
      <c r="G54" s="3"/>
      <c r="H54" s="3"/>
      <c r="I54" s="3" t="s">
        <v>16</v>
      </c>
      <c r="J54" s="3" t="s">
        <v>17</v>
      </c>
      <c r="K54" s="3" t="s">
        <v>193</v>
      </c>
    </row>
    <row r="55" spans="1:11" ht="27.6" customHeight="1">
      <c r="A55" s="3" t="s">
        <v>194</v>
      </c>
      <c r="B55" s="3" t="s">
        <v>190</v>
      </c>
      <c r="C55" s="3" t="s">
        <v>191</v>
      </c>
      <c r="D55" s="3" t="s">
        <v>195</v>
      </c>
      <c r="E55" s="3"/>
      <c r="F55" s="3" t="s">
        <v>15</v>
      </c>
      <c r="G55" s="3"/>
      <c r="H55" s="3"/>
      <c r="I55" s="3" t="s">
        <v>16</v>
      </c>
      <c r="J55" s="3" t="s">
        <v>17</v>
      </c>
      <c r="K55" s="3" t="s">
        <v>196</v>
      </c>
    </row>
    <row r="56" spans="1:11" ht="27.6" customHeight="1">
      <c r="A56" s="3" t="s">
        <v>197</v>
      </c>
      <c r="B56" s="3" t="s">
        <v>190</v>
      </c>
      <c r="C56" s="3" t="s">
        <v>191</v>
      </c>
      <c r="D56" s="3" t="s">
        <v>198</v>
      </c>
      <c r="E56" s="3"/>
      <c r="F56" s="3" t="s">
        <v>15</v>
      </c>
      <c r="G56" s="3"/>
      <c r="H56" s="3"/>
      <c r="I56" s="3" t="s">
        <v>16</v>
      </c>
      <c r="J56" s="3" t="s">
        <v>17</v>
      </c>
      <c r="K56" s="3" t="s">
        <v>199</v>
      </c>
    </row>
    <row r="57" spans="1:11" ht="27.6" customHeight="1">
      <c r="A57" s="3" t="s">
        <v>200</v>
      </c>
      <c r="B57" s="3" t="s">
        <v>190</v>
      </c>
      <c r="C57" s="3" t="s">
        <v>191</v>
      </c>
      <c r="D57" s="3" t="s">
        <v>201</v>
      </c>
      <c r="E57" s="3"/>
      <c r="F57" s="3" t="s">
        <v>15</v>
      </c>
      <c r="G57" s="3"/>
      <c r="H57" s="3"/>
      <c r="I57" s="3" t="s">
        <v>16</v>
      </c>
      <c r="J57" s="3" t="s">
        <v>17</v>
      </c>
      <c r="K57" s="3" t="s">
        <v>202</v>
      </c>
    </row>
    <row r="58" spans="1:11" ht="27.6" customHeight="1">
      <c r="A58" s="3" t="s">
        <v>203</v>
      </c>
      <c r="B58" s="3" t="s">
        <v>204</v>
      </c>
      <c r="C58" s="3" t="s">
        <v>191</v>
      </c>
      <c r="D58" s="3" t="s">
        <v>205</v>
      </c>
      <c r="E58" s="3"/>
      <c r="F58" s="3" t="s">
        <v>15</v>
      </c>
      <c r="G58" s="3"/>
      <c r="H58" s="3"/>
      <c r="I58" s="3" t="s">
        <v>16</v>
      </c>
      <c r="J58" s="3" t="s">
        <v>17</v>
      </c>
      <c r="K58" s="3" t="s">
        <v>206</v>
      </c>
    </row>
    <row r="59" spans="1:11" ht="27.6" customHeight="1">
      <c r="A59" s="3" t="s">
        <v>207</v>
      </c>
      <c r="B59" s="3" t="s">
        <v>204</v>
      </c>
      <c r="C59" s="3" t="s">
        <v>191</v>
      </c>
      <c r="D59" s="3" t="s">
        <v>208</v>
      </c>
      <c r="E59" s="3"/>
      <c r="F59" s="3" t="s">
        <v>15</v>
      </c>
      <c r="G59" s="3"/>
      <c r="H59" s="3"/>
      <c r="I59" s="3" t="s">
        <v>16</v>
      </c>
      <c r="J59" s="3" t="s">
        <v>17</v>
      </c>
      <c r="K59" s="3" t="s">
        <v>209</v>
      </c>
    </row>
    <row r="60" spans="1:11" ht="27.6" customHeight="1">
      <c r="A60" s="3" t="s">
        <v>210</v>
      </c>
      <c r="B60" s="3" t="s">
        <v>204</v>
      </c>
      <c r="C60" s="3" t="s">
        <v>191</v>
      </c>
      <c r="D60" s="3" t="s">
        <v>211</v>
      </c>
      <c r="E60" s="3"/>
      <c r="F60" s="3" t="s">
        <v>15</v>
      </c>
      <c r="G60" s="3"/>
      <c r="H60" s="3"/>
      <c r="I60" s="3" t="s">
        <v>16</v>
      </c>
      <c r="J60" s="3" t="s">
        <v>17</v>
      </c>
      <c r="K60" s="3" t="s">
        <v>212</v>
      </c>
    </row>
    <row r="61" spans="1:11" ht="27.6" customHeight="1">
      <c r="A61" s="3" t="s">
        <v>213</v>
      </c>
      <c r="B61" s="3" t="s">
        <v>204</v>
      </c>
      <c r="C61" s="3" t="s">
        <v>191</v>
      </c>
      <c r="D61" s="3" t="s">
        <v>214</v>
      </c>
      <c r="E61" s="3"/>
      <c r="F61" s="3" t="s">
        <v>15</v>
      </c>
      <c r="G61" s="3"/>
      <c r="H61" s="3"/>
      <c r="I61" s="3" t="s">
        <v>16</v>
      </c>
      <c r="J61" s="3" t="s">
        <v>17</v>
      </c>
      <c r="K61" s="3" t="s">
        <v>215</v>
      </c>
    </row>
    <row r="62" spans="1:11" ht="27.6" customHeight="1">
      <c r="A62" s="3" t="s">
        <v>216</v>
      </c>
      <c r="B62" s="3" t="s">
        <v>217</v>
      </c>
      <c r="C62" s="3" t="s">
        <v>191</v>
      </c>
      <c r="D62" s="3" t="s">
        <v>218</v>
      </c>
      <c r="E62" s="3"/>
      <c r="F62" s="3" t="s">
        <v>15</v>
      </c>
      <c r="G62" s="3"/>
      <c r="H62" s="3"/>
      <c r="I62" s="3" t="s">
        <v>16</v>
      </c>
      <c r="J62" s="3" t="s">
        <v>17</v>
      </c>
      <c r="K62" s="3" t="s">
        <v>219</v>
      </c>
    </row>
    <row r="63" spans="1:11" ht="27.6" customHeight="1">
      <c r="A63" s="3" t="s">
        <v>220</v>
      </c>
      <c r="B63" s="3" t="s">
        <v>217</v>
      </c>
      <c r="C63" s="3" t="s">
        <v>191</v>
      </c>
      <c r="D63" s="3" t="s">
        <v>221</v>
      </c>
      <c r="E63" s="3"/>
      <c r="F63" s="3" t="s">
        <v>15</v>
      </c>
      <c r="G63" s="3"/>
      <c r="H63" s="3"/>
      <c r="I63" s="3" t="s">
        <v>16</v>
      </c>
      <c r="J63" s="3" t="s">
        <v>17</v>
      </c>
      <c r="K63" s="3" t="s">
        <v>222</v>
      </c>
    </row>
    <row r="64" spans="1:11" ht="27.6" customHeight="1">
      <c r="A64" s="3" t="s">
        <v>223</v>
      </c>
      <c r="B64" s="3" t="s">
        <v>217</v>
      </c>
      <c r="C64" s="3" t="s">
        <v>191</v>
      </c>
      <c r="D64" s="3" t="s">
        <v>224</v>
      </c>
      <c r="E64" s="3"/>
      <c r="F64" s="3" t="s">
        <v>15</v>
      </c>
      <c r="G64" s="3"/>
      <c r="H64" s="3"/>
      <c r="I64" s="3" t="s">
        <v>16</v>
      </c>
      <c r="J64" s="3" t="s">
        <v>17</v>
      </c>
      <c r="K64" s="3" t="s">
        <v>225</v>
      </c>
    </row>
    <row r="65" spans="1:11" ht="27.6" customHeight="1">
      <c r="A65" s="3" t="s">
        <v>226</v>
      </c>
      <c r="B65" s="3" t="s">
        <v>217</v>
      </c>
      <c r="C65" s="3" t="s">
        <v>191</v>
      </c>
      <c r="D65" s="3" t="s">
        <v>227</v>
      </c>
      <c r="E65" s="3"/>
      <c r="F65" s="3" t="s">
        <v>15</v>
      </c>
      <c r="G65" s="3"/>
      <c r="H65" s="3"/>
      <c r="I65" s="3" t="s">
        <v>16</v>
      </c>
      <c r="J65" s="3" t="s">
        <v>17</v>
      </c>
      <c r="K65" s="3" t="s">
        <v>228</v>
      </c>
    </row>
    <row r="66" spans="1:11" ht="27.6" customHeight="1">
      <c r="A66" s="3" t="s">
        <v>229</v>
      </c>
      <c r="B66" s="3" t="s">
        <v>230</v>
      </c>
      <c r="C66" s="3" t="s">
        <v>191</v>
      </c>
      <c r="D66" s="3" t="s">
        <v>231</v>
      </c>
      <c r="E66" s="3"/>
      <c r="F66" s="3" t="s">
        <v>15</v>
      </c>
      <c r="G66" s="3"/>
      <c r="H66" s="3"/>
      <c r="I66" s="3" t="s">
        <v>16</v>
      </c>
      <c r="J66" s="3" t="s">
        <v>17</v>
      </c>
      <c r="K66" s="3" t="s">
        <v>232</v>
      </c>
    </row>
    <row r="67" spans="1:11" ht="27.6" customHeight="1">
      <c r="A67" s="3" t="s">
        <v>233</v>
      </c>
      <c r="B67" s="3" t="s">
        <v>230</v>
      </c>
      <c r="C67" s="3" t="s">
        <v>191</v>
      </c>
      <c r="D67" s="3" t="s">
        <v>234</v>
      </c>
      <c r="E67" s="3"/>
      <c r="F67" s="3" t="s">
        <v>15</v>
      </c>
      <c r="G67" s="3"/>
      <c r="H67" s="3"/>
      <c r="I67" s="3" t="s">
        <v>16</v>
      </c>
      <c r="J67" s="3" t="s">
        <v>17</v>
      </c>
      <c r="K67" s="3" t="s">
        <v>235</v>
      </c>
    </row>
    <row r="68" spans="1:11" ht="27.6" customHeight="1">
      <c r="A68" s="3" t="s">
        <v>236</v>
      </c>
      <c r="B68" s="3" t="s">
        <v>230</v>
      </c>
      <c r="C68" s="3" t="s">
        <v>191</v>
      </c>
      <c r="D68" s="3" t="s">
        <v>237</v>
      </c>
      <c r="E68" s="3"/>
      <c r="F68" s="3" t="s">
        <v>15</v>
      </c>
      <c r="G68" s="3"/>
      <c r="H68" s="3"/>
      <c r="I68" s="3" t="s">
        <v>16</v>
      </c>
      <c r="J68" s="3" t="s">
        <v>17</v>
      </c>
      <c r="K68" s="3" t="s">
        <v>238</v>
      </c>
    </row>
    <row r="69" spans="1:11" ht="27.6" customHeight="1">
      <c r="A69" s="3" t="s">
        <v>239</v>
      </c>
      <c r="B69" s="3" t="s">
        <v>230</v>
      </c>
      <c r="C69" s="3" t="s">
        <v>191</v>
      </c>
      <c r="D69" s="3" t="s">
        <v>240</v>
      </c>
      <c r="E69" s="3"/>
      <c r="F69" s="3" t="s">
        <v>15</v>
      </c>
      <c r="G69" s="3"/>
      <c r="H69" s="3"/>
      <c r="I69" s="3" t="s">
        <v>16</v>
      </c>
      <c r="J69" s="3" t="s">
        <v>17</v>
      </c>
      <c r="K69" s="3" t="s">
        <v>241</v>
      </c>
    </row>
    <row r="70" spans="1:11" ht="27.6" customHeight="1">
      <c r="A70" s="3" t="s">
        <v>242</v>
      </c>
      <c r="B70" s="3" t="s">
        <v>243</v>
      </c>
      <c r="C70" s="3" t="s">
        <v>191</v>
      </c>
      <c r="D70" s="3" t="s">
        <v>244</v>
      </c>
      <c r="E70" s="3"/>
      <c r="F70" s="3" t="s">
        <v>15</v>
      </c>
      <c r="G70" s="3"/>
      <c r="H70" s="3"/>
      <c r="I70" s="3" t="s">
        <v>16</v>
      </c>
      <c r="J70" s="3" t="s">
        <v>17</v>
      </c>
      <c r="K70" s="3" t="s">
        <v>245</v>
      </c>
    </row>
    <row r="71" spans="1:11" ht="27.6" customHeight="1">
      <c r="A71" s="3" t="s">
        <v>246</v>
      </c>
      <c r="B71" s="3" t="s">
        <v>243</v>
      </c>
      <c r="C71" s="3" t="s">
        <v>191</v>
      </c>
      <c r="D71" s="3" t="s">
        <v>247</v>
      </c>
      <c r="E71" s="3"/>
      <c r="F71" s="3" t="s">
        <v>15</v>
      </c>
      <c r="G71" s="3"/>
      <c r="H71" s="3"/>
      <c r="I71" s="3" t="s">
        <v>16</v>
      </c>
      <c r="J71" s="3" t="s">
        <v>17</v>
      </c>
      <c r="K71" s="3" t="s">
        <v>248</v>
      </c>
    </row>
    <row r="72" spans="1:11" ht="27.6" customHeight="1">
      <c r="A72" s="3" t="s">
        <v>249</v>
      </c>
      <c r="B72" s="3" t="s">
        <v>243</v>
      </c>
      <c r="C72" s="3" t="s">
        <v>191</v>
      </c>
      <c r="D72" s="3" t="s">
        <v>250</v>
      </c>
      <c r="E72" s="3"/>
      <c r="F72" s="3" t="s">
        <v>15</v>
      </c>
      <c r="G72" s="3"/>
      <c r="H72" s="3"/>
      <c r="I72" s="3" t="s">
        <v>16</v>
      </c>
      <c r="J72" s="3" t="s">
        <v>17</v>
      </c>
      <c r="K72" s="3" t="s">
        <v>251</v>
      </c>
    </row>
    <row r="73" spans="1:11" ht="27.6" customHeight="1">
      <c r="A73" s="3" t="s">
        <v>252</v>
      </c>
      <c r="B73" s="3" t="s">
        <v>243</v>
      </c>
      <c r="C73" s="3" t="s">
        <v>191</v>
      </c>
      <c r="D73" s="3" t="s">
        <v>253</v>
      </c>
      <c r="E73" s="3"/>
      <c r="F73" s="3" t="s">
        <v>15</v>
      </c>
      <c r="G73" s="3"/>
      <c r="H73" s="3"/>
      <c r="I73" s="3" t="s">
        <v>16</v>
      </c>
      <c r="J73" s="3" t="s">
        <v>17</v>
      </c>
      <c r="K73" s="3" t="s">
        <v>254</v>
      </c>
    </row>
    <row r="74" spans="1:11" ht="27.6" customHeight="1">
      <c r="A74" s="3" t="s">
        <v>255</v>
      </c>
      <c r="B74" s="3" t="s">
        <v>256</v>
      </c>
      <c r="C74" s="3" t="s">
        <v>191</v>
      </c>
      <c r="D74" s="3" t="s">
        <v>257</v>
      </c>
      <c r="E74" s="3"/>
      <c r="F74" s="3" t="s">
        <v>15</v>
      </c>
      <c r="G74" s="3"/>
      <c r="H74" s="3"/>
      <c r="I74" s="3" t="s">
        <v>16</v>
      </c>
      <c r="J74" s="3" t="s">
        <v>17</v>
      </c>
      <c r="K74" s="3" t="s">
        <v>258</v>
      </c>
    </row>
    <row r="75" spans="1:11" ht="27.6" customHeight="1">
      <c r="A75" s="3" t="s">
        <v>259</v>
      </c>
      <c r="B75" s="3" t="s">
        <v>256</v>
      </c>
      <c r="C75" s="3" t="s">
        <v>191</v>
      </c>
      <c r="D75" s="3" t="s">
        <v>260</v>
      </c>
      <c r="E75" s="3"/>
      <c r="F75" s="3" t="s">
        <v>15</v>
      </c>
      <c r="G75" s="3"/>
      <c r="H75" s="3"/>
      <c r="I75" s="3" t="s">
        <v>16</v>
      </c>
      <c r="J75" s="3" t="s">
        <v>17</v>
      </c>
      <c r="K75" s="3" t="s">
        <v>261</v>
      </c>
    </row>
    <row r="76" spans="1:11" ht="27.6" customHeight="1">
      <c r="A76" s="3" t="s">
        <v>262</v>
      </c>
      <c r="B76" s="3" t="s">
        <v>256</v>
      </c>
      <c r="C76" s="3" t="s">
        <v>191</v>
      </c>
      <c r="D76" s="3" t="s">
        <v>263</v>
      </c>
      <c r="E76" s="3"/>
      <c r="F76" s="3" t="s">
        <v>15</v>
      </c>
      <c r="G76" s="3"/>
      <c r="H76" s="3"/>
      <c r="I76" s="3" t="s">
        <v>16</v>
      </c>
      <c r="J76" s="3" t="s">
        <v>17</v>
      </c>
      <c r="K76" s="3" t="s">
        <v>264</v>
      </c>
    </row>
    <row r="77" spans="1:11" ht="27.6" customHeight="1">
      <c r="A77" s="3" t="s">
        <v>265</v>
      </c>
      <c r="B77" s="3" t="s">
        <v>256</v>
      </c>
      <c r="C77" s="3" t="s">
        <v>191</v>
      </c>
      <c r="D77" s="3" t="s">
        <v>266</v>
      </c>
      <c r="E77" s="3"/>
      <c r="F77" s="3" t="s">
        <v>15</v>
      </c>
      <c r="G77" s="3"/>
      <c r="H77" s="3"/>
      <c r="I77" s="3" t="s">
        <v>16</v>
      </c>
      <c r="J77" s="3" t="s">
        <v>17</v>
      </c>
      <c r="K77" s="3" t="s">
        <v>267</v>
      </c>
    </row>
    <row r="78" spans="1:11" ht="27.6" customHeight="1">
      <c r="A78" s="3" t="s">
        <v>268</v>
      </c>
      <c r="B78" s="3" t="s">
        <v>269</v>
      </c>
      <c r="C78" s="3" t="s">
        <v>191</v>
      </c>
      <c r="D78" s="3" t="s">
        <v>270</v>
      </c>
      <c r="E78" s="3"/>
      <c r="F78" s="3" t="s">
        <v>15</v>
      </c>
      <c r="G78" s="3"/>
      <c r="H78" s="3" t="s">
        <v>271</v>
      </c>
      <c r="I78" s="3" t="s">
        <v>16</v>
      </c>
      <c r="J78" s="3" t="s">
        <v>17</v>
      </c>
      <c r="K78" s="3" t="s">
        <v>272</v>
      </c>
    </row>
    <row r="79" spans="1:11" ht="27.6" customHeight="1">
      <c r="A79" s="3" t="s">
        <v>273</v>
      </c>
      <c r="B79" s="3" t="s">
        <v>269</v>
      </c>
      <c r="C79" s="3" t="s">
        <v>191</v>
      </c>
      <c r="D79" s="3" t="s">
        <v>274</v>
      </c>
      <c r="E79" s="3"/>
      <c r="F79" s="3" t="s">
        <v>15</v>
      </c>
      <c r="G79" s="3"/>
      <c r="H79" s="3"/>
      <c r="I79" s="3" t="s">
        <v>16</v>
      </c>
      <c r="J79" s="3" t="s">
        <v>17</v>
      </c>
      <c r="K79" s="3" t="s">
        <v>275</v>
      </c>
    </row>
    <row r="80" spans="1:11" ht="27.6" customHeight="1">
      <c r="A80" s="3" t="s">
        <v>276</v>
      </c>
      <c r="B80" s="3" t="s">
        <v>269</v>
      </c>
      <c r="C80" s="3" t="s">
        <v>191</v>
      </c>
      <c r="D80" s="3" t="s">
        <v>277</v>
      </c>
      <c r="E80" s="3"/>
      <c r="F80" s="3" t="s">
        <v>15</v>
      </c>
      <c r="G80" s="3"/>
      <c r="H80" s="3" t="s">
        <v>278</v>
      </c>
      <c r="I80" s="3" t="s">
        <v>16</v>
      </c>
      <c r="J80" s="3" t="s">
        <v>17</v>
      </c>
      <c r="K80" s="3" t="s">
        <v>279</v>
      </c>
    </row>
    <row r="81" spans="1:11" ht="27.6" customHeight="1">
      <c r="A81" s="3" t="s">
        <v>280</v>
      </c>
      <c r="B81" s="3" t="s">
        <v>269</v>
      </c>
      <c r="C81" s="3" t="s">
        <v>191</v>
      </c>
      <c r="D81" s="3" t="s">
        <v>281</v>
      </c>
      <c r="E81" s="3"/>
      <c r="F81" s="3" t="s">
        <v>15</v>
      </c>
      <c r="G81" s="3"/>
      <c r="H81" s="3"/>
      <c r="I81" s="3" t="s">
        <v>16</v>
      </c>
      <c r="J81" s="3" t="s">
        <v>17</v>
      </c>
      <c r="K81" s="3" t="s">
        <v>282</v>
      </c>
    </row>
    <row r="82" spans="1:11" ht="27.6" customHeight="1">
      <c r="A82" s="3" t="s">
        <v>283</v>
      </c>
      <c r="B82" s="3" t="s">
        <v>284</v>
      </c>
      <c r="C82" s="3" t="s">
        <v>191</v>
      </c>
      <c r="D82" s="3" t="s">
        <v>285</v>
      </c>
      <c r="E82" s="3"/>
      <c r="F82" s="3" t="s">
        <v>15</v>
      </c>
      <c r="G82" s="3"/>
      <c r="H82" s="3"/>
      <c r="I82" s="3" t="s">
        <v>16</v>
      </c>
      <c r="J82" s="3" t="s">
        <v>17</v>
      </c>
      <c r="K82" s="3" t="s">
        <v>286</v>
      </c>
    </row>
    <row r="83" spans="1:11" ht="27.6" customHeight="1">
      <c r="A83" s="3" t="s">
        <v>287</v>
      </c>
      <c r="B83" s="3" t="s">
        <v>284</v>
      </c>
      <c r="C83" s="3" t="s">
        <v>191</v>
      </c>
      <c r="D83" s="3" t="s">
        <v>288</v>
      </c>
      <c r="E83" s="3"/>
      <c r="F83" s="3" t="s">
        <v>15</v>
      </c>
      <c r="G83" s="3"/>
      <c r="H83" s="3"/>
      <c r="I83" s="3" t="s">
        <v>16</v>
      </c>
      <c r="J83" s="3" t="s">
        <v>17</v>
      </c>
      <c r="K83" s="3" t="s">
        <v>289</v>
      </c>
    </row>
    <row r="84" spans="1:11" ht="27.6" customHeight="1">
      <c r="A84" s="3" t="s">
        <v>290</v>
      </c>
      <c r="B84" s="3" t="s">
        <v>284</v>
      </c>
      <c r="C84" s="3" t="s">
        <v>191</v>
      </c>
      <c r="D84" s="3" t="s">
        <v>291</v>
      </c>
      <c r="E84" s="3"/>
      <c r="F84" s="3" t="s">
        <v>15</v>
      </c>
      <c r="G84" s="3"/>
      <c r="H84" s="3" t="s">
        <v>292</v>
      </c>
      <c r="I84" s="3" t="s">
        <v>16</v>
      </c>
      <c r="J84" s="3" t="s">
        <v>17</v>
      </c>
      <c r="K84" s="3" t="s">
        <v>293</v>
      </c>
    </row>
    <row r="85" spans="1:11" ht="27.6" customHeight="1">
      <c r="A85" s="3" t="s">
        <v>294</v>
      </c>
      <c r="B85" s="3" t="s">
        <v>284</v>
      </c>
      <c r="C85" s="3" t="s">
        <v>191</v>
      </c>
      <c r="D85" s="3" t="s">
        <v>295</v>
      </c>
      <c r="E85" s="3"/>
      <c r="F85" s="3" t="s">
        <v>15</v>
      </c>
      <c r="G85" s="3"/>
      <c r="H85" s="3"/>
      <c r="I85" s="3" t="s">
        <v>16</v>
      </c>
      <c r="J85" s="3" t="s">
        <v>17</v>
      </c>
      <c r="K85" s="3" t="s">
        <v>296</v>
      </c>
    </row>
    <row r="86" spans="1:11" ht="27.6" customHeight="1">
      <c r="A86" s="3" t="s">
        <v>297</v>
      </c>
      <c r="B86" s="3" t="s">
        <v>298</v>
      </c>
      <c r="C86" s="3" t="s">
        <v>299</v>
      </c>
      <c r="D86" s="3" t="s">
        <v>300</v>
      </c>
      <c r="E86" s="3"/>
      <c r="F86" s="3" t="s">
        <v>15</v>
      </c>
      <c r="G86" s="3"/>
      <c r="H86" s="3"/>
      <c r="I86" s="3" t="s">
        <v>16</v>
      </c>
      <c r="J86" s="3" t="s">
        <v>17</v>
      </c>
      <c r="K86" s="3" t="s">
        <v>301</v>
      </c>
    </row>
    <row r="87" spans="1:11" ht="27.6" customHeight="1">
      <c r="A87" s="3" t="s">
        <v>302</v>
      </c>
      <c r="B87" s="3" t="s">
        <v>298</v>
      </c>
      <c r="C87" s="3" t="s">
        <v>299</v>
      </c>
      <c r="D87" s="3" t="s">
        <v>303</v>
      </c>
      <c r="E87" s="3"/>
      <c r="F87" s="3" t="s">
        <v>15</v>
      </c>
      <c r="G87" s="3"/>
      <c r="H87" s="3"/>
      <c r="I87" s="3" t="s">
        <v>16</v>
      </c>
      <c r="J87" s="3" t="s">
        <v>17</v>
      </c>
      <c r="K87" s="3" t="s">
        <v>304</v>
      </c>
    </row>
    <row r="88" spans="1:11" ht="27.6" customHeight="1">
      <c r="A88" s="3" t="s">
        <v>305</v>
      </c>
      <c r="B88" s="3" t="s">
        <v>298</v>
      </c>
      <c r="C88" s="3" t="s">
        <v>299</v>
      </c>
      <c r="D88" s="3" t="s">
        <v>306</v>
      </c>
      <c r="E88" s="3"/>
      <c r="F88" s="3" t="s">
        <v>15</v>
      </c>
      <c r="G88" s="3"/>
      <c r="H88" s="3"/>
      <c r="I88" s="3" t="s">
        <v>16</v>
      </c>
      <c r="J88" s="3" t="s">
        <v>17</v>
      </c>
      <c r="K88" s="3" t="s">
        <v>307</v>
      </c>
    </row>
    <row r="89" spans="1:11" ht="27.6" customHeight="1">
      <c r="A89" s="3" t="s">
        <v>308</v>
      </c>
      <c r="B89" s="3" t="s">
        <v>298</v>
      </c>
      <c r="C89" s="3" t="s">
        <v>299</v>
      </c>
      <c r="D89" s="3" t="s">
        <v>309</v>
      </c>
      <c r="E89" s="3"/>
      <c r="F89" s="3" t="s">
        <v>15</v>
      </c>
      <c r="G89" s="3"/>
      <c r="H89" s="3"/>
      <c r="I89" s="3" t="s">
        <v>16</v>
      </c>
      <c r="J89" s="3" t="s">
        <v>17</v>
      </c>
      <c r="K89" s="3" t="s">
        <v>310</v>
      </c>
    </row>
    <row r="90" spans="1:11" ht="27.6" customHeight="1">
      <c r="A90" s="3" t="s">
        <v>311</v>
      </c>
      <c r="B90" s="3" t="s">
        <v>312</v>
      </c>
      <c r="C90" s="3" t="s">
        <v>299</v>
      </c>
      <c r="D90" s="3" t="s">
        <v>313</v>
      </c>
      <c r="E90" s="3"/>
      <c r="F90" s="3" t="s">
        <v>15</v>
      </c>
      <c r="G90" s="3"/>
      <c r="H90" s="3"/>
      <c r="I90" s="3" t="s">
        <v>16</v>
      </c>
      <c r="J90" s="3" t="s">
        <v>17</v>
      </c>
      <c r="K90" s="3" t="s">
        <v>314</v>
      </c>
    </row>
    <row r="91" spans="1:11" ht="27.6" customHeight="1">
      <c r="A91" s="3" t="s">
        <v>315</v>
      </c>
      <c r="B91" s="3" t="s">
        <v>312</v>
      </c>
      <c r="C91" s="3" t="s">
        <v>299</v>
      </c>
      <c r="D91" s="3" t="s">
        <v>316</v>
      </c>
      <c r="E91" s="3"/>
      <c r="F91" s="3" t="s">
        <v>15</v>
      </c>
      <c r="G91" s="3"/>
      <c r="H91" s="3"/>
      <c r="I91" s="3" t="s">
        <v>16</v>
      </c>
      <c r="J91" s="3" t="s">
        <v>17</v>
      </c>
      <c r="K91" s="3" t="s">
        <v>317</v>
      </c>
    </row>
    <row r="92" spans="1:11" ht="27.6" customHeight="1">
      <c r="A92" s="3" t="s">
        <v>318</v>
      </c>
      <c r="B92" s="3" t="s">
        <v>312</v>
      </c>
      <c r="C92" s="3" t="s">
        <v>299</v>
      </c>
      <c r="D92" s="3" t="s">
        <v>319</v>
      </c>
      <c r="E92" s="3"/>
      <c r="F92" s="3" t="s">
        <v>15</v>
      </c>
      <c r="G92" s="3"/>
      <c r="H92" s="3"/>
      <c r="I92" s="3" t="s">
        <v>16</v>
      </c>
      <c r="J92" s="3" t="s">
        <v>17</v>
      </c>
      <c r="K92" s="3" t="s">
        <v>320</v>
      </c>
    </row>
    <row r="93" spans="1:11" ht="27.6" customHeight="1">
      <c r="A93" s="3" t="s">
        <v>321</v>
      </c>
      <c r="B93" s="3" t="s">
        <v>312</v>
      </c>
      <c r="C93" s="3" t="s">
        <v>299</v>
      </c>
      <c r="D93" s="3" t="s">
        <v>322</v>
      </c>
      <c r="E93" s="3"/>
      <c r="F93" s="3" t="s">
        <v>15</v>
      </c>
      <c r="G93" s="3"/>
      <c r="H93" s="3"/>
      <c r="I93" s="3" t="s">
        <v>16</v>
      </c>
      <c r="J93" s="3" t="s">
        <v>17</v>
      </c>
      <c r="K93" s="3" t="s">
        <v>323</v>
      </c>
    </row>
    <row r="94" spans="1:11" ht="27.6" customHeight="1">
      <c r="A94" s="3" t="s">
        <v>324</v>
      </c>
      <c r="B94" s="3" t="s">
        <v>325</v>
      </c>
      <c r="C94" s="3" t="s">
        <v>299</v>
      </c>
      <c r="D94" s="3" t="s">
        <v>326</v>
      </c>
      <c r="E94" s="3"/>
      <c r="F94" s="3" t="s">
        <v>15</v>
      </c>
      <c r="G94" s="3"/>
      <c r="H94" s="3"/>
      <c r="I94" s="3" t="s">
        <v>16</v>
      </c>
      <c r="J94" s="3" t="s">
        <v>17</v>
      </c>
      <c r="K94" s="3" t="s">
        <v>327</v>
      </c>
    </row>
    <row r="95" spans="1:11" ht="27.6" customHeight="1">
      <c r="A95" s="3" t="s">
        <v>328</v>
      </c>
      <c r="B95" s="3" t="s">
        <v>325</v>
      </c>
      <c r="C95" s="3" t="s">
        <v>299</v>
      </c>
      <c r="D95" s="3" t="s">
        <v>329</v>
      </c>
      <c r="E95" s="3"/>
      <c r="F95" s="3" t="s">
        <v>15</v>
      </c>
      <c r="G95" s="3"/>
      <c r="H95" s="3"/>
      <c r="I95" s="3" t="s">
        <v>16</v>
      </c>
      <c r="J95" s="3" t="s">
        <v>17</v>
      </c>
      <c r="K95" s="3" t="s">
        <v>330</v>
      </c>
    </row>
    <row r="96" spans="1:11" ht="27.6" customHeight="1">
      <c r="A96" s="3" t="s">
        <v>331</v>
      </c>
      <c r="B96" s="3" t="s">
        <v>325</v>
      </c>
      <c r="C96" s="3" t="s">
        <v>299</v>
      </c>
      <c r="D96" s="3" t="s">
        <v>332</v>
      </c>
      <c r="E96" s="3"/>
      <c r="F96" s="3" t="s">
        <v>15</v>
      </c>
      <c r="G96" s="3"/>
      <c r="H96" s="3"/>
      <c r="I96" s="3" t="s">
        <v>16</v>
      </c>
      <c r="J96" s="3" t="s">
        <v>17</v>
      </c>
      <c r="K96" s="3" t="s">
        <v>333</v>
      </c>
    </row>
    <row r="97" spans="1:11" ht="27.6" customHeight="1">
      <c r="A97" s="3" t="s">
        <v>334</v>
      </c>
      <c r="B97" s="3" t="s">
        <v>325</v>
      </c>
      <c r="C97" s="3" t="s">
        <v>299</v>
      </c>
      <c r="D97" s="3" t="s">
        <v>335</v>
      </c>
      <c r="E97" s="3"/>
      <c r="F97" s="3" t="s">
        <v>15</v>
      </c>
      <c r="G97" s="3"/>
      <c r="H97" s="3"/>
      <c r="I97" s="3" t="s">
        <v>16</v>
      </c>
      <c r="J97" s="3" t="s">
        <v>17</v>
      </c>
      <c r="K97" s="3" t="s">
        <v>336</v>
      </c>
    </row>
    <row r="98" spans="1:11" ht="27.6" customHeight="1">
      <c r="A98" s="3" t="s">
        <v>337</v>
      </c>
      <c r="B98" s="3" t="s">
        <v>338</v>
      </c>
      <c r="C98" s="3" t="s">
        <v>299</v>
      </c>
      <c r="D98" s="3" t="s">
        <v>339</v>
      </c>
      <c r="E98" s="3"/>
      <c r="F98" s="3" t="s">
        <v>15</v>
      </c>
      <c r="G98" s="3"/>
      <c r="H98" s="3"/>
      <c r="I98" s="3" t="s">
        <v>16</v>
      </c>
      <c r="J98" s="3" t="s">
        <v>17</v>
      </c>
      <c r="K98" s="3" t="s">
        <v>340</v>
      </c>
    </row>
    <row r="99" spans="1:11" ht="27.6" customHeight="1">
      <c r="A99" s="3" t="s">
        <v>341</v>
      </c>
      <c r="B99" s="3" t="s">
        <v>338</v>
      </c>
      <c r="C99" s="3" t="s">
        <v>299</v>
      </c>
      <c r="D99" s="3" t="s">
        <v>342</v>
      </c>
      <c r="E99" s="3"/>
      <c r="F99" s="3" t="s">
        <v>15</v>
      </c>
      <c r="G99" s="3"/>
      <c r="H99" s="3"/>
      <c r="I99" s="3" t="s">
        <v>16</v>
      </c>
      <c r="J99" s="3" t="s">
        <v>17</v>
      </c>
      <c r="K99" s="3" t="s">
        <v>343</v>
      </c>
    </row>
    <row r="100" spans="1:11" ht="27.6" customHeight="1">
      <c r="A100" s="3" t="s">
        <v>344</v>
      </c>
      <c r="B100" s="3" t="s">
        <v>338</v>
      </c>
      <c r="C100" s="3" t="s">
        <v>299</v>
      </c>
      <c r="D100" s="3" t="s">
        <v>345</v>
      </c>
      <c r="E100" s="3"/>
      <c r="F100" s="3" t="s">
        <v>15</v>
      </c>
      <c r="G100" s="3"/>
      <c r="H100" s="3"/>
      <c r="I100" s="3" t="s">
        <v>16</v>
      </c>
      <c r="J100" s="3" t="s">
        <v>17</v>
      </c>
      <c r="K100" s="3" t="s">
        <v>346</v>
      </c>
    </row>
    <row r="101" spans="1:11" ht="27.6" customHeight="1">
      <c r="A101" s="3" t="s">
        <v>347</v>
      </c>
      <c r="B101" s="3" t="s">
        <v>338</v>
      </c>
      <c r="C101" s="3" t="s">
        <v>299</v>
      </c>
      <c r="D101" s="3" t="s">
        <v>348</v>
      </c>
      <c r="E101" s="3"/>
      <c r="F101" s="3" t="s">
        <v>15</v>
      </c>
      <c r="G101" s="3"/>
      <c r="H101" s="3"/>
      <c r="I101" s="3" t="s">
        <v>16</v>
      </c>
      <c r="J101" s="3" t="s">
        <v>17</v>
      </c>
      <c r="K101" s="3" t="s">
        <v>349</v>
      </c>
    </row>
    <row r="102" spans="1:11" ht="27.6" customHeight="1">
      <c r="A102" s="3" t="s">
        <v>350</v>
      </c>
      <c r="B102" s="3" t="s">
        <v>351</v>
      </c>
      <c r="C102" s="3" t="s">
        <v>299</v>
      </c>
      <c r="D102" s="3" t="s">
        <v>352</v>
      </c>
      <c r="E102" s="3"/>
      <c r="F102" s="3" t="s">
        <v>15</v>
      </c>
      <c r="G102" s="3"/>
      <c r="H102" s="3" t="s">
        <v>353</v>
      </c>
      <c r="I102" s="3" t="s">
        <v>16</v>
      </c>
      <c r="J102" s="3" t="s">
        <v>17</v>
      </c>
      <c r="K102" s="3" t="s">
        <v>354</v>
      </c>
    </row>
    <row r="103" spans="1:11" ht="27.6" customHeight="1">
      <c r="A103" s="3" t="s">
        <v>355</v>
      </c>
      <c r="B103" s="3" t="s">
        <v>351</v>
      </c>
      <c r="C103" s="3" t="s">
        <v>299</v>
      </c>
      <c r="D103" s="3" t="s">
        <v>356</v>
      </c>
      <c r="E103" s="3"/>
      <c r="F103" s="3" t="s">
        <v>15</v>
      </c>
      <c r="G103" s="3"/>
      <c r="H103" s="3"/>
      <c r="I103" s="3" t="s">
        <v>16</v>
      </c>
      <c r="J103" s="3" t="s">
        <v>17</v>
      </c>
      <c r="K103" s="3" t="s">
        <v>357</v>
      </c>
    </row>
    <row r="104" spans="1:11" ht="27.6" customHeight="1">
      <c r="A104" s="3" t="s">
        <v>358</v>
      </c>
      <c r="B104" s="3" t="s">
        <v>351</v>
      </c>
      <c r="C104" s="3" t="s">
        <v>299</v>
      </c>
      <c r="D104" s="3" t="s">
        <v>359</v>
      </c>
      <c r="E104" s="3"/>
      <c r="F104" s="3" t="s">
        <v>15</v>
      </c>
      <c r="G104" s="3"/>
      <c r="H104" s="3"/>
      <c r="I104" s="3" t="s">
        <v>16</v>
      </c>
      <c r="J104" s="3" t="s">
        <v>17</v>
      </c>
      <c r="K104" s="3" t="s">
        <v>360</v>
      </c>
    </row>
    <row r="105" spans="1:11" ht="27.6" customHeight="1">
      <c r="A105" s="3" t="s">
        <v>361</v>
      </c>
      <c r="B105" s="3" t="s">
        <v>351</v>
      </c>
      <c r="C105" s="3" t="s">
        <v>299</v>
      </c>
      <c r="D105" s="3" t="s">
        <v>362</v>
      </c>
      <c r="E105" s="3"/>
      <c r="F105" s="3" t="s">
        <v>15</v>
      </c>
      <c r="G105" s="3"/>
      <c r="H105" s="3"/>
      <c r="I105" s="3" t="s">
        <v>16</v>
      </c>
      <c r="J105" s="3" t="s">
        <v>17</v>
      </c>
      <c r="K105" s="3" t="s">
        <v>363</v>
      </c>
    </row>
    <row r="106" spans="1:11" ht="27.6" customHeight="1">
      <c r="A106" s="3" t="s">
        <v>364</v>
      </c>
      <c r="B106" s="3" t="s">
        <v>365</v>
      </c>
      <c r="C106" s="3" t="s">
        <v>299</v>
      </c>
      <c r="D106" s="3" t="s">
        <v>366</v>
      </c>
      <c r="E106" s="3"/>
      <c r="F106" s="3" t="s">
        <v>15</v>
      </c>
      <c r="G106" s="3"/>
      <c r="H106" s="3" t="s">
        <v>367</v>
      </c>
      <c r="I106" s="3" t="s">
        <v>16</v>
      </c>
      <c r="J106" s="3" t="s">
        <v>17</v>
      </c>
      <c r="K106" s="3" t="s">
        <v>368</v>
      </c>
    </row>
    <row r="107" spans="1:11" ht="27.6" customHeight="1">
      <c r="A107" s="3" t="s">
        <v>369</v>
      </c>
      <c r="B107" s="3" t="s">
        <v>365</v>
      </c>
      <c r="C107" s="3" t="s">
        <v>299</v>
      </c>
      <c r="D107" s="3" t="s">
        <v>370</v>
      </c>
      <c r="E107" s="3"/>
      <c r="F107" s="3" t="s">
        <v>15</v>
      </c>
      <c r="G107" s="3"/>
      <c r="H107" s="3"/>
      <c r="I107" s="3" t="s">
        <v>16</v>
      </c>
      <c r="J107" s="3" t="s">
        <v>17</v>
      </c>
      <c r="K107" s="3" t="s">
        <v>371</v>
      </c>
    </row>
    <row r="108" spans="1:11" ht="27.6" customHeight="1">
      <c r="A108" s="3" t="s">
        <v>372</v>
      </c>
      <c r="B108" s="3" t="s">
        <v>365</v>
      </c>
      <c r="C108" s="3" t="s">
        <v>299</v>
      </c>
      <c r="D108" s="3" t="s">
        <v>373</v>
      </c>
      <c r="E108" s="3"/>
      <c r="F108" s="3" t="s">
        <v>15</v>
      </c>
      <c r="G108" s="3"/>
      <c r="H108" s="3"/>
      <c r="I108" s="3" t="s">
        <v>16</v>
      </c>
      <c r="J108" s="3" t="s">
        <v>17</v>
      </c>
      <c r="K108" s="3" t="s">
        <v>374</v>
      </c>
    </row>
    <row r="109" spans="1:11" ht="27.6" customHeight="1">
      <c r="A109" s="3" t="s">
        <v>375</v>
      </c>
      <c r="B109" s="3" t="s">
        <v>365</v>
      </c>
      <c r="C109" s="3" t="s">
        <v>299</v>
      </c>
      <c r="D109" s="3" t="s">
        <v>376</v>
      </c>
      <c r="E109" s="3"/>
      <c r="F109" s="3" t="s">
        <v>15</v>
      </c>
      <c r="G109" s="3"/>
      <c r="H109" s="3"/>
      <c r="I109" s="3" t="s">
        <v>16</v>
      </c>
      <c r="J109" s="3" t="s">
        <v>17</v>
      </c>
      <c r="K109" s="3" t="s">
        <v>377</v>
      </c>
    </row>
    <row r="110" spans="1:11" ht="27.6" customHeight="1">
      <c r="A110" s="3" t="s">
        <v>378</v>
      </c>
      <c r="B110" s="3" t="s">
        <v>379</v>
      </c>
      <c r="C110" s="3" t="s">
        <v>380</v>
      </c>
      <c r="D110" s="3" t="s">
        <v>381</v>
      </c>
      <c r="E110" s="3"/>
      <c r="F110" s="3" t="s">
        <v>15</v>
      </c>
      <c r="G110" s="3"/>
      <c r="H110" s="3"/>
      <c r="I110" s="3" t="s">
        <v>16</v>
      </c>
      <c r="J110" s="3" t="s">
        <v>17</v>
      </c>
      <c r="K110" s="3" t="s">
        <v>382</v>
      </c>
    </row>
    <row r="111" spans="1:11" ht="27.6" customHeight="1">
      <c r="A111" s="3" t="s">
        <v>383</v>
      </c>
      <c r="B111" s="3" t="s">
        <v>379</v>
      </c>
      <c r="C111" s="3" t="s">
        <v>380</v>
      </c>
      <c r="D111" s="3" t="s">
        <v>384</v>
      </c>
      <c r="E111" s="3"/>
      <c r="F111" s="3" t="s">
        <v>15</v>
      </c>
      <c r="G111" s="3"/>
      <c r="H111" s="3"/>
      <c r="I111" s="3" t="s">
        <v>16</v>
      </c>
      <c r="J111" s="3" t="s">
        <v>17</v>
      </c>
      <c r="K111" s="3" t="s">
        <v>385</v>
      </c>
    </row>
    <row r="112" spans="1:11" ht="27.6" customHeight="1">
      <c r="A112" s="3" t="s">
        <v>386</v>
      </c>
      <c r="B112" s="3" t="s">
        <v>379</v>
      </c>
      <c r="C112" s="3" t="s">
        <v>380</v>
      </c>
      <c r="D112" s="3" t="s">
        <v>387</v>
      </c>
      <c r="E112" s="3"/>
      <c r="F112" s="3" t="s">
        <v>15</v>
      </c>
      <c r="G112" s="3"/>
      <c r="H112" s="3"/>
      <c r="I112" s="3" t="s">
        <v>16</v>
      </c>
      <c r="J112" s="3" t="s">
        <v>17</v>
      </c>
      <c r="K112" s="3" t="s">
        <v>388</v>
      </c>
    </row>
    <row r="113" spans="1:11" ht="27.6" customHeight="1">
      <c r="A113" s="3" t="s">
        <v>389</v>
      </c>
      <c r="B113" s="3" t="s">
        <v>379</v>
      </c>
      <c r="C113" s="3" t="s">
        <v>380</v>
      </c>
      <c r="D113" s="3" t="s">
        <v>119</v>
      </c>
      <c r="E113" s="3"/>
      <c r="F113" s="3" t="s">
        <v>15</v>
      </c>
      <c r="G113" s="3"/>
      <c r="H113" s="3"/>
      <c r="I113" s="3" t="s">
        <v>16</v>
      </c>
      <c r="J113" s="3" t="s">
        <v>17</v>
      </c>
      <c r="K113" s="3" t="s">
        <v>390</v>
      </c>
    </row>
    <row r="114" spans="1:11" ht="27.6" customHeight="1">
      <c r="A114" s="3" t="s">
        <v>391</v>
      </c>
      <c r="B114" s="3" t="s">
        <v>392</v>
      </c>
      <c r="C114" s="3" t="s">
        <v>380</v>
      </c>
      <c r="D114" s="3" t="s">
        <v>393</v>
      </c>
      <c r="E114" s="3"/>
      <c r="F114" s="3" t="s">
        <v>15</v>
      </c>
      <c r="G114" s="3"/>
      <c r="H114" s="3"/>
      <c r="I114" s="3" t="s">
        <v>16</v>
      </c>
      <c r="J114" s="3" t="s">
        <v>17</v>
      </c>
      <c r="K114" s="3" t="s">
        <v>394</v>
      </c>
    </row>
    <row r="115" spans="1:11" ht="27.6" customHeight="1">
      <c r="A115" s="3" t="s">
        <v>395</v>
      </c>
      <c r="B115" s="3" t="s">
        <v>392</v>
      </c>
      <c r="C115" s="3" t="s">
        <v>380</v>
      </c>
      <c r="D115" s="3" t="s">
        <v>396</v>
      </c>
      <c r="E115" s="3"/>
      <c r="F115" s="3" t="s">
        <v>15</v>
      </c>
      <c r="G115" s="3"/>
      <c r="H115" s="3"/>
      <c r="I115" s="3" t="s">
        <v>16</v>
      </c>
      <c r="J115" s="3" t="s">
        <v>17</v>
      </c>
      <c r="K115" s="3" t="s">
        <v>397</v>
      </c>
    </row>
    <row r="116" spans="1:11" ht="27.6" customHeight="1">
      <c r="A116" s="3" t="s">
        <v>398</v>
      </c>
      <c r="B116" s="3" t="s">
        <v>392</v>
      </c>
      <c r="C116" s="3" t="s">
        <v>380</v>
      </c>
      <c r="D116" s="3" t="s">
        <v>399</v>
      </c>
      <c r="E116" s="3"/>
      <c r="F116" s="3" t="s">
        <v>15</v>
      </c>
      <c r="G116" s="3"/>
      <c r="H116" s="3"/>
      <c r="I116" s="3" t="s">
        <v>16</v>
      </c>
      <c r="J116" s="3" t="s">
        <v>17</v>
      </c>
      <c r="K116" s="3" t="s">
        <v>400</v>
      </c>
    </row>
    <row r="117" spans="1:11" ht="27.6" customHeight="1">
      <c r="A117" s="3" t="s">
        <v>401</v>
      </c>
      <c r="B117" s="3" t="s">
        <v>392</v>
      </c>
      <c r="C117" s="3" t="s">
        <v>380</v>
      </c>
      <c r="D117" s="3" t="s">
        <v>402</v>
      </c>
      <c r="E117" s="3"/>
      <c r="F117" s="3" t="s">
        <v>15</v>
      </c>
      <c r="G117" s="3"/>
      <c r="H117" s="3"/>
      <c r="I117" s="3" t="s">
        <v>16</v>
      </c>
      <c r="J117" s="3" t="s">
        <v>17</v>
      </c>
      <c r="K117" s="3" t="s">
        <v>403</v>
      </c>
    </row>
    <row r="118" spans="1:11" ht="27.6" customHeight="1">
      <c r="A118" s="3" t="s">
        <v>404</v>
      </c>
      <c r="B118" s="3" t="s">
        <v>405</v>
      </c>
      <c r="C118" s="3" t="s">
        <v>380</v>
      </c>
      <c r="D118" s="3" t="s">
        <v>406</v>
      </c>
      <c r="E118" s="3"/>
      <c r="F118" s="3" t="s">
        <v>15</v>
      </c>
      <c r="G118" s="3"/>
      <c r="H118" s="3"/>
      <c r="I118" s="3" t="s">
        <v>16</v>
      </c>
      <c r="J118" s="3" t="s">
        <v>17</v>
      </c>
      <c r="K118" s="3" t="s">
        <v>407</v>
      </c>
    </row>
    <row r="119" spans="1:11" ht="27.6" customHeight="1">
      <c r="A119" s="3" t="s">
        <v>408</v>
      </c>
      <c r="B119" s="3" t="s">
        <v>405</v>
      </c>
      <c r="C119" s="3" t="s">
        <v>380</v>
      </c>
      <c r="D119" s="3" t="s">
        <v>409</v>
      </c>
      <c r="E119" s="3"/>
      <c r="F119" s="3" t="s">
        <v>15</v>
      </c>
      <c r="G119" s="3"/>
      <c r="H119" s="3"/>
      <c r="I119" s="3" t="s">
        <v>16</v>
      </c>
      <c r="J119" s="3" t="s">
        <v>17</v>
      </c>
      <c r="K119" s="3" t="s">
        <v>410</v>
      </c>
    </row>
    <row r="120" spans="1:11" ht="27.6" customHeight="1">
      <c r="A120" s="3" t="s">
        <v>411</v>
      </c>
      <c r="B120" s="3" t="s">
        <v>405</v>
      </c>
      <c r="C120" s="3" t="s">
        <v>380</v>
      </c>
      <c r="D120" s="3" t="s">
        <v>412</v>
      </c>
      <c r="E120" s="3"/>
      <c r="F120" s="3" t="s">
        <v>15</v>
      </c>
      <c r="G120" s="3"/>
      <c r="H120" s="3"/>
      <c r="I120" s="3" t="s">
        <v>16</v>
      </c>
      <c r="J120" s="3" t="s">
        <v>17</v>
      </c>
      <c r="K120" s="3" t="s">
        <v>413</v>
      </c>
    </row>
    <row r="121" spans="1:11" ht="27.6" customHeight="1">
      <c r="A121" s="3" t="s">
        <v>414</v>
      </c>
      <c r="B121" s="3" t="s">
        <v>405</v>
      </c>
      <c r="C121" s="3" t="s">
        <v>380</v>
      </c>
      <c r="D121" s="3" t="s">
        <v>415</v>
      </c>
      <c r="E121" s="3"/>
      <c r="F121" s="3" t="s">
        <v>15</v>
      </c>
      <c r="G121" s="3"/>
      <c r="H121" s="3"/>
      <c r="I121" s="3" t="s">
        <v>16</v>
      </c>
      <c r="J121" s="3" t="s">
        <v>17</v>
      </c>
      <c r="K121" s="3" t="s">
        <v>416</v>
      </c>
    </row>
    <row r="122" spans="1:11" ht="27.6" customHeight="1">
      <c r="A122" s="3" t="s">
        <v>417</v>
      </c>
      <c r="B122" s="3" t="s">
        <v>418</v>
      </c>
      <c r="C122" s="3" t="s">
        <v>380</v>
      </c>
      <c r="D122" s="3" t="s">
        <v>419</v>
      </c>
      <c r="E122" s="3"/>
      <c r="F122" s="3" t="s">
        <v>15</v>
      </c>
      <c r="G122" s="3"/>
      <c r="H122" s="3"/>
      <c r="I122" s="3" t="s">
        <v>16</v>
      </c>
      <c r="J122" s="3" t="s">
        <v>17</v>
      </c>
      <c r="K122" s="3" t="s">
        <v>420</v>
      </c>
    </row>
    <row r="123" spans="1:11" ht="27.6" customHeight="1">
      <c r="A123" s="3" t="s">
        <v>421</v>
      </c>
      <c r="B123" s="3" t="s">
        <v>418</v>
      </c>
      <c r="C123" s="3" t="s">
        <v>380</v>
      </c>
      <c r="D123" s="3" t="s">
        <v>422</v>
      </c>
      <c r="E123" s="3"/>
      <c r="F123" s="3" t="s">
        <v>15</v>
      </c>
      <c r="G123" s="3"/>
      <c r="H123" s="3"/>
      <c r="I123" s="3" t="s">
        <v>16</v>
      </c>
      <c r="J123" s="3" t="s">
        <v>17</v>
      </c>
      <c r="K123" s="3" t="s">
        <v>423</v>
      </c>
    </row>
    <row r="124" spans="1:11" ht="27.6" customHeight="1">
      <c r="A124" s="3" t="s">
        <v>424</v>
      </c>
      <c r="B124" s="3" t="s">
        <v>418</v>
      </c>
      <c r="C124" s="3" t="s">
        <v>380</v>
      </c>
      <c r="D124" s="3" t="s">
        <v>425</v>
      </c>
      <c r="E124" s="3"/>
      <c r="F124" s="3" t="s">
        <v>15</v>
      </c>
      <c r="G124" s="3"/>
      <c r="H124" s="3"/>
      <c r="I124" s="3" t="s">
        <v>16</v>
      </c>
      <c r="J124" s="3" t="s">
        <v>17</v>
      </c>
      <c r="K124" s="3" t="s">
        <v>426</v>
      </c>
    </row>
    <row r="125" spans="1:11" ht="27.6" customHeight="1">
      <c r="A125" s="3" t="s">
        <v>427</v>
      </c>
      <c r="B125" s="3" t="s">
        <v>418</v>
      </c>
      <c r="C125" s="3" t="s">
        <v>380</v>
      </c>
      <c r="D125" s="3" t="s">
        <v>428</v>
      </c>
      <c r="E125" s="3"/>
      <c r="F125" s="3" t="s">
        <v>15</v>
      </c>
      <c r="G125" s="3"/>
      <c r="H125" s="3"/>
      <c r="I125" s="3" t="s">
        <v>16</v>
      </c>
      <c r="J125" s="3" t="s">
        <v>17</v>
      </c>
      <c r="K125" s="3" t="s">
        <v>429</v>
      </c>
    </row>
    <row r="126" spans="1:11" ht="27.6" customHeight="1">
      <c r="A126" s="3" t="s">
        <v>430</v>
      </c>
      <c r="B126" s="3" t="s">
        <v>431</v>
      </c>
      <c r="C126" s="3" t="s">
        <v>380</v>
      </c>
      <c r="D126" s="3" t="s">
        <v>432</v>
      </c>
      <c r="E126" s="3"/>
      <c r="F126" s="3" t="s">
        <v>15</v>
      </c>
      <c r="G126" s="3"/>
      <c r="H126" s="3"/>
      <c r="I126" s="3" t="s">
        <v>16</v>
      </c>
      <c r="J126" s="3" t="s">
        <v>17</v>
      </c>
      <c r="K126" s="3" t="s">
        <v>433</v>
      </c>
    </row>
    <row r="127" spans="1:11" ht="27.6" customHeight="1">
      <c r="A127" s="3" t="s">
        <v>434</v>
      </c>
      <c r="B127" s="3" t="s">
        <v>431</v>
      </c>
      <c r="C127" s="3" t="s">
        <v>380</v>
      </c>
      <c r="D127" s="3" t="s">
        <v>435</v>
      </c>
      <c r="E127" s="3"/>
      <c r="F127" s="3" t="s">
        <v>15</v>
      </c>
      <c r="G127" s="3"/>
      <c r="H127" s="3" t="s">
        <v>436</v>
      </c>
      <c r="I127" s="3" t="s">
        <v>16</v>
      </c>
      <c r="J127" s="3" t="s">
        <v>17</v>
      </c>
      <c r="K127" s="3" t="s">
        <v>437</v>
      </c>
    </row>
    <row r="128" spans="1:11" ht="27.6" customHeight="1">
      <c r="A128" s="3" t="s">
        <v>438</v>
      </c>
      <c r="B128" s="3" t="s">
        <v>431</v>
      </c>
      <c r="C128" s="3" t="s">
        <v>380</v>
      </c>
      <c r="D128" s="3" t="s">
        <v>439</v>
      </c>
      <c r="E128" s="3"/>
      <c r="F128" s="3" t="s">
        <v>15</v>
      </c>
      <c r="G128" s="3"/>
      <c r="H128" s="3"/>
      <c r="I128" s="3" t="s">
        <v>16</v>
      </c>
      <c r="J128" s="3" t="s">
        <v>17</v>
      </c>
      <c r="K128" s="3" t="s">
        <v>440</v>
      </c>
    </row>
    <row r="129" spans="1:11" ht="27.6" customHeight="1">
      <c r="A129" s="3" t="s">
        <v>441</v>
      </c>
      <c r="B129" s="3" t="s">
        <v>431</v>
      </c>
      <c r="C129" s="3" t="s">
        <v>380</v>
      </c>
      <c r="D129" s="3" t="s">
        <v>442</v>
      </c>
      <c r="E129" s="3"/>
      <c r="F129" s="3" t="s">
        <v>15</v>
      </c>
      <c r="G129" s="3"/>
      <c r="H129" s="3"/>
      <c r="I129" s="3" t="s">
        <v>16</v>
      </c>
      <c r="J129" s="3" t="s">
        <v>17</v>
      </c>
      <c r="K129" s="3" t="s">
        <v>443</v>
      </c>
    </row>
    <row r="130" spans="1:11" ht="27.6" customHeight="1">
      <c r="A130" s="3" t="s">
        <v>444</v>
      </c>
      <c r="B130" s="3" t="s">
        <v>445</v>
      </c>
      <c r="C130" s="3" t="s">
        <v>380</v>
      </c>
      <c r="D130" s="3" t="s">
        <v>446</v>
      </c>
      <c r="E130" s="3"/>
      <c r="F130" s="3" t="s">
        <v>15</v>
      </c>
      <c r="G130" s="3"/>
      <c r="H130" s="3"/>
      <c r="I130" s="3" t="s">
        <v>16</v>
      </c>
      <c r="J130" s="3" t="s">
        <v>17</v>
      </c>
      <c r="K130" s="3" t="s">
        <v>447</v>
      </c>
    </row>
    <row r="131" spans="1:11" ht="27.6" customHeight="1">
      <c r="A131" s="3" t="s">
        <v>448</v>
      </c>
      <c r="B131" s="3" t="s">
        <v>445</v>
      </c>
      <c r="C131" s="3" t="s">
        <v>380</v>
      </c>
      <c r="D131" s="3" t="s">
        <v>449</v>
      </c>
      <c r="E131" s="3"/>
      <c r="F131" s="3" t="s">
        <v>15</v>
      </c>
      <c r="G131" s="3"/>
      <c r="H131" s="3"/>
      <c r="I131" s="3" t="s">
        <v>16</v>
      </c>
      <c r="J131" s="3" t="s">
        <v>17</v>
      </c>
      <c r="K131" s="3" t="s">
        <v>450</v>
      </c>
    </row>
    <row r="132" spans="1:11" ht="27.6" customHeight="1">
      <c r="A132" s="3" t="s">
        <v>451</v>
      </c>
      <c r="B132" s="3" t="s">
        <v>445</v>
      </c>
      <c r="C132" s="3" t="s">
        <v>380</v>
      </c>
      <c r="D132" s="3" t="s">
        <v>452</v>
      </c>
      <c r="E132" s="3"/>
      <c r="F132" s="3" t="s">
        <v>15</v>
      </c>
      <c r="G132" s="3"/>
      <c r="H132" s="3"/>
      <c r="I132" s="3" t="s">
        <v>16</v>
      </c>
      <c r="J132" s="3" t="s">
        <v>17</v>
      </c>
      <c r="K132" s="3" t="s">
        <v>453</v>
      </c>
    </row>
    <row r="133" spans="1:11" ht="27.6" customHeight="1">
      <c r="A133" s="3" t="s">
        <v>454</v>
      </c>
      <c r="B133" s="3" t="s">
        <v>445</v>
      </c>
      <c r="C133" s="3" t="s">
        <v>380</v>
      </c>
      <c r="D133" s="3" t="s">
        <v>455</v>
      </c>
      <c r="E133" s="3"/>
      <c r="F133" s="3" t="s">
        <v>15</v>
      </c>
      <c r="G133" s="3"/>
      <c r="H133" s="3" t="s">
        <v>456</v>
      </c>
      <c r="I133" s="3" t="s">
        <v>16</v>
      </c>
      <c r="J133" s="3" t="s">
        <v>17</v>
      </c>
      <c r="K133" s="3" t="s">
        <v>457</v>
      </c>
    </row>
    <row r="134" spans="1:11" ht="27.6" customHeight="1">
      <c r="A134" s="3" t="s">
        <v>458</v>
      </c>
      <c r="B134" s="3" t="s">
        <v>459</v>
      </c>
      <c r="C134" s="3" t="s">
        <v>380</v>
      </c>
      <c r="D134" s="3" t="s">
        <v>460</v>
      </c>
      <c r="E134" s="3"/>
      <c r="F134" s="3" t="s">
        <v>15</v>
      </c>
      <c r="G134" s="3"/>
      <c r="H134" s="3"/>
      <c r="I134" s="3" t="s">
        <v>16</v>
      </c>
      <c r="J134" s="3" t="s">
        <v>17</v>
      </c>
      <c r="K134" s="3" t="s">
        <v>461</v>
      </c>
    </row>
    <row r="135" spans="1:11" ht="27.6" customHeight="1">
      <c r="A135" s="3" t="s">
        <v>462</v>
      </c>
      <c r="B135" s="3" t="s">
        <v>459</v>
      </c>
      <c r="C135" s="3" t="s">
        <v>380</v>
      </c>
      <c r="D135" s="3" t="s">
        <v>463</v>
      </c>
      <c r="E135" s="3"/>
      <c r="F135" s="3" t="s">
        <v>15</v>
      </c>
      <c r="G135" s="3"/>
      <c r="H135" s="3"/>
      <c r="I135" s="3" t="s">
        <v>16</v>
      </c>
      <c r="J135" s="3" t="s">
        <v>17</v>
      </c>
      <c r="K135" s="3" t="s">
        <v>464</v>
      </c>
    </row>
    <row r="136" spans="1:11" ht="27.6" customHeight="1">
      <c r="A136" s="3" t="s">
        <v>465</v>
      </c>
      <c r="B136" s="3" t="s">
        <v>459</v>
      </c>
      <c r="C136" s="3" t="s">
        <v>380</v>
      </c>
      <c r="D136" s="3" t="s">
        <v>466</v>
      </c>
      <c r="E136" s="3"/>
      <c r="F136" s="3" t="s">
        <v>15</v>
      </c>
      <c r="G136" s="3"/>
      <c r="H136" s="3"/>
      <c r="I136" s="3" t="s">
        <v>16</v>
      </c>
      <c r="J136" s="3" t="s">
        <v>17</v>
      </c>
      <c r="K136" s="3" t="s">
        <v>467</v>
      </c>
    </row>
    <row r="137" spans="1:11" ht="27.6" customHeight="1">
      <c r="A137" s="3" t="s">
        <v>468</v>
      </c>
      <c r="B137" s="3" t="s">
        <v>459</v>
      </c>
      <c r="C137" s="3" t="s">
        <v>380</v>
      </c>
      <c r="D137" s="3" t="s">
        <v>469</v>
      </c>
      <c r="E137" s="3"/>
      <c r="F137" s="3" t="s">
        <v>15</v>
      </c>
      <c r="G137" s="3"/>
      <c r="H137" s="3"/>
      <c r="I137" s="3" t="s">
        <v>16</v>
      </c>
      <c r="J137" s="3" t="s">
        <v>17</v>
      </c>
      <c r="K137" s="3" t="s">
        <v>470</v>
      </c>
    </row>
    <row r="138" spans="1:11" ht="27.6" customHeight="1">
      <c r="A138" s="3" t="s">
        <v>471</v>
      </c>
      <c r="B138" s="3" t="s">
        <v>472</v>
      </c>
      <c r="C138" s="3" t="s">
        <v>380</v>
      </c>
      <c r="D138" s="3" t="s">
        <v>473</v>
      </c>
      <c r="E138" s="3"/>
      <c r="F138" s="3" t="s">
        <v>15</v>
      </c>
      <c r="G138" s="3"/>
      <c r="H138" s="3"/>
      <c r="I138" s="3" t="s">
        <v>16</v>
      </c>
      <c r="J138" s="3" t="s">
        <v>17</v>
      </c>
      <c r="K138" s="3" t="s">
        <v>474</v>
      </c>
    </row>
    <row r="139" spans="1:11" ht="27.6" customHeight="1">
      <c r="A139" s="3" t="s">
        <v>475</v>
      </c>
      <c r="B139" s="3" t="s">
        <v>472</v>
      </c>
      <c r="C139" s="3" t="s">
        <v>380</v>
      </c>
      <c r="D139" s="3" t="s">
        <v>476</v>
      </c>
      <c r="E139" s="3"/>
      <c r="F139" s="3" t="s">
        <v>15</v>
      </c>
      <c r="G139" s="3"/>
      <c r="H139" s="3" t="s">
        <v>477</v>
      </c>
      <c r="I139" s="3" t="s">
        <v>16</v>
      </c>
      <c r="J139" s="3" t="s">
        <v>17</v>
      </c>
      <c r="K139" s="3" t="s">
        <v>478</v>
      </c>
    </row>
    <row r="140" spans="1:11" ht="27.6" customHeight="1">
      <c r="A140" s="3" t="s">
        <v>479</v>
      </c>
      <c r="B140" s="3" t="s">
        <v>472</v>
      </c>
      <c r="C140" s="3" t="s">
        <v>380</v>
      </c>
      <c r="D140" s="3" t="s">
        <v>480</v>
      </c>
      <c r="E140" s="3"/>
      <c r="F140" s="3" t="s">
        <v>15</v>
      </c>
      <c r="G140" s="3"/>
      <c r="H140" s="3" t="s">
        <v>481</v>
      </c>
      <c r="I140" s="3" t="s">
        <v>16</v>
      </c>
      <c r="J140" s="3" t="s">
        <v>17</v>
      </c>
      <c r="K140" s="3" t="s">
        <v>482</v>
      </c>
    </row>
    <row r="141" spans="1:11" ht="27.6" customHeight="1">
      <c r="A141" s="3" t="s">
        <v>483</v>
      </c>
      <c r="B141" s="3" t="s">
        <v>472</v>
      </c>
      <c r="C141" s="3" t="s">
        <v>380</v>
      </c>
      <c r="D141" s="3" t="s">
        <v>484</v>
      </c>
      <c r="E141" s="3"/>
      <c r="F141" s="3" t="s">
        <v>15</v>
      </c>
      <c r="G141" s="3"/>
      <c r="H141" s="3"/>
      <c r="I141" s="3" t="s">
        <v>16</v>
      </c>
      <c r="J141" s="3" t="s">
        <v>17</v>
      </c>
      <c r="K141" s="3" t="s">
        <v>485</v>
      </c>
    </row>
    <row r="142" spans="1:11" ht="27.6" customHeight="1">
      <c r="A142" s="3" t="s">
        <v>486</v>
      </c>
      <c r="B142" s="3" t="s">
        <v>487</v>
      </c>
      <c r="C142" s="3" t="s">
        <v>488</v>
      </c>
      <c r="D142" s="3" t="s">
        <v>489</v>
      </c>
      <c r="E142" s="3"/>
      <c r="F142" s="3" t="s">
        <v>15</v>
      </c>
      <c r="G142" s="3"/>
      <c r="H142" s="3"/>
      <c r="I142" s="3" t="s">
        <v>16</v>
      </c>
      <c r="J142" s="3" t="s">
        <v>17</v>
      </c>
      <c r="K142" s="3" t="s">
        <v>490</v>
      </c>
    </row>
    <row r="143" spans="1:11" ht="27.6" customHeight="1">
      <c r="A143" s="3" t="s">
        <v>491</v>
      </c>
      <c r="B143" s="3" t="s">
        <v>487</v>
      </c>
      <c r="C143" s="3" t="s">
        <v>488</v>
      </c>
      <c r="D143" s="3" t="s">
        <v>492</v>
      </c>
      <c r="E143" s="3"/>
      <c r="F143" s="3" t="s">
        <v>15</v>
      </c>
      <c r="G143" s="3"/>
      <c r="H143" s="3"/>
      <c r="I143" s="3" t="s">
        <v>16</v>
      </c>
      <c r="J143" s="3" t="s">
        <v>17</v>
      </c>
      <c r="K143" s="3" t="s">
        <v>493</v>
      </c>
    </row>
    <row r="144" spans="1:11" ht="27.6" customHeight="1">
      <c r="A144" s="3" t="s">
        <v>494</v>
      </c>
      <c r="B144" s="3" t="s">
        <v>487</v>
      </c>
      <c r="C144" s="3" t="s">
        <v>488</v>
      </c>
      <c r="D144" s="3" t="s">
        <v>495</v>
      </c>
      <c r="E144" s="3"/>
      <c r="F144" s="3" t="s">
        <v>15</v>
      </c>
      <c r="G144" s="3"/>
      <c r="H144" s="3"/>
      <c r="I144" s="3" t="s">
        <v>16</v>
      </c>
      <c r="J144" s="3" t="s">
        <v>17</v>
      </c>
      <c r="K144" s="3" t="s">
        <v>496</v>
      </c>
    </row>
    <row r="145" spans="1:11" ht="27.6" customHeight="1">
      <c r="A145" s="3" t="s">
        <v>497</v>
      </c>
      <c r="B145" s="3" t="s">
        <v>487</v>
      </c>
      <c r="C145" s="3" t="s">
        <v>488</v>
      </c>
      <c r="D145" s="3" t="s">
        <v>498</v>
      </c>
      <c r="E145" s="3"/>
      <c r="F145" s="3" t="s">
        <v>15</v>
      </c>
      <c r="G145" s="3"/>
      <c r="H145" s="3"/>
      <c r="I145" s="3" t="s">
        <v>16</v>
      </c>
      <c r="J145" s="3" t="s">
        <v>17</v>
      </c>
      <c r="K145" s="3" t="s">
        <v>499</v>
      </c>
    </row>
    <row r="146" spans="1:11" ht="27.6" customHeight="1">
      <c r="A146" s="3" t="s">
        <v>500</v>
      </c>
      <c r="B146" s="3" t="s">
        <v>501</v>
      </c>
      <c r="C146" s="3" t="s">
        <v>488</v>
      </c>
      <c r="D146" s="3" t="s">
        <v>502</v>
      </c>
      <c r="E146" s="3"/>
      <c r="F146" s="3" t="s">
        <v>15</v>
      </c>
      <c r="G146" s="3"/>
      <c r="H146" s="3"/>
      <c r="I146" s="3" t="s">
        <v>16</v>
      </c>
      <c r="J146" s="3" t="s">
        <v>17</v>
      </c>
      <c r="K146" s="3" t="s">
        <v>503</v>
      </c>
    </row>
    <row r="147" spans="1:11" ht="27.6" customHeight="1">
      <c r="A147" s="3" t="s">
        <v>504</v>
      </c>
      <c r="B147" s="3" t="s">
        <v>501</v>
      </c>
      <c r="C147" s="3" t="s">
        <v>488</v>
      </c>
      <c r="D147" s="3" t="s">
        <v>505</v>
      </c>
      <c r="E147" s="3"/>
      <c r="F147" s="3" t="s">
        <v>15</v>
      </c>
      <c r="G147" s="3"/>
      <c r="H147" s="3"/>
      <c r="I147" s="3" t="s">
        <v>16</v>
      </c>
      <c r="J147" s="3" t="s">
        <v>17</v>
      </c>
      <c r="K147" s="3" t="s">
        <v>506</v>
      </c>
    </row>
    <row r="148" spans="1:11" ht="27.6" customHeight="1">
      <c r="A148" s="3" t="s">
        <v>507</v>
      </c>
      <c r="B148" s="3" t="s">
        <v>501</v>
      </c>
      <c r="C148" s="3" t="s">
        <v>488</v>
      </c>
      <c r="D148" s="3" t="s">
        <v>508</v>
      </c>
      <c r="E148" s="3"/>
      <c r="F148" s="3" t="s">
        <v>15</v>
      </c>
      <c r="G148" s="3"/>
      <c r="H148" s="3"/>
      <c r="I148" s="3" t="s">
        <v>16</v>
      </c>
      <c r="J148" s="3" t="s">
        <v>17</v>
      </c>
      <c r="K148" s="3" t="s">
        <v>509</v>
      </c>
    </row>
    <row r="149" spans="1:11" ht="27.6" customHeight="1">
      <c r="A149" s="3" t="s">
        <v>510</v>
      </c>
      <c r="B149" s="3" t="s">
        <v>501</v>
      </c>
      <c r="C149" s="3" t="s">
        <v>488</v>
      </c>
      <c r="D149" s="3" t="s">
        <v>511</v>
      </c>
      <c r="E149" s="3"/>
      <c r="F149" s="3" t="s">
        <v>15</v>
      </c>
      <c r="G149" s="3"/>
      <c r="H149" s="3"/>
      <c r="I149" s="3" t="s">
        <v>16</v>
      </c>
      <c r="J149" s="3" t="s">
        <v>17</v>
      </c>
      <c r="K149" s="3" t="s">
        <v>512</v>
      </c>
    </row>
    <row r="150" spans="1:11" ht="27.6" customHeight="1">
      <c r="A150" s="3" t="s">
        <v>513</v>
      </c>
      <c r="B150" s="3" t="s">
        <v>514</v>
      </c>
      <c r="C150" s="3" t="s">
        <v>488</v>
      </c>
      <c r="D150" s="3" t="s">
        <v>515</v>
      </c>
      <c r="E150" s="3"/>
      <c r="F150" s="3" t="s">
        <v>15</v>
      </c>
      <c r="G150" s="3"/>
      <c r="H150" s="3"/>
      <c r="I150" s="3" t="s">
        <v>16</v>
      </c>
      <c r="J150" s="3" t="s">
        <v>17</v>
      </c>
      <c r="K150" s="3" t="s">
        <v>516</v>
      </c>
    </row>
    <row r="151" spans="1:11" ht="27.6" customHeight="1">
      <c r="A151" s="3" t="s">
        <v>517</v>
      </c>
      <c r="B151" s="3" t="s">
        <v>514</v>
      </c>
      <c r="C151" s="3" t="s">
        <v>488</v>
      </c>
      <c r="D151" s="3" t="s">
        <v>518</v>
      </c>
      <c r="E151" s="3"/>
      <c r="F151" s="3" t="s">
        <v>15</v>
      </c>
      <c r="G151" s="3"/>
      <c r="H151" s="3"/>
      <c r="I151" s="3" t="s">
        <v>16</v>
      </c>
      <c r="J151" s="3" t="s">
        <v>17</v>
      </c>
      <c r="K151" s="3" t="s">
        <v>519</v>
      </c>
    </row>
    <row r="152" spans="1:11" ht="27.6" customHeight="1">
      <c r="A152" s="3" t="s">
        <v>520</v>
      </c>
      <c r="B152" s="3" t="s">
        <v>514</v>
      </c>
      <c r="C152" s="3" t="s">
        <v>488</v>
      </c>
      <c r="D152" s="3" t="s">
        <v>521</v>
      </c>
      <c r="E152" s="3"/>
      <c r="F152" s="3" t="s">
        <v>15</v>
      </c>
      <c r="G152" s="3"/>
      <c r="H152" s="3"/>
      <c r="I152" s="3" t="s">
        <v>16</v>
      </c>
      <c r="J152" s="3" t="s">
        <v>17</v>
      </c>
      <c r="K152" s="3" t="s">
        <v>522</v>
      </c>
    </row>
    <row r="153" spans="1:11" ht="27.6" customHeight="1">
      <c r="A153" s="3" t="s">
        <v>523</v>
      </c>
      <c r="B153" s="3" t="s">
        <v>514</v>
      </c>
      <c r="C153" s="3" t="s">
        <v>488</v>
      </c>
      <c r="D153" s="3" t="s">
        <v>524</v>
      </c>
      <c r="E153" s="3"/>
      <c r="F153" s="3" t="s">
        <v>15</v>
      </c>
      <c r="G153" s="3"/>
      <c r="H153" s="3"/>
      <c r="I153" s="3" t="s">
        <v>16</v>
      </c>
      <c r="J153" s="3" t="s">
        <v>17</v>
      </c>
      <c r="K153" s="3" t="s">
        <v>525</v>
      </c>
    </row>
    <row r="154" spans="1:11" ht="27.6" customHeight="1">
      <c r="A154" s="3" t="s">
        <v>526</v>
      </c>
      <c r="B154" s="3" t="s">
        <v>527</v>
      </c>
      <c r="C154" s="3" t="s">
        <v>488</v>
      </c>
      <c r="D154" s="3" t="s">
        <v>528</v>
      </c>
      <c r="E154" s="3"/>
      <c r="F154" s="3" t="s">
        <v>15</v>
      </c>
      <c r="G154" s="3"/>
      <c r="H154" s="3"/>
      <c r="I154" s="3" t="s">
        <v>16</v>
      </c>
      <c r="J154" s="3" t="s">
        <v>17</v>
      </c>
      <c r="K154" s="3" t="s">
        <v>529</v>
      </c>
    </row>
    <row r="155" spans="1:11" ht="27.6" customHeight="1">
      <c r="A155" s="3" t="s">
        <v>530</v>
      </c>
      <c r="B155" s="3" t="s">
        <v>527</v>
      </c>
      <c r="C155" s="3" t="s">
        <v>488</v>
      </c>
      <c r="D155" s="3" t="s">
        <v>531</v>
      </c>
      <c r="E155" s="3"/>
      <c r="F155" s="3" t="s">
        <v>15</v>
      </c>
      <c r="G155" s="3"/>
      <c r="H155" s="3"/>
      <c r="I155" s="3" t="s">
        <v>16</v>
      </c>
      <c r="J155" s="3" t="s">
        <v>17</v>
      </c>
      <c r="K155" s="3" t="s">
        <v>532</v>
      </c>
    </row>
    <row r="156" spans="1:11" ht="27.6" customHeight="1">
      <c r="A156" s="3" t="s">
        <v>533</v>
      </c>
      <c r="B156" s="3" t="s">
        <v>527</v>
      </c>
      <c r="C156" s="3" t="s">
        <v>488</v>
      </c>
      <c r="D156" s="3" t="s">
        <v>534</v>
      </c>
      <c r="E156" s="3"/>
      <c r="F156" s="3" t="s">
        <v>15</v>
      </c>
      <c r="G156" s="3"/>
      <c r="H156" s="3"/>
      <c r="I156" s="3" t="s">
        <v>16</v>
      </c>
      <c r="J156" s="3" t="s">
        <v>17</v>
      </c>
      <c r="K156" s="3" t="s">
        <v>535</v>
      </c>
    </row>
    <row r="157" spans="1:11" ht="27.6" customHeight="1">
      <c r="A157" s="3" t="s">
        <v>536</v>
      </c>
      <c r="B157" s="3" t="s">
        <v>527</v>
      </c>
      <c r="C157" s="3" t="s">
        <v>488</v>
      </c>
      <c r="D157" s="3" t="s">
        <v>537</v>
      </c>
      <c r="E157" s="3"/>
      <c r="F157" s="3" t="s">
        <v>15</v>
      </c>
      <c r="G157" s="3"/>
      <c r="H157" s="3"/>
      <c r="I157" s="3" t="s">
        <v>16</v>
      </c>
      <c r="J157" s="3" t="s">
        <v>17</v>
      </c>
      <c r="K157" s="3" t="s">
        <v>538</v>
      </c>
    </row>
    <row r="158" spans="1:11" ht="27.6" customHeight="1">
      <c r="A158" s="3" t="s">
        <v>539</v>
      </c>
      <c r="B158" s="3" t="s">
        <v>540</v>
      </c>
      <c r="C158" s="3" t="s">
        <v>488</v>
      </c>
      <c r="D158" s="3" t="s">
        <v>541</v>
      </c>
      <c r="E158" s="3"/>
      <c r="F158" s="3" t="s">
        <v>15</v>
      </c>
      <c r="G158" s="3"/>
      <c r="H158" s="3"/>
      <c r="I158" s="3" t="s">
        <v>16</v>
      </c>
      <c r="J158" s="3" t="s">
        <v>17</v>
      </c>
      <c r="K158" s="3" t="s">
        <v>542</v>
      </c>
    </row>
    <row r="159" spans="1:11" ht="27.6" customHeight="1">
      <c r="A159" s="3" t="s">
        <v>543</v>
      </c>
      <c r="B159" s="3" t="s">
        <v>540</v>
      </c>
      <c r="C159" s="3" t="s">
        <v>488</v>
      </c>
      <c r="D159" s="3" t="s">
        <v>544</v>
      </c>
      <c r="E159" s="3"/>
      <c r="F159" s="3" t="s">
        <v>15</v>
      </c>
      <c r="G159" s="3"/>
      <c r="H159" s="3"/>
      <c r="I159" s="3" t="s">
        <v>16</v>
      </c>
      <c r="J159" s="3" t="s">
        <v>17</v>
      </c>
      <c r="K159" s="3" t="s">
        <v>545</v>
      </c>
    </row>
    <row r="160" spans="1:11" ht="27.6" customHeight="1">
      <c r="A160" s="3" t="s">
        <v>546</v>
      </c>
      <c r="B160" s="3" t="s">
        <v>540</v>
      </c>
      <c r="C160" s="3" t="s">
        <v>488</v>
      </c>
      <c r="D160" s="3" t="s">
        <v>547</v>
      </c>
      <c r="E160" s="3"/>
      <c r="F160" s="3" t="s">
        <v>15</v>
      </c>
      <c r="G160" s="3"/>
      <c r="H160" s="3"/>
      <c r="I160" s="3" t="s">
        <v>16</v>
      </c>
      <c r="J160" s="3" t="s">
        <v>17</v>
      </c>
      <c r="K160" s="3" t="s">
        <v>548</v>
      </c>
    </row>
    <row r="161" spans="1:11" ht="27.6" customHeight="1">
      <c r="A161" s="3" t="s">
        <v>549</v>
      </c>
      <c r="B161" s="3" t="s">
        <v>540</v>
      </c>
      <c r="C161" s="3" t="s">
        <v>488</v>
      </c>
      <c r="D161" s="3" t="s">
        <v>550</v>
      </c>
      <c r="E161" s="3"/>
      <c r="F161" s="3" t="s">
        <v>15</v>
      </c>
      <c r="G161" s="3"/>
      <c r="H161" s="3"/>
      <c r="I161" s="3" t="s">
        <v>16</v>
      </c>
      <c r="J161" s="3" t="s">
        <v>17</v>
      </c>
      <c r="K161" s="3" t="s">
        <v>551</v>
      </c>
    </row>
    <row r="162" spans="1:11" ht="27.6" customHeight="1">
      <c r="A162" s="3" t="s">
        <v>552</v>
      </c>
      <c r="B162" s="3" t="s">
        <v>553</v>
      </c>
      <c r="C162" s="3" t="s">
        <v>488</v>
      </c>
      <c r="D162" s="3" t="s">
        <v>554</v>
      </c>
      <c r="E162" s="3"/>
      <c r="F162" s="3" t="s">
        <v>15</v>
      </c>
      <c r="G162" s="3"/>
      <c r="H162" s="3"/>
      <c r="I162" s="3" t="s">
        <v>16</v>
      </c>
      <c r="J162" s="3" t="s">
        <v>17</v>
      </c>
      <c r="K162" s="3" t="s">
        <v>555</v>
      </c>
    </row>
    <row r="163" spans="1:11" ht="27.6" customHeight="1">
      <c r="A163" s="3" t="s">
        <v>556</v>
      </c>
      <c r="B163" s="3" t="s">
        <v>553</v>
      </c>
      <c r="C163" s="3" t="s">
        <v>488</v>
      </c>
      <c r="D163" s="3" t="s">
        <v>557</v>
      </c>
      <c r="E163" s="3"/>
      <c r="F163" s="3" t="s">
        <v>15</v>
      </c>
      <c r="G163" s="3"/>
      <c r="H163" s="3"/>
      <c r="I163" s="3" t="s">
        <v>16</v>
      </c>
      <c r="J163" s="3" t="s">
        <v>17</v>
      </c>
      <c r="K163" s="3" t="s">
        <v>558</v>
      </c>
    </row>
    <row r="164" spans="1:11" ht="27.6" customHeight="1">
      <c r="A164" s="3" t="s">
        <v>559</v>
      </c>
      <c r="B164" s="3" t="s">
        <v>553</v>
      </c>
      <c r="C164" s="3" t="s">
        <v>488</v>
      </c>
      <c r="D164" s="3" t="s">
        <v>560</v>
      </c>
      <c r="E164" s="3"/>
      <c r="F164" s="3" t="s">
        <v>15</v>
      </c>
      <c r="G164" s="3"/>
      <c r="H164" s="3"/>
      <c r="I164" s="3" t="s">
        <v>16</v>
      </c>
      <c r="J164" s="3" t="s">
        <v>17</v>
      </c>
      <c r="K164" s="3" t="s">
        <v>561</v>
      </c>
    </row>
    <row r="165" spans="1:11" ht="27.6" customHeight="1">
      <c r="A165" s="3" t="s">
        <v>562</v>
      </c>
      <c r="B165" s="3" t="s">
        <v>553</v>
      </c>
      <c r="C165" s="3" t="s">
        <v>488</v>
      </c>
      <c r="D165" s="3" t="s">
        <v>563</v>
      </c>
      <c r="E165" s="3"/>
      <c r="F165" s="3" t="s">
        <v>15</v>
      </c>
      <c r="G165" s="3"/>
      <c r="H165" s="3"/>
      <c r="I165" s="3" t="s">
        <v>16</v>
      </c>
      <c r="J165" s="3" t="s">
        <v>17</v>
      </c>
      <c r="K165" s="3" t="s">
        <v>564</v>
      </c>
    </row>
    <row r="166" spans="1:11" ht="27.6" customHeight="1">
      <c r="A166" s="3" t="s">
        <v>565</v>
      </c>
      <c r="B166" s="3" t="s">
        <v>566</v>
      </c>
      <c r="C166" s="3" t="s">
        <v>488</v>
      </c>
      <c r="D166" s="3" t="s">
        <v>567</v>
      </c>
      <c r="E166" s="3"/>
      <c r="F166" s="3" t="s">
        <v>15</v>
      </c>
      <c r="G166" s="3"/>
      <c r="H166" s="3"/>
      <c r="I166" s="3" t="s">
        <v>16</v>
      </c>
      <c r="J166" s="3" t="s">
        <v>17</v>
      </c>
      <c r="K166" s="3" t="s">
        <v>568</v>
      </c>
    </row>
    <row r="167" spans="1:11" ht="27.6" customHeight="1">
      <c r="A167" s="3" t="s">
        <v>569</v>
      </c>
      <c r="B167" s="3" t="s">
        <v>566</v>
      </c>
      <c r="C167" s="3" t="s">
        <v>488</v>
      </c>
      <c r="D167" s="3" t="s">
        <v>570</v>
      </c>
      <c r="E167" s="3"/>
      <c r="F167" s="3" t="s">
        <v>15</v>
      </c>
      <c r="G167" s="3"/>
      <c r="H167" s="3"/>
      <c r="I167" s="3" t="s">
        <v>16</v>
      </c>
      <c r="J167" s="3" t="s">
        <v>17</v>
      </c>
      <c r="K167" s="3" t="s">
        <v>571</v>
      </c>
    </row>
    <row r="168" spans="1:11" ht="27.6" customHeight="1">
      <c r="A168" s="3" t="s">
        <v>572</v>
      </c>
      <c r="B168" s="3" t="s">
        <v>566</v>
      </c>
      <c r="C168" s="3" t="s">
        <v>488</v>
      </c>
      <c r="D168" s="3" t="s">
        <v>573</v>
      </c>
      <c r="E168" s="3"/>
      <c r="F168" s="3" t="s">
        <v>15</v>
      </c>
      <c r="G168" s="3"/>
      <c r="H168" s="3"/>
      <c r="I168" s="3" t="s">
        <v>16</v>
      </c>
      <c r="J168" s="3" t="s">
        <v>17</v>
      </c>
      <c r="K168" s="3" t="s">
        <v>574</v>
      </c>
    </row>
    <row r="169" spans="1:11" ht="27.6" customHeight="1">
      <c r="A169" s="3" t="s">
        <v>575</v>
      </c>
      <c r="B169" s="3" t="s">
        <v>566</v>
      </c>
      <c r="C169" s="3" t="s">
        <v>488</v>
      </c>
      <c r="D169" s="3" t="s">
        <v>576</v>
      </c>
      <c r="E169" s="3"/>
      <c r="F169" s="3" t="s">
        <v>15</v>
      </c>
      <c r="G169" s="3"/>
      <c r="H169" s="3"/>
      <c r="I169" s="3" t="s">
        <v>16</v>
      </c>
      <c r="J169" s="3" t="s">
        <v>17</v>
      </c>
      <c r="K169" s="3" t="s">
        <v>577</v>
      </c>
    </row>
    <row r="170" spans="1:11" ht="27.6" customHeight="1">
      <c r="A170" s="3" t="s">
        <v>578</v>
      </c>
      <c r="B170" s="3" t="s">
        <v>579</v>
      </c>
      <c r="C170" s="3" t="s">
        <v>488</v>
      </c>
      <c r="D170" s="3" t="s">
        <v>580</v>
      </c>
      <c r="E170" s="3"/>
      <c r="F170" s="3" t="s">
        <v>15</v>
      </c>
      <c r="G170" s="3"/>
      <c r="H170" s="3"/>
      <c r="I170" s="3" t="s">
        <v>16</v>
      </c>
      <c r="J170" s="3" t="s">
        <v>17</v>
      </c>
      <c r="K170" s="3" t="s">
        <v>581</v>
      </c>
    </row>
    <row r="171" spans="1:11" ht="27.6" customHeight="1">
      <c r="A171" s="3" t="s">
        <v>582</v>
      </c>
      <c r="B171" s="3" t="s">
        <v>579</v>
      </c>
      <c r="C171" s="3" t="s">
        <v>488</v>
      </c>
      <c r="D171" s="3" t="s">
        <v>583</v>
      </c>
      <c r="E171" s="3"/>
      <c r="F171" s="3" t="s">
        <v>15</v>
      </c>
      <c r="G171" s="3"/>
      <c r="H171" s="3"/>
      <c r="I171" s="3" t="s">
        <v>16</v>
      </c>
      <c r="J171" s="3" t="s">
        <v>17</v>
      </c>
      <c r="K171" s="3" t="s">
        <v>584</v>
      </c>
    </row>
    <row r="172" spans="1:11" ht="27.6" customHeight="1">
      <c r="A172" s="3" t="s">
        <v>585</v>
      </c>
      <c r="B172" s="3" t="s">
        <v>579</v>
      </c>
      <c r="C172" s="3" t="s">
        <v>488</v>
      </c>
      <c r="D172" s="3" t="s">
        <v>586</v>
      </c>
      <c r="E172" s="3"/>
      <c r="F172" s="3" t="s">
        <v>15</v>
      </c>
      <c r="G172" s="3"/>
      <c r="H172" s="3"/>
      <c r="I172" s="3" t="s">
        <v>16</v>
      </c>
      <c r="J172" s="3" t="s">
        <v>17</v>
      </c>
      <c r="K172" s="3" t="s">
        <v>587</v>
      </c>
    </row>
    <row r="173" spans="1:11" ht="27.6" customHeight="1">
      <c r="A173" s="3" t="s">
        <v>588</v>
      </c>
      <c r="B173" s="3" t="s">
        <v>579</v>
      </c>
      <c r="C173" s="3" t="s">
        <v>488</v>
      </c>
      <c r="D173" s="3" t="s">
        <v>589</v>
      </c>
      <c r="E173" s="3"/>
      <c r="F173" s="3" t="s">
        <v>15</v>
      </c>
      <c r="G173" s="3"/>
      <c r="H173" s="3"/>
      <c r="I173" s="3" t="s">
        <v>16</v>
      </c>
      <c r="J173" s="3" t="s">
        <v>17</v>
      </c>
      <c r="K173" s="3" t="s">
        <v>590</v>
      </c>
    </row>
    <row r="174" spans="1:11" ht="27.6" customHeight="1">
      <c r="A174" s="3" t="s">
        <v>591</v>
      </c>
      <c r="B174" s="3" t="s">
        <v>592</v>
      </c>
      <c r="C174" s="3" t="s">
        <v>488</v>
      </c>
      <c r="D174" s="3" t="s">
        <v>593</v>
      </c>
      <c r="E174" s="3"/>
      <c r="F174" s="3" t="s">
        <v>15</v>
      </c>
      <c r="G174" s="3"/>
      <c r="H174" s="3"/>
      <c r="I174" s="3" t="s">
        <v>16</v>
      </c>
      <c r="J174" s="3" t="s">
        <v>17</v>
      </c>
      <c r="K174" s="3" t="s">
        <v>594</v>
      </c>
    </row>
    <row r="175" spans="1:11" ht="27.6" customHeight="1">
      <c r="A175" s="3" t="s">
        <v>595</v>
      </c>
      <c r="B175" s="3" t="s">
        <v>592</v>
      </c>
      <c r="C175" s="3" t="s">
        <v>488</v>
      </c>
      <c r="D175" s="3" t="s">
        <v>596</v>
      </c>
      <c r="E175" s="3"/>
      <c r="F175" s="3" t="s">
        <v>15</v>
      </c>
      <c r="G175" s="3"/>
      <c r="H175" s="3"/>
      <c r="I175" s="3" t="s">
        <v>16</v>
      </c>
      <c r="J175" s="3" t="s">
        <v>17</v>
      </c>
      <c r="K175" s="3" t="s">
        <v>597</v>
      </c>
    </row>
    <row r="176" spans="1:11" ht="27.6" customHeight="1">
      <c r="A176" s="3" t="s">
        <v>598</v>
      </c>
      <c r="B176" s="3" t="s">
        <v>592</v>
      </c>
      <c r="C176" s="3" t="s">
        <v>488</v>
      </c>
      <c r="D176" s="3" t="s">
        <v>599</v>
      </c>
      <c r="E176" s="3"/>
      <c r="F176" s="3" t="s">
        <v>15</v>
      </c>
      <c r="G176" s="3"/>
      <c r="H176" s="3"/>
      <c r="I176" s="3" t="s">
        <v>16</v>
      </c>
      <c r="J176" s="3" t="s">
        <v>17</v>
      </c>
      <c r="K176" s="3" t="s">
        <v>600</v>
      </c>
    </row>
    <row r="177" spans="1:11" ht="27.6" customHeight="1">
      <c r="A177" s="3" t="s">
        <v>601</v>
      </c>
      <c r="B177" s="3" t="s">
        <v>592</v>
      </c>
      <c r="C177" s="3" t="s">
        <v>488</v>
      </c>
      <c r="D177" s="3" t="s">
        <v>602</v>
      </c>
      <c r="E177" s="3"/>
      <c r="F177" s="3" t="s">
        <v>15</v>
      </c>
      <c r="G177" s="3"/>
      <c r="H177" s="3"/>
      <c r="I177" s="3" t="s">
        <v>16</v>
      </c>
      <c r="J177" s="3" t="s">
        <v>17</v>
      </c>
      <c r="K177" s="3" t="s">
        <v>603</v>
      </c>
    </row>
    <row r="178" spans="1:11" ht="27.6" customHeight="1">
      <c r="A178" s="3" t="s">
        <v>604</v>
      </c>
      <c r="B178" s="3" t="s">
        <v>605</v>
      </c>
      <c r="C178" s="3" t="s">
        <v>488</v>
      </c>
      <c r="D178" s="3" t="s">
        <v>606</v>
      </c>
      <c r="E178" s="3"/>
      <c r="F178" s="3" t="s">
        <v>15</v>
      </c>
      <c r="G178" s="3"/>
      <c r="H178" s="3"/>
      <c r="I178" s="3" t="s">
        <v>16</v>
      </c>
      <c r="J178" s="3" t="s">
        <v>17</v>
      </c>
      <c r="K178" s="3" t="s">
        <v>607</v>
      </c>
    </row>
    <row r="179" spans="1:11" ht="27.6" customHeight="1">
      <c r="A179" s="3" t="s">
        <v>608</v>
      </c>
      <c r="B179" s="3" t="s">
        <v>605</v>
      </c>
      <c r="C179" s="3" t="s">
        <v>488</v>
      </c>
      <c r="D179" s="3" t="s">
        <v>609</v>
      </c>
      <c r="E179" s="3"/>
      <c r="F179" s="3" t="s">
        <v>15</v>
      </c>
      <c r="G179" s="3"/>
      <c r="H179" s="3"/>
      <c r="I179" s="3" t="s">
        <v>16</v>
      </c>
      <c r="J179" s="3" t="s">
        <v>17</v>
      </c>
      <c r="K179" s="3" t="s">
        <v>610</v>
      </c>
    </row>
    <row r="180" spans="1:11" ht="27.6" customHeight="1">
      <c r="A180" s="3" t="s">
        <v>611</v>
      </c>
      <c r="B180" s="3" t="s">
        <v>605</v>
      </c>
      <c r="C180" s="3" t="s">
        <v>488</v>
      </c>
      <c r="D180" s="3" t="s">
        <v>612</v>
      </c>
      <c r="E180" s="3"/>
      <c r="F180" s="3" t="s">
        <v>15</v>
      </c>
      <c r="G180" s="3"/>
      <c r="H180" s="3"/>
      <c r="I180" s="3" t="s">
        <v>16</v>
      </c>
      <c r="J180" s="3" t="s">
        <v>17</v>
      </c>
      <c r="K180" s="3" t="s">
        <v>613</v>
      </c>
    </row>
    <row r="181" spans="1:11" ht="27.6" customHeight="1">
      <c r="A181" s="3" t="s">
        <v>614</v>
      </c>
      <c r="B181" s="3" t="s">
        <v>605</v>
      </c>
      <c r="C181" s="3" t="s">
        <v>488</v>
      </c>
      <c r="D181" s="3" t="s">
        <v>615</v>
      </c>
      <c r="E181" s="3"/>
      <c r="F181" s="3" t="s">
        <v>15</v>
      </c>
      <c r="G181" s="3"/>
      <c r="H181" s="3"/>
      <c r="I181" s="3" t="s">
        <v>16</v>
      </c>
      <c r="J181" s="3" t="s">
        <v>17</v>
      </c>
      <c r="K181" s="3" t="s">
        <v>616</v>
      </c>
    </row>
    <row r="182" spans="1:11" ht="27.6" customHeight="1">
      <c r="A182" s="3" t="s">
        <v>617</v>
      </c>
      <c r="B182" s="3" t="s">
        <v>618</v>
      </c>
      <c r="C182" s="3" t="s">
        <v>619</v>
      </c>
      <c r="D182" s="3" t="s">
        <v>620</v>
      </c>
      <c r="E182" s="3"/>
      <c r="F182" s="3" t="s">
        <v>15</v>
      </c>
      <c r="G182" s="3"/>
      <c r="H182" s="3"/>
      <c r="I182" s="3" t="s">
        <v>16</v>
      </c>
      <c r="J182" s="3" t="s">
        <v>17</v>
      </c>
      <c r="K182" s="3" t="s">
        <v>621</v>
      </c>
    </row>
    <row r="183" spans="1:11" ht="27.6" customHeight="1">
      <c r="A183" s="3" t="s">
        <v>622</v>
      </c>
      <c r="B183" s="3" t="s">
        <v>618</v>
      </c>
      <c r="C183" s="3" t="s">
        <v>619</v>
      </c>
      <c r="D183" s="3" t="s">
        <v>623</v>
      </c>
      <c r="E183" s="3"/>
      <c r="F183" s="3" t="s">
        <v>15</v>
      </c>
      <c r="G183" s="3"/>
      <c r="H183" s="3"/>
      <c r="I183" s="3" t="s">
        <v>16</v>
      </c>
      <c r="J183" s="3" t="s">
        <v>17</v>
      </c>
      <c r="K183" s="3" t="s">
        <v>624</v>
      </c>
    </row>
    <row r="184" spans="1:11" ht="27.6" customHeight="1">
      <c r="A184" s="3" t="s">
        <v>625</v>
      </c>
      <c r="B184" s="3" t="s">
        <v>618</v>
      </c>
      <c r="C184" s="3" t="s">
        <v>619</v>
      </c>
      <c r="D184" s="3" t="s">
        <v>626</v>
      </c>
      <c r="E184" s="3"/>
      <c r="F184" s="3" t="s">
        <v>15</v>
      </c>
      <c r="G184" s="3"/>
      <c r="H184" s="3"/>
      <c r="I184" s="3" t="s">
        <v>16</v>
      </c>
      <c r="J184" s="3" t="s">
        <v>17</v>
      </c>
      <c r="K184" s="3" t="s">
        <v>627</v>
      </c>
    </row>
    <row r="185" spans="1:11" ht="27.6" customHeight="1">
      <c r="A185" s="3" t="s">
        <v>628</v>
      </c>
      <c r="B185" s="3" t="s">
        <v>618</v>
      </c>
      <c r="C185" s="3" t="s">
        <v>619</v>
      </c>
      <c r="D185" s="3" t="s">
        <v>629</v>
      </c>
      <c r="E185" s="3"/>
      <c r="F185" s="3" t="s">
        <v>15</v>
      </c>
      <c r="G185" s="3"/>
      <c r="H185" s="3"/>
      <c r="I185" s="3" t="s">
        <v>16</v>
      </c>
      <c r="J185" s="3" t="s">
        <v>17</v>
      </c>
      <c r="K185" s="3" t="s">
        <v>630</v>
      </c>
    </row>
    <row r="186" spans="1:11" ht="27.6" customHeight="1">
      <c r="A186" s="3" t="s">
        <v>631</v>
      </c>
      <c r="B186" s="3" t="s">
        <v>632</v>
      </c>
      <c r="C186" s="3" t="s">
        <v>619</v>
      </c>
      <c r="D186" s="3" t="s">
        <v>633</v>
      </c>
      <c r="E186" s="3"/>
      <c r="F186" s="3" t="s">
        <v>15</v>
      </c>
      <c r="G186" s="3"/>
      <c r="H186" s="3"/>
      <c r="I186" s="3" t="s">
        <v>16</v>
      </c>
      <c r="J186" s="3" t="s">
        <v>17</v>
      </c>
      <c r="K186" s="3" t="s">
        <v>634</v>
      </c>
    </row>
    <row r="187" spans="1:11" ht="27.6" customHeight="1">
      <c r="A187" s="3" t="s">
        <v>635</v>
      </c>
      <c r="B187" s="3" t="s">
        <v>632</v>
      </c>
      <c r="C187" s="3" t="s">
        <v>619</v>
      </c>
      <c r="D187" s="3" t="s">
        <v>636</v>
      </c>
      <c r="E187" s="3"/>
      <c r="F187" s="3" t="s">
        <v>15</v>
      </c>
      <c r="G187" s="3"/>
      <c r="H187" s="3"/>
      <c r="I187" s="3" t="s">
        <v>16</v>
      </c>
      <c r="J187" s="3" t="s">
        <v>17</v>
      </c>
      <c r="K187" s="3" t="s">
        <v>637</v>
      </c>
    </row>
    <row r="188" spans="1:11" ht="27.6" customHeight="1">
      <c r="A188" s="3" t="s">
        <v>638</v>
      </c>
      <c r="B188" s="3" t="s">
        <v>632</v>
      </c>
      <c r="C188" s="3" t="s">
        <v>619</v>
      </c>
      <c r="D188" s="3" t="s">
        <v>639</v>
      </c>
      <c r="E188" s="3"/>
      <c r="F188" s="3" t="s">
        <v>15</v>
      </c>
      <c r="G188" s="3"/>
      <c r="H188" s="3"/>
      <c r="I188" s="3" t="s">
        <v>16</v>
      </c>
      <c r="J188" s="3" t="s">
        <v>17</v>
      </c>
      <c r="K188" s="3" t="s">
        <v>640</v>
      </c>
    </row>
    <row r="189" spans="1:11" ht="27.6" customHeight="1">
      <c r="A189" s="3" t="s">
        <v>641</v>
      </c>
      <c r="B189" s="3" t="s">
        <v>632</v>
      </c>
      <c r="C189" s="3" t="s">
        <v>619</v>
      </c>
      <c r="D189" s="3" t="s">
        <v>642</v>
      </c>
      <c r="E189" s="3"/>
      <c r="F189" s="3" t="s">
        <v>15</v>
      </c>
      <c r="G189" s="3"/>
      <c r="H189" s="3"/>
      <c r="I189" s="3" t="s">
        <v>16</v>
      </c>
      <c r="J189" s="3" t="s">
        <v>17</v>
      </c>
      <c r="K189" s="3" t="s">
        <v>643</v>
      </c>
    </row>
    <row r="190" spans="1:11" ht="27.6" customHeight="1">
      <c r="A190" s="3" t="s">
        <v>644</v>
      </c>
      <c r="B190" s="3" t="s">
        <v>645</v>
      </c>
      <c r="C190" s="3" t="s">
        <v>619</v>
      </c>
      <c r="D190" s="3" t="s">
        <v>646</v>
      </c>
      <c r="E190" s="3"/>
      <c r="F190" s="3" t="s">
        <v>15</v>
      </c>
      <c r="G190" s="3"/>
      <c r="H190" s="3"/>
      <c r="I190" s="3" t="s">
        <v>16</v>
      </c>
      <c r="J190" s="3" t="s">
        <v>17</v>
      </c>
      <c r="K190" s="3" t="s">
        <v>647</v>
      </c>
    </row>
    <row r="191" spans="1:11" ht="27.6" customHeight="1">
      <c r="A191" s="3" t="s">
        <v>648</v>
      </c>
      <c r="B191" s="3" t="s">
        <v>645</v>
      </c>
      <c r="C191" s="3" t="s">
        <v>619</v>
      </c>
      <c r="D191" s="3" t="s">
        <v>649</v>
      </c>
      <c r="E191" s="3"/>
      <c r="F191" s="3" t="s">
        <v>15</v>
      </c>
      <c r="G191" s="3"/>
      <c r="H191" s="3"/>
      <c r="I191" s="3" t="s">
        <v>16</v>
      </c>
      <c r="J191" s="3" t="s">
        <v>17</v>
      </c>
      <c r="K191" s="3" t="s">
        <v>650</v>
      </c>
    </row>
    <row r="192" spans="1:11" ht="27.6" customHeight="1">
      <c r="A192" s="3" t="s">
        <v>651</v>
      </c>
      <c r="B192" s="3" t="s">
        <v>645</v>
      </c>
      <c r="C192" s="3" t="s">
        <v>619</v>
      </c>
      <c r="D192" s="3" t="s">
        <v>652</v>
      </c>
      <c r="E192" s="3"/>
      <c r="F192" s="3" t="s">
        <v>15</v>
      </c>
      <c r="G192" s="3"/>
      <c r="H192" s="3"/>
      <c r="I192" s="3" t="s">
        <v>16</v>
      </c>
      <c r="J192" s="3" t="s">
        <v>17</v>
      </c>
      <c r="K192" s="3" t="s">
        <v>653</v>
      </c>
    </row>
    <row r="193" spans="1:11" ht="27.6" customHeight="1">
      <c r="A193" s="3" t="s">
        <v>654</v>
      </c>
      <c r="B193" s="3" t="s">
        <v>645</v>
      </c>
      <c r="C193" s="3" t="s">
        <v>619</v>
      </c>
      <c r="D193" s="3" t="s">
        <v>655</v>
      </c>
      <c r="E193" s="3"/>
      <c r="F193" s="3" t="s">
        <v>15</v>
      </c>
      <c r="G193" s="3"/>
      <c r="H193" s="3"/>
      <c r="I193" s="3" t="s">
        <v>16</v>
      </c>
      <c r="J193" s="3" t="s">
        <v>17</v>
      </c>
      <c r="K193" s="3" t="s">
        <v>656</v>
      </c>
    </row>
    <row r="194" spans="1:11" ht="27.6" customHeight="1">
      <c r="A194" s="3" t="s">
        <v>657</v>
      </c>
      <c r="B194" s="3" t="s">
        <v>658</v>
      </c>
      <c r="C194" s="3" t="s">
        <v>619</v>
      </c>
      <c r="D194" s="3" t="s">
        <v>659</v>
      </c>
      <c r="E194" s="3"/>
      <c r="F194" s="3" t="s">
        <v>15</v>
      </c>
      <c r="G194" s="3"/>
      <c r="H194" s="3"/>
      <c r="I194" s="3" t="s">
        <v>16</v>
      </c>
      <c r="J194" s="3" t="s">
        <v>17</v>
      </c>
      <c r="K194" s="3" t="s">
        <v>660</v>
      </c>
    </row>
    <row r="195" spans="1:11" ht="27.6" customHeight="1">
      <c r="A195" s="3" t="s">
        <v>661</v>
      </c>
      <c r="B195" s="3" t="s">
        <v>658</v>
      </c>
      <c r="C195" s="3" t="s">
        <v>619</v>
      </c>
      <c r="D195" s="3" t="s">
        <v>662</v>
      </c>
      <c r="E195" s="3"/>
      <c r="F195" s="3" t="s">
        <v>15</v>
      </c>
      <c r="G195" s="3"/>
      <c r="H195" s="3"/>
      <c r="I195" s="3" t="s">
        <v>16</v>
      </c>
      <c r="J195" s="3" t="s">
        <v>17</v>
      </c>
      <c r="K195" s="3" t="s">
        <v>663</v>
      </c>
    </row>
    <row r="196" spans="1:11" ht="27.6" customHeight="1">
      <c r="A196" s="3" t="s">
        <v>664</v>
      </c>
      <c r="B196" s="3" t="s">
        <v>658</v>
      </c>
      <c r="C196" s="3" t="s">
        <v>619</v>
      </c>
      <c r="D196" s="3" t="s">
        <v>665</v>
      </c>
      <c r="E196" s="3"/>
      <c r="F196" s="3" t="s">
        <v>15</v>
      </c>
      <c r="G196" s="3"/>
      <c r="H196" s="3"/>
      <c r="I196" s="3" t="s">
        <v>16</v>
      </c>
      <c r="J196" s="3" t="s">
        <v>17</v>
      </c>
      <c r="K196" s="3" t="s">
        <v>666</v>
      </c>
    </row>
    <row r="197" spans="1:11" ht="27.6" customHeight="1">
      <c r="A197" s="3" t="s">
        <v>667</v>
      </c>
      <c r="B197" s="3" t="s">
        <v>658</v>
      </c>
      <c r="C197" s="3" t="s">
        <v>619</v>
      </c>
      <c r="D197" s="3" t="s">
        <v>668</v>
      </c>
      <c r="E197" s="3"/>
      <c r="F197" s="3" t="s">
        <v>15</v>
      </c>
      <c r="G197" s="3"/>
      <c r="H197" s="3"/>
      <c r="I197" s="3" t="s">
        <v>16</v>
      </c>
      <c r="J197" s="3" t="s">
        <v>17</v>
      </c>
      <c r="K197" s="3" t="s">
        <v>669</v>
      </c>
    </row>
    <row r="198" spans="1:11" ht="27.6" customHeight="1">
      <c r="A198" s="3" t="s">
        <v>670</v>
      </c>
      <c r="B198" s="3" t="s">
        <v>671</v>
      </c>
      <c r="C198" s="3" t="s">
        <v>619</v>
      </c>
      <c r="D198" s="3" t="s">
        <v>672</v>
      </c>
      <c r="E198" s="3"/>
      <c r="F198" s="3" t="s">
        <v>15</v>
      </c>
      <c r="G198" s="3"/>
      <c r="H198" s="3"/>
      <c r="I198" s="3" t="s">
        <v>16</v>
      </c>
      <c r="J198" s="3" t="s">
        <v>17</v>
      </c>
      <c r="K198" s="3" t="s">
        <v>673</v>
      </c>
    </row>
    <row r="199" spans="1:11" ht="27.6" customHeight="1">
      <c r="A199" s="3" t="s">
        <v>674</v>
      </c>
      <c r="B199" s="3" t="s">
        <v>671</v>
      </c>
      <c r="C199" s="3" t="s">
        <v>619</v>
      </c>
      <c r="D199" s="3" t="s">
        <v>675</v>
      </c>
      <c r="E199" s="3"/>
      <c r="F199" s="3" t="s">
        <v>15</v>
      </c>
      <c r="G199" s="3"/>
      <c r="H199" s="3"/>
      <c r="I199" s="3" t="s">
        <v>16</v>
      </c>
      <c r="J199" s="3" t="s">
        <v>17</v>
      </c>
      <c r="K199" s="3" t="s">
        <v>676</v>
      </c>
    </row>
    <row r="200" spans="1:11" ht="27.6" customHeight="1">
      <c r="A200" s="3" t="s">
        <v>677</v>
      </c>
      <c r="B200" s="3" t="s">
        <v>671</v>
      </c>
      <c r="C200" s="3" t="s">
        <v>619</v>
      </c>
      <c r="D200" s="3" t="s">
        <v>678</v>
      </c>
      <c r="E200" s="3"/>
      <c r="F200" s="3" t="s">
        <v>15</v>
      </c>
      <c r="G200" s="3"/>
      <c r="H200" s="3"/>
      <c r="I200" s="3" t="s">
        <v>16</v>
      </c>
      <c r="J200" s="3" t="s">
        <v>17</v>
      </c>
      <c r="K200" s="3" t="s">
        <v>679</v>
      </c>
    </row>
    <row r="201" spans="1:11" ht="27.6" customHeight="1">
      <c r="A201" s="3" t="s">
        <v>680</v>
      </c>
      <c r="B201" s="3" t="s">
        <v>671</v>
      </c>
      <c r="C201" s="3" t="s">
        <v>619</v>
      </c>
      <c r="D201" s="3" t="s">
        <v>681</v>
      </c>
      <c r="E201" s="3"/>
      <c r="F201" s="3" t="s">
        <v>15</v>
      </c>
      <c r="G201" s="3"/>
      <c r="H201" s="3"/>
      <c r="I201" s="3" t="s">
        <v>16</v>
      </c>
      <c r="J201" s="3" t="s">
        <v>17</v>
      </c>
      <c r="K201" s="3" t="s">
        <v>682</v>
      </c>
    </row>
    <row r="202" spans="1:11" ht="27.6" customHeight="1">
      <c r="A202" s="3" t="s">
        <v>683</v>
      </c>
      <c r="B202" s="3" t="s">
        <v>684</v>
      </c>
      <c r="C202" s="3" t="s">
        <v>685</v>
      </c>
      <c r="D202" s="3" t="s">
        <v>686</v>
      </c>
      <c r="E202" s="3"/>
      <c r="F202" s="3" t="s">
        <v>15</v>
      </c>
      <c r="G202" s="3"/>
      <c r="H202" s="3"/>
      <c r="I202" s="3" t="s">
        <v>16</v>
      </c>
      <c r="J202" s="3" t="s">
        <v>17</v>
      </c>
      <c r="K202" s="3" t="s">
        <v>687</v>
      </c>
    </row>
    <row r="203" spans="1:11" ht="27.6" customHeight="1">
      <c r="A203" s="3" t="s">
        <v>688</v>
      </c>
      <c r="B203" s="3" t="s">
        <v>684</v>
      </c>
      <c r="C203" s="3" t="s">
        <v>685</v>
      </c>
      <c r="D203" s="3" t="s">
        <v>689</v>
      </c>
      <c r="E203" s="3"/>
      <c r="F203" s="3" t="s">
        <v>15</v>
      </c>
      <c r="G203" s="3"/>
      <c r="H203" s="3"/>
      <c r="I203" s="3" t="s">
        <v>16</v>
      </c>
      <c r="J203" s="3" t="s">
        <v>17</v>
      </c>
      <c r="K203" s="3" t="s">
        <v>690</v>
      </c>
    </row>
    <row r="204" spans="1:11" ht="27.6" customHeight="1">
      <c r="A204" s="3" t="s">
        <v>691</v>
      </c>
      <c r="B204" s="3" t="s">
        <v>684</v>
      </c>
      <c r="C204" s="3" t="s">
        <v>685</v>
      </c>
      <c r="D204" s="3" t="s">
        <v>692</v>
      </c>
      <c r="E204" s="3"/>
      <c r="F204" s="3" t="s">
        <v>15</v>
      </c>
      <c r="G204" s="3"/>
      <c r="H204" s="3"/>
      <c r="I204" s="3" t="s">
        <v>16</v>
      </c>
      <c r="J204" s="3" t="s">
        <v>17</v>
      </c>
      <c r="K204" s="3" t="s">
        <v>693</v>
      </c>
    </row>
    <row r="205" spans="1:11" ht="27.6" customHeight="1">
      <c r="A205" s="3" t="s">
        <v>694</v>
      </c>
      <c r="B205" s="3" t="s">
        <v>684</v>
      </c>
      <c r="C205" s="3" t="s">
        <v>685</v>
      </c>
      <c r="D205" s="3" t="s">
        <v>695</v>
      </c>
      <c r="E205" s="3"/>
      <c r="F205" s="3" t="s">
        <v>15</v>
      </c>
      <c r="G205" s="3"/>
      <c r="H205" s="3"/>
      <c r="I205" s="3" t="s">
        <v>16</v>
      </c>
      <c r="J205" s="3" t="s">
        <v>17</v>
      </c>
      <c r="K205" s="3" t="s">
        <v>696</v>
      </c>
    </row>
    <row r="206" spans="1:11" ht="27.6" customHeight="1">
      <c r="A206" s="3" t="s">
        <v>697</v>
      </c>
      <c r="B206" s="3" t="s">
        <v>698</v>
      </c>
      <c r="C206" s="3" t="s">
        <v>685</v>
      </c>
      <c r="D206" s="3" t="s">
        <v>699</v>
      </c>
      <c r="E206" s="3"/>
      <c r="F206" s="3" t="s">
        <v>15</v>
      </c>
      <c r="G206" s="3"/>
      <c r="H206" s="3"/>
      <c r="I206" s="3" t="s">
        <v>16</v>
      </c>
      <c r="J206" s="3" t="s">
        <v>17</v>
      </c>
      <c r="K206" s="3" t="s">
        <v>700</v>
      </c>
    </row>
    <row r="207" spans="1:11" ht="27.6" customHeight="1">
      <c r="A207" s="3" t="s">
        <v>701</v>
      </c>
      <c r="B207" s="3" t="s">
        <v>698</v>
      </c>
      <c r="C207" s="3" t="s">
        <v>685</v>
      </c>
      <c r="D207" s="3" t="s">
        <v>702</v>
      </c>
      <c r="E207" s="3"/>
      <c r="F207" s="3" t="s">
        <v>15</v>
      </c>
      <c r="G207" s="3"/>
      <c r="H207" s="3"/>
      <c r="I207" s="3" t="s">
        <v>16</v>
      </c>
      <c r="J207" s="3" t="s">
        <v>17</v>
      </c>
      <c r="K207" s="3" t="s">
        <v>703</v>
      </c>
    </row>
    <row r="208" spans="1:11" ht="27.6" customHeight="1">
      <c r="A208" s="3" t="s">
        <v>704</v>
      </c>
      <c r="B208" s="3" t="s">
        <v>698</v>
      </c>
      <c r="C208" s="3" t="s">
        <v>685</v>
      </c>
      <c r="D208" s="3" t="s">
        <v>705</v>
      </c>
      <c r="E208" s="3"/>
      <c r="F208" s="3" t="s">
        <v>15</v>
      </c>
      <c r="G208" s="3"/>
      <c r="H208" s="3"/>
      <c r="I208" s="3" t="s">
        <v>16</v>
      </c>
      <c r="J208" s="3" t="s">
        <v>17</v>
      </c>
      <c r="K208" s="3" t="s">
        <v>706</v>
      </c>
    </row>
    <row r="209" spans="1:11" ht="27.6" customHeight="1">
      <c r="A209" s="3" t="s">
        <v>707</v>
      </c>
      <c r="B209" s="3" t="s">
        <v>698</v>
      </c>
      <c r="C209" s="3" t="s">
        <v>685</v>
      </c>
      <c r="D209" s="3" t="s">
        <v>708</v>
      </c>
      <c r="E209" s="3"/>
      <c r="F209" s="3" t="s">
        <v>15</v>
      </c>
      <c r="G209" s="3"/>
      <c r="H209" s="3" t="s">
        <v>709</v>
      </c>
      <c r="I209" s="3" t="s">
        <v>16</v>
      </c>
      <c r="J209" s="3" t="s">
        <v>17</v>
      </c>
      <c r="K209" s="3" t="s">
        <v>710</v>
      </c>
    </row>
    <row r="210" spans="1:11" ht="27.6" customHeight="1">
      <c r="A210" s="3" t="s">
        <v>711</v>
      </c>
      <c r="B210" s="3" t="s">
        <v>712</v>
      </c>
      <c r="C210" s="3" t="s">
        <v>685</v>
      </c>
      <c r="D210" s="3" t="s">
        <v>713</v>
      </c>
      <c r="E210" s="3"/>
      <c r="F210" s="3" t="s">
        <v>15</v>
      </c>
      <c r="G210" s="3"/>
      <c r="H210" s="3"/>
      <c r="I210" s="3" t="s">
        <v>16</v>
      </c>
      <c r="J210" s="3" t="s">
        <v>17</v>
      </c>
      <c r="K210" s="3" t="s">
        <v>714</v>
      </c>
    </row>
    <row r="211" spans="1:11" ht="27.6" customHeight="1">
      <c r="A211" s="3" t="s">
        <v>715</v>
      </c>
      <c r="B211" s="3" t="s">
        <v>712</v>
      </c>
      <c r="C211" s="3" t="s">
        <v>685</v>
      </c>
      <c r="D211" s="3" t="s">
        <v>716</v>
      </c>
      <c r="E211" s="3"/>
      <c r="F211" s="3" t="s">
        <v>15</v>
      </c>
      <c r="G211" s="3"/>
      <c r="H211" s="3"/>
      <c r="I211" s="3" t="s">
        <v>16</v>
      </c>
      <c r="J211" s="3" t="s">
        <v>17</v>
      </c>
      <c r="K211" s="3" t="s">
        <v>717</v>
      </c>
    </row>
    <row r="212" spans="1:11" ht="27.6" customHeight="1">
      <c r="A212" s="3" t="s">
        <v>718</v>
      </c>
      <c r="B212" s="3" t="s">
        <v>712</v>
      </c>
      <c r="C212" s="3" t="s">
        <v>685</v>
      </c>
      <c r="D212" s="3" t="s">
        <v>719</v>
      </c>
      <c r="E212" s="3"/>
      <c r="F212" s="3" t="s">
        <v>15</v>
      </c>
      <c r="G212" s="3"/>
      <c r="H212" s="3"/>
      <c r="I212" s="3" t="s">
        <v>16</v>
      </c>
      <c r="J212" s="3" t="s">
        <v>17</v>
      </c>
      <c r="K212" s="3" t="s">
        <v>720</v>
      </c>
    </row>
    <row r="213" spans="1:11" ht="27.6" customHeight="1">
      <c r="A213" s="3" t="s">
        <v>721</v>
      </c>
      <c r="B213" s="3" t="s">
        <v>712</v>
      </c>
      <c r="C213" s="3" t="s">
        <v>685</v>
      </c>
      <c r="D213" s="3" t="s">
        <v>722</v>
      </c>
      <c r="E213" s="3"/>
      <c r="F213" s="3" t="s">
        <v>15</v>
      </c>
      <c r="G213" s="3"/>
      <c r="H213" s="3" t="s">
        <v>723</v>
      </c>
      <c r="I213" s="3" t="s">
        <v>16</v>
      </c>
      <c r="J213" s="3" t="s">
        <v>17</v>
      </c>
      <c r="K213" s="3" t="s">
        <v>724</v>
      </c>
    </row>
    <row r="214" spans="1:11" ht="27.6" customHeight="1">
      <c r="A214" s="3" t="s">
        <v>725</v>
      </c>
      <c r="B214" s="3" t="s">
        <v>726</v>
      </c>
      <c r="C214" s="3" t="s">
        <v>685</v>
      </c>
      <c r="D214" s="3" t="s">
        <v>727</v>
      </c>
      <c r="E214" s="3"/>
      <c r="F214" s="3" t="s">
        <v>15</v>
      </c>
      <c r="G214" s="3"/>
      <c r="H214" s="3"/>
      <c r="I214" s="3" t="s">
        <v>16</v>
      </c>
      <c r="J214" s="3" t="s">
        <v>17</v>
      </c>
      <c r="K214" s="3" t="s">
        <v>728</v>
      </c>
    </row>
    <row r="215" spans="1:11" ht="27.6" customHeight="1">
      <c r="A215" s="3" t="s">
        <v>729</v>
      </c>
      <c r="B215" s="3" t="s">
        <v>726</v>
      </c>
      <c r="C215" s="3" t="s">
        <v>685</v>
      </c>
      <c r="D215" s="3" t="s">
        <v>730</v>
      </c>
      <c r="E215" s="3"/>
      <c r="F215" s="3" t="s">
        <v>15</v>
      </c>
      <c r="G215" s="3"/>
      <c r="H215" s="3"/>
      <c r="I215" s="3" t="s">
        <v>16</v>
      </c>
      <c r="J215" s="3" t="s">
        <v>17</v>
      </c>
      <c r="K215" s="3" t="s">
        <v>731</v>
      </c>
    </row>
    <row r="216" spans="1:11" ht="27.6" customHeight="1">
      <c r="A216" s="3" t="s">
        <v>732</v>
      </c>
      <c r="B216" s="3" t="s">
        <v>726</v>
      </c>
      <c r="C216" s="3" t="s">
        <v>685</v>
      </c>
      <c r="D216" s="3" t="s">
        <v>733</v>
      </c>
      <c r="E216" s="3"/>
      <c r="F216" s="3" t="s">
        <v>15</v>
      </c>
      <c r="G216" s="3"/>
      <c r="H216" s="3"/>
      <c r="I216" s="3" t="s">
        <v>16</v>
      </c>
      <c r="J216" s="3" t="s">
        <v>17</v>
      </c>
      <c r="K216" s="3" t="s">
        <v>734</v>
      </c>
    </row>
    <row r="217" spans="1:11" ht="27.6" customHeight="1">
      <c r="A217" s="3" t="s">
        <v>735</v>
      </c>
      <c r="B217" s="3" t="s">
        <v>726</v>
      </c>
      <c r="C217" s="3" t="s">
        <v>685</v>
      </c>
      <c r="D217" s="3" t="s">
        <v>736</v>
      </c>
      <c r="E217" s="3"/>
      <c r="F217" s="3" t="s">
        <v>15</v>
      </c>
      <c r="G217" s="3"/>
      <c r="H217" s="3"/>
      <c r="I217" s="3" t="s">
        <v>16</v>
      </c>
      <c r="J217" s="3" t="s">
        <v>17</v>
      </c>
      <c r="K217" s="3" t="s">
        <v>737</v>
      </c>
    </row>
    <row r="218" spans="1:11" ht="27.6" customHeight="1">
      <c r="A218" s="3" t="s">
        <v>738</v>
      </c>
      <c r="B218" s="3" t="s">
        <v>739</v>
      </c>
      <c r="C218" s="3" t="s">
        <v>685</v>
      </c>
      <c r="D218" s="3" t="s">
        <v>740</v>
      </c>
      <c r="E218" s="3"/>
      <c r="F218" s="3" t="s">
        <v>15</v>
      </c>
      <c r="G218" s="3"/>
      <c r="H218" s="3"/>
      <c r="I218" s="3" t="s">
        <v>16</v>
      </c>
      <c r="J218" s="3" t="s">
        <v>17</v>
      </c>
      <c r="K218" s="3" t="s">
        <v>741</v>
      </c>
    </row>
    <row r="219" spans="1:11" ht="27.6" customHeight="1">
      <c r="A219" s="3" t="s">
        <v>742</v>
      </c>
      <c r="B219" s="3" t="s">
        <v>739</v>
      </c>
      <c r="C219" s="3" t="s">
        <v>685</v>
      </c>
      <c r="D219" s="3" t="s">
        <v>743</v>
      </c>
      <c r="E219" s="3"/>
      <c r="F219" s="3" t="s">
        <v>15</v>
      </c>
      <c r="G219" s="3"/>
      <c r="H219" s="3"/>
      <c r="I219" s="3" t="s">
        <v>16</v>
      </c>
      <c r="J219" s="3" t="s">
        <v>17</v>
      </c>
      <c r="K219" s="3" t="s">
        <v>744</v>
      </c>
    </row>
    <row r="220" spans="1:11" ht="27.6" customHeight="1">
      <c r="A220" s="3" t="s">
        <v>745</v>
      </c>
      <c r="B220" s="3" t="s">
        <v>739</v>
      </c>
      <c r="C220" s="3" t="s">
        <v>685</v>
      </c>
      <c r="D220" s="3" t="s">
        <v>746</v>
      </c>
      <c r="E220" s="3"/>
      <c r="F220" s="3" t="s">
        <v>15</v>
      </c>
      <c r="G220" s="3"/>
      <c r="H220" s="3" t="s">
        <v>747</v>
      </c>
      <c r="I220" s="3" t="s">
        <v>16</v>
      </c>
      <c r="J220" s="3" t="s">
        <v>17</v>
      </c>
      <c r="K220" s="3" t="s">
        <v>748</v>
      </c>
    </row>
    <row r="221" spans="1:11" ht="27.6" customHeight="1">
      <c r="A221" s="3" t="s">
        <v>749</v>
      </c>
      <c r="B221" s="3" t="s">
        <v>739</v>
      </c>
      <c r="C221" s="3" t="s">
        <v>685</v>
      </c>
      <c r="D221" s="3" t="s">
        <v>750</v>
      </c>
      <c r="E221" s="3"/>
      <c r="F221" s="3" t="s">
        <v>15</v>
      </c>
      <c r="G221" s="3"/>
      <c r="H221" s="3"/>
      <c r="I221" s="3" t="s">
        <v>16</v>
      </c>
      <c r="J221" s="3" t="s">
        <v>17</v>
      </c>
      <c r="K221" s="3" t="s">
        <v>751</v>
      </c>
    </row>
    <row r="222" spans="1:11" ht="27.6" customHeight="1">
      <c r="A222" s="3" t="s">
        <v>752</v>
      </c>
      <c r="B222" s="3" t="s">
        <v>753</v>
      </c>
      <c r="C222" s="3" t="s">
        <v>754</v>
      </c>
      <c r="D222" s="3" t="s">
        <v>755</v>
      </c>
      <c r="E222" s="3"/>
      <c r="F222" s="3" t="s">
        <v>15</v>
      </c>
      <c r="G222" s="3"/>
      <c r="H222" s="3"/>
      <c r="I222" s="3" t="s">
        <v>16</v>
      </c>
      <c r="J222" s="3" t="s">
        <v>17</v>
      </c>
      <c r="K222" s="3" t="s">
        <v>756</v>
      </c>
    </row>
    <row r="223" spans="1:11" ht="27.6" customHeight="1">
      <c r="A223" s="3" t="s">
        <v>757</v>
      </c>
      <c r="B223" s="3" t="s">
        <v>753</v>
      </c>
      <c r="C223" s="3" t="s">
        <v>754</v>
      </c>
      <c r="D223" s="3" t="s">
        <v>758</v>
      </c>
      <c r="E223" s="3"/>
      <c r="F223" s="3" t="s">
        <v>15</v>
      </c>
      <c r="G223" s="3"/>
      <c r="H223" s="3"/>
      <c r="I223" s="3" t="s">
        <v>16</v>
      </c>
      <c r="J223" s="3" t="s">
        <v>17</v>
      </c>
      <c r="K223" s="3" t="s">
        <v>759</v>
      </c>
    </row>
    <row r="224" spans="1:11" ht="27.6" customHeight="1">
      <c r="A224" s="3" t="s">
        <v>760</v>
      </c>
      <c r="B224" s="3" t="s">
        <v>753</v>
      </c>
      <c r="C224" s="3" t="s">
        <v>754</v>
      </c>
      <c r="D224" s="3" t="s">
        <v>761</v>
      </c>
      <c r="E224" s="3"/>
      <c r="F224" s="3" t="s">
        <v>15</v>
      </c>
      <c r="G224" s="3"/>
      <c r="H224" s="3"/>
      <c r="I224" s="3" t="s">
        <v>16</v>
      </c>
      <c r="J224" s="3" t="s">
        <v>17</v>
      </c>
      <c r="K224" s="3" t="s">
        <v>762</v>
      </c>
    </row>
    <row r="225" spans="1:11" ht="27.6" customHeight="1">
      <c r="A225" s="3" t="s">
        <v>763</v>
      </c>
      <c r="B225" s="3" t="s">
        <v>753</v>
      </c>
      <c r="C225" s="3" t="s">
        <v>754</v>
      </c>
      <c r="D225" s="3" t="s">
        <v>764</v>
      </c>
      <c r="E225" s="3"/>
      <c r="F225" s="3" t="s">
        <v>15</v>
      </c>
      <c r="G225" s="3"/>
      <c r="H225" s="3"/>
      <c r="I225" s="3" t="s">
        <v>16</v>
      </c>
      <c r="J225" s="3" t="s">
        <v>17</v>
      </c>
      <c r="K225" s="3" t="s">
        <v>765</v>
      </c>
    </row>
    <row r="226" spans="1:11" ht="27.6" customHeight="1">
      <c r="A226" s="3" t="s">
        <v>766</v>
      </c>
      <c r="B226" s="3" t="s">
        <v>767</v>
      </c>
      <c r="C226" s="3" t="s">
        <v>754</v>
      </c>
      <c r="D226" s="3" t="s">
        <v>768</v>
      </c>
      <c r="E226" s="3"/>
      <c r="F226" s="3" t="s">
        <v>15</v>
      </c>
      <c r="G226" s="3"/>
      <c r="H226" s="3" t="s">
        <v>769</v>
      </c>
      <c r="I226" s="3" t="s">
        <v>16</v>
      </c>
      <c r="J226" s="3" t="s">
        <v>17</v>
      </c>
      <c r="K226" s="3" t="s">
        <v>770</v>
      </c>
    </row>
    <row r="227" spans="1:11" ht="27.6" customHeight="1">
      <c r="A227" s="3" t="s">
        <v>771</v>
      </c>
      <c r="B227" s="3" t="s">
        <v>767</v>
      </c>
      <c r="C227" s="3" t="s">
        <v>754</v>
      </c>
      <c r="D227" s="3" t="s">
        <v>772</v>
      </c>
      <c r="E227" s="3"/>
      <c r="F227" s="3" t="s">
        <v>15</v>
      </c>
      <c r="G227" s="3"/>
      <c r="H227" s="3"/>
      <c r="I227" s="3" t="s">
        <v>16</v>
      </c>
      <c r="J227" s="3" t="s">
        <v>17</v>
      </c>
      <c r="K227" s="3" t="s">
        <v>773</v>
      </c>
    </row>
    <row r="228" spans="1:11" ht="27.6" customHeight="1">
      <c r="A228" s="3" t="s">
        <v>774</v>
      </c>
      <c r="B228" s="3" t="s">
        <v>767</v>
      </c>
      <c r="C228" s="3" t="s">
        <v>754</v>
      </c>
      <c r="D228" s="3" t="s">
        <v>775</v>
      </c>
      <c r="E228" s="3"/>
      <c r="F228" s="3" t="s">
        <v>15</v>
      </c>
      <c r="G228" s="3"/>
      <c r="H228" s="3"/>
      <c r="I228" s="3" t="s">
        <v>16</v>
      </c>
      <c r="J228" s="3" t="s">
        <v>17</v>
      </c>
      <c r="K228" s="3" t="s">
        <v>776</v>
      </c>
    </row>
    <row r="229" spans="1:11" ht="27.6" customHeight="1">
      <c r="A229" s="3" t="s">
        <v>777</v>
      </c>
      <c r="B229" s="3" t="s">
        <v>767</v>
      </c>
      <c r="C229" s="3" t="s">
        <v>754</v>
      </c>
      <c r="D229" s="3" t="s">
        <v>778</v>
      </c>
      <c r="E229" s="3"/>
      <c r="F229" s="3" t="s">
        <v>15</v>
      </c>
      <c r="G229" s="3"/>
      <c r="H229" s="3"/>
      <c r="I229" s="3" t="s">
        <v>16</v>
      </c>
      <c r="J229" s="3" t="s">
        <v>17</v>
      </c>
      <c r="K229" s="3" t="s">
        <v>779</v>
      </c>
    </row>
    <row r="230" spans="1:11" ht="27.6" customHeight="1">
      <c r="A230" s="3" t="s">
        <v>780</v>
      </c>
      <c r="B230" s="3" t="s">
        <v>781</v>
      </c>
      <c r="C230" s="3" t="s">
        <v>754</v>
      </c>
      <c r="D230" s="3" t="s">
        <v>782</v>
      </c>
      <c r="E230" s="3"/>
      <c r="F230" s="3" t="s">
        <v>15</v>
      </c>
      <c r="G230" s="3"/>
      <c r="H230" s="3" t="s">
        <v>783</v>
      </c>
      <c r="I230" s="3" t="s">
        <v>16</v>
      </c>
      <c r="J230" s="3" t="s">
        <v>17</v>
      </c>
      <c r="K230" s="3" t="s">
        <v>784</v>
      </c>
    </row>
    <row r="231" spans="1:11" ht="27.6" customHeight="1">
      <c r="A231" s="3" t="s">
        <v>785</v>
      </c>
      <c r="B231" s="3" t="s">
        <v>781</v>
      </c>
      <c r="C231" s="3" t="s">
        <v>754</v>
      </c>
      <c r="D231" s="3" t="s">
        <v>786</v>
      </c>
      <c r="E231" s="3"/>
      <c r="F231" s="3" t="s">
        <v>15</v>
      </c>
      <c r="G231" s="3"/>
      <c r="H231" s="3"/>
      <c r="I231" s="3" t="s">
        <v>16</v>
      </c>
      <c r="J231" s="3" t="s">
        <v>17</v>
      </c>
      <c r="K231" s="3" t="s">
        <v>787</v>
      </c>
    </row>
    <row r="232" spans="1:11" ht="27.6" customHeight="1">
      <c r="A232" s="3" t="s">
        <v>788</v>
      </c>
      <c r="B232" s="3" t="s">
        <v>781</v>
      </c>
      <c r="C232" s="3" t="s">
        <v>754</v>
      </c>
      <c r="D232" s="3" t="s">
        <v>789</v>
      </c>
      <c r="E232" s="3"/>
      <c r="F232" s="3" t="s">
        <v>15</v>
      </c>
      <c r="G232" s="3"/>
      <c r="H232" s="3"/>
      <c r="I232" s="3" t="s">
        <v>16</v>
      </c>
      <c r="J232" s="3" t="s">
        <v>17</v>
      </c>
      <c r="K232" s="3" t="s">
        <v>790</v>
      </c>
    </row>
    <row r="233" spans="1:11" ht="27.6" customHeight="1">
      <c r="A233" s="3" t="s">
        <v>791</v>
      </c>
      <c r="B233" s="3" t="s">
        <v>781</v>
      </c>
      <c r="C233" s="3" t="s">
        <v>754</v>
      </c>
      <c r="D233" s="3" t="s">
        <v>792</v>
      </c>
      <c r="E233" s="3"/>
      <c r="F233" s="3" t="s">
        <v>15</v>
      </c>
      <c r="G233" s="3"/>
      <c r="H233" s="3" t="s">
        <v>793</v>
      </c>
      <c r="I233" s="3" t="s">
        <v>16</v>
      </c>
      <c r="J233" s="3" t="s">
        <v>17</v>
      </c>
      <c r="K233" s="3" t="s">
        <v>794</v>
      </c>
    </row>
    <row r="234" spans="1:11" ht="27.6" customHeight="1">
      <c r="A234" s="3" t="s">
        <v>795</v>
      </c>
      <c r="B234" s="3" t="s">
        <v>796</v>
      </c>
      <c r="C234" s="3" t="s">
        <v>754</v>
      </c>
      <c r="D234" s="3" t="s">
        <v>797</v>
      </c>
      <c r="E234" s="3"/>
      <c r="F234" s="3" t="s">
        <v>15</v>
      </c>
      <c r="G234" s="3"/>
      <c r="H234" s="3"/>
      <c r="I234" s="3" t="s">
        <v>16</v>
      </c>
      <c r="J234" s="3" t="s">
        <v>17</v>
      </c>
      <c r="K234" s="3" t="s">
        <v>798</v>
      </c>
    </row>
    <row r="235" spans="1:11" ht="27.6" customHeight="1">
      <c r="A235" s="3" t="s">
        <v>799</v>
      </c>
      <c r="B235" s="3" t="s">
        <v>796</v>
      </c>
      <c r="C235" s="3" t="s">
        <v>754</v>
      </c>
      <c r="D235" s="3" t="s">
        <v>800</v>
      </c>
      <c r="E235" s="3"/>
      <c r="F235" s="3" t="s">
        <v>15</v>
      </c>
      <c r="G235" s="3"/>
      <c r="H235" s="3"/>
      <c r="I235" s="3" t="s">
        <v>16</v>
      </c>
      <c r="J235" s="3" t="s">
        <v>17</v>
      </c>
      <c r="K235" s="3" t="s">
        <v>801</v>
      </c>
    </row>
    <row r="236" spans="1:11" ht="27.6" customHeight="1">
      <c r="A236" s="3" t="s">
        <v>802</v>
      </c>
      <c r="B236" s="3" t="s">
        <v>796</v>
      </c>
      <c r="C236" s="3" t="s">
        <v>754</v>
      </c>
      <c r="D236" s="3" t="s">
        <v>803</v>
      </c>
      <c r="E236" s="3"/>
      <c r="F236" s="3" t="s">
        <v>15</v>
      </c>
      <c r="G236" s="3"/>
      <c r="H236" s="3" t="s">
        <v>793</v>
      </c>
      <c r="I236" s="3" t="s">
        <v>16</v>
      </c>
      <c r="J236" s="3" t="s">
        <v>17</v>
      </c>
      <c r="K236" s="3" t="s">
        <v>804</v>
      </c>
    </row>
    <row r="237" spans="1:11" ht="27.6" customHeight="1">
      <c r="A237" s="3" t="s">
        <v>805</v>
      </c>
      <c r="B237" s="3" t="s">
        <v>796</v>
      </c>
      <c r="C237" s="3" t="s">
        <v>754</v>
      </c>
      <c r="D237" s="3" t="s">
        <v>806</v>
      </c>
      <c r="E237" s="3"/>
      <c r="F237" s="3" t="s">
        <v>15</v>
      </c>
      <c r="G237" s="3"/>
      <c r="H237" s="3"/>
      <c r="I237" s="3" t="s">
        <v>16</v>
      </c>
      <c r="J237" s="3" t="s">
        <v>17</v>
      </c>
      <c r="K237" s="3" t="s">
        <v>807</v>
      </c>
    </row>
    <row r="238" spans="1:11" ht="27.6" customHeight="1">
      <c r="A238" s="3" t="s">
        <v>808</v>
      </c>
      <c r="B238" s="3" t="s">
        <v>809</v>
      </c>
      <c r="C238" s="3" t="s">
        <v>754</v>
      </c>
      <c r="D238" s="3" t="s">
        <v>810</v>
      </c>
      <c r="E238" s="3"/>
      <c r="F238" s="3" t="s">
        <v>15</v>
      </c>
      <c r="G238" s="3"/>
      <c r="H238" s="3"/>
      <c r="I238" s="3" t="s">
        <v>16</v>
      </c>
      <c r="J238" s="3" t="s">
        <v>17</v>
      </c>
      <c r="K238" s="3" t="s">
        <v>811</v>
      </c>
    </row>
    <row r="239" spans="1:11" ht="27.6" customHeight="1">
      <c r="A239" s="3" t="s">
        <v>812</v>
      </c>
      <c r="B239" s="3" t="s">
        <v>809</v>
      </c>
      <c r="C239" s="3" t="s">
        <v>754</v>
      </c>
      <c r="D239" s="3" t="s">
        <v>813</v>
      </c>
      <c r="E239" s="3"/>
      <c r="F239" s="3" t="s">
        <v>15</v>
      </c>
      <c r="G239" s="3"/>
      <c r="H239" s="3"/>
      <c r="I239" s="3" t="s">
        <v>16</v>
      </c>
      <c r="J239" s="3" t="s">
        <v>17</v>
      </c>
      <c r="K239" s="3" t="s">
        <v>814</v>
      </c>
    </row>
    <row r="240" spans="1:11" ht="27.6" customHeight="1">
      <c r="A240" s="3" t="s">
        <v>815</v>
      </c>
      <c r="B240" s="3" t="s">
        <v>809</v>
      </c>
      <c r="C240" s="3" t="s">
        <v>754</v>
      </c>
      <c r="D240" s="3" t="s">
        <v>816</v>
      </c>
      <c r="E240" s="3"/>
      <c r="F240" s="3" t="s">
        <v>15</v>
      </c>
      <c r="G240" s="3"/>
      <c r="H240" s="3"/>
      <c r="I240" s="3" t="s">
        <v>16</v>
      </c>
      <c r="J240" s="3" t="s">
        <v>17</v>
      </c>
      <c r="K240" s="3" t="s">
        <v>817</v>
      </c>
    </row>
    <row r="241" spans="1:11" ht="27.6" customHeight="1">
      <c r="A241" s="3" t="s">
        <v>818</v>
      </c>
      <c r="B241" s="3" t="s">
        <v>809</v>
      </c>
      <c r="C241" s="3" t="s">
        <v>754</v>
      </c>
      <c r="D241" s="3" t="s">
        <v>819</v>
      </c>
      <c r="E241" s="3"/>
      <c r="F241" s="3" t="s">
        <v>15</v>
      </c>
      <c r="G241" s="3"/>
      <c r="H241" s="3"/>
      <c r="I241" s="3" t="s">
        <v>16</v>
      </c>
      <c r="J241" s="3" t="s">
        <v>17</v>
      </c>
      <c r="K241" s="3" t="s">
        <v>820</v>
      </c>
    </row>
    <row r="242" spans="1:11" ht="27.6" customHeight="1">
      <c r="A242" s="3" t="s">
        <v>821</v>
      </c>
      <c r="B242" s="3" t="s">
        <v>822</v>
      </c>
      <c r="C242" s="3" t="s">
        <v>823</v>
      </c>
      <c r="D242" s="3" t="s">
        <v>824</v>
      </c>
      <c r="E242" s="3"/>
      <c r="F242" s="3" t="s">
        <v>15</v>
      </c>
      <c r="G242" s="3"/>
      <c r="H242" s="3"/>
      <c r="I242" s="3" t="s">
        <v>16</v>
      </c>
      <c r="J242" s="3" t="s">
        <v>17</v>
      </c>
      <c r="K242" s="3" t="s">
        <v>825</v>
      </c>
    </row>
    <row r="243" spans="1:11" ht="27.6" customHeight="1">
      <c r="A243" s="3" t="s">
        <v>826</v>
      </c>
      <c r="B243" s="3" t="s">
        <v>822</v>
      </c>
      <c r="C243" s="3" t="s">
        <v>823</v>
      </c>
      <c r="D243" s="3" t="s">
        <v>827</v>
      </c>
      <c r="E243" s="3"/>
      <c r="F243" s="3" t="s">
        <v>15</v>
      </c>
      <c r="G243" s="3"/>
      <c r="H243" s="3"/>
      <c r="I243" s="3" t="s">
        <v>16</v>
      </c>
      <c r="J243" s="3" t="s">
        <v>17</v>
      </c>
      <c r="K243" s="3" t="s">
        <v>828</v>
      </c>
    </row>
    <row r="244" spans="1:11" ht="27.6" customHeight="1">
      <c r="A244" s="3" t="s">
        <v>829</v>
      </c>
      <c r="B244" s="3" t="s">
        <v>822</v>
      </c>
      <c r="C244" s="3" t="s">
        <v>823</v>
      </c>
      <c r="D244" s="3" t="s">
        <v>830</v>
      </c>
      <c r="E244" s="3"/>
      <c r="F244" s="3" t="s">
        <v>15</v>
      </c>
      <c r="G244" s="3"/>
      <c r="H244" s="3"/>
      <c r="I244" s="3" t="s">
        <v>16</v>
      </c>
      <c r="J244" s="3" t="s">
        <v>17</v>
      </c>
      <c r="K244" s="3" t="s">
        <v>831</v>
      </c>
    </row>
    <row r="245" spans="1:11" ht="27.6" customHeight="1">
      <c r="A245" s="3" t="s">
        <v>832</v>
      </c>
      <c r="B245" s="3" t="s">
        <v>822</v>
      </c>
      <c r="C245" s="3" t="s">
        <v>823</v>
      </c>
      <c r="D245" s="3" t="s">
        <v>833</v>
      </c>
      <c r="E245" s="3"/>
      <c r="F245" s="3" t="s">
        <v>15</v>
      </c>
      <c r="G245" s="3"/>
      <c r="H245" s="3"/>
      <c r="I245" s="3" t="s">
        <v>16</v>
      </c>
      <c r="J245" s="3" t="s">
        <v>17</v>
      </c>
      <c r="K245" s="3" t="s">
        <v>834</v>
      </c>
    </row>
    <row r="246" spans="1:11" ht="27.6" customHeight="1">
      <c r="A246" s="3" t="s">
        <v>835</v>
      </c>
      <c r="B246" s="3" t="s">
        <v>836</v>
      </c>
      <c r="C246" s="3" t="s">
        <v>823</v>
      </c>
      <c r="D246" s="3" t="s">
        <v>837</v>
      </c>
      <c r="E246" s="3"/>
      <c r="F246" s="3" t="s">
        <v>15</v>
      </c>
      <c r="G246" s="3"/>
      <c r="H246" s="3"/>
      <c r="I246" s="3" t="s">
        <v>16</v>
      </c>
      <c r="J246" s="3" t="s">
        <v>17</v>
      </c>
      <c r="K246" s="3" t="s">
        <v>838</v>
      </c>
    </row>
    <row r="247" spans="1:11" ht="27.6" customHeight="1">
      <c r="A247" s="3" t="s">
        <v>839</v>
      </c>
      <c r="B247" s="3" t="s">
        <v>836</v>
      </c>
      <c r="C247" s="3" t="s">
        <v>823</v>
      </c>
      <c r="D247" s="3" t="s">
        <v>840</v>
      </c>
      <c r="E247" s="3"/>
      <c r="F247" s="3" t="s">
        <v>15</v>
      </c>
      <c r="G247" s="3"/>
      <c r="H247" s="3"/>
      <c r="I247" s="3" t="s">
        <v>16</v>
      </c>
      <c r="J247" s="3" t="s">
        <v>17</v>
      </c>
      <c r="K247" s="3" t="s">
        <v>841</v>
      </c>
    </row>
    <row r="248" spans="1:11" ht="27.6" customHeight="1">
      <c r="A248" s="3" t="s">
        <v>842</v>
      </c>
      <c r="B248" s="3" t="s">
        <v>836</v>
      </c>
      <c r="C248" s="3" t="s">
        <v>823</v>
      </c>
      <c r="D248" s="3" t="s">
        <v>843</v>
      </c>
      <c r="E248" s="3"/>
      <c r="F248" s="3" t="s">
        <v>15</v>
      </c>
      <c r="G248" s="3"/>
      <c r="H248" s="3"/>
      <c r="I248" s="3" t="s">
        <v>16</v>
      </c>
      <c r="J248" s="3" t="s">
        <v>17</v>
      </c>
      <c r="K248" s="3" t="s">
        <v>844</v>
      </c>
    </row>
    <row r="249" spans="1:11" ht="27.6" customHeight="1">
      <c r="A249" s="3" t="s">
        <v>845</v>
      </c>
      <c r="B249" s="3" t="s">
        <v>836</v>
      </c>
      <c r="C249" s="3" t="s">
        <v>823</v>
      </c>
      <c r="D249" s="3" t="s">
        <v>846</v>
      </c>
      <c r="E249" s="3"/>
      <c r="F249" s="3" t="s">
        <v>15</v>
      </c>
      <c r="G249" s="3"/>
      <c r="H249" s="3"/>
      <c r="I249" s="3" t="s">
        <v>16</v>
      </c>
      <c r="J249" s="3" t="s">
        <v>17</v>
      </c>
      <c r="K249" s="3" t="s">
        <v>847</v>
      </c>
    </row>
    <row r="250" spans="1:11" ht="27.6" customHeight="1">
      <c r="A250" s="3" t="s">
        <v>848</v>
      </c>
      <c r="B250" s="3" t="s">
        <v>849</v>
      </c>
      <c r="C250" s="3" t="s">
        <v>823</v>
      </c>
      <c r="D250" s="3" t="s">
        <v>850</v>
      </c>
      <c r="E250" s="3"/>
      <c r="F250" s="3" t="s">
        <v>15</v>
      </c>
      <c r="G250" s="3"/>
      <c r="H250" s="3"/>
      <c r="I250" s="3" t="s">
        <v>16</v>
      </c>
      <c r="J250" s="3" t="s">
        <v>17</v>
      </c>
      <c r="K250" s="3" t="s">
        <v>851</v>
      </c>
    </row>
    <row r="251" spans="1:11" ht="27.6" customHeight="1">
      <c r="A251" s="3" t="s">
        <v>852</v>
      </c>
      <c r="B251" s="3" t="s">
        <v>849</v>
      </c>
      <c r="C251" s="3" t="s">
        <v>823</v>
      </c>
      <c r="D251" s="3" t="s">
        <v>853</v>
      </c>
      <c r="E251" s="3"/>
      <c r="F251" s="3" t="s">
        <v>15</v>
      </c>
      <c r="G251" s="3"/>
      <c r="H251" s="3"/>
      <c r="I251" s="3" t="s">
        <v>16</v>
      </c>
      <c r="J251" s="3" t="s">
        <v>17</v>
      </c>
      <c r="K251" s="3" t="s">
        <v>854</v>
      </c>
    </row>
    <row r="252" spans="1:11" ht="27.6" customHeight="1">
      <c r="A252" s="3" t="s">
        <v>855</v>
      </c>
      <c r="B252" s="3" t="s">
        <v>849</v>
      </c>
      <c r="C252" s="3" t="s">
        <v>823</v>
      </c>
      <c r="D252" s="3" t="s">
        <v>856</v>
      </c>
      <c r="E252" s="3"/>
      <c r="F252" s="3" t="s">
        <v>15</v>
      </c>
      <c r="G252" s="3"/>
      <c r="H252" s="3"/>
      <c r="I252" s="3" t="s">
        <v>16</v>
      </c>
      <c r="J252" s="3" t="s">
        <v>17</v>
      </c>
      <c r="K252" s="3" t="s">
        <v>857</v>
      </c>
    </row>
    <row r="253" spans="1:11" ht="27.6" customHeight="1">
      <c r="A253" s="3" t="s">
        <v>858</v>
      </c>
      <c r="B253" s="3" t="s">
        <v>849</v>
      </c>
      <c r="C253" s="3" t="s">
        <v>823</v>
      </c>
      <c r="D253" s="3" t="s">
        <v>859</v>
      </c>
      <c r="E253" s="3"/>
      <c r="F253" s="3" t="s">
        <v>15</v>
      </c>
      <c r="G253" s="3"/>
      <c r="H253" s="3"/>
      <c r="I253" s="3" t="s">
        <v>16</v>
      </c>
      <c r="J253" s="3" t="s">
        <v>17</v>
      </c>
      <c r="K253" s="3" t="s">
        <v>860</v>
      </c>
    </row>
    <row r="254" spans="1:11" ht="27.6" customHeight="1">
      <c r="A254" s="3" t="s">
        <v>861</v>
      </c>
      <c r="B254" s="3" t="s">
        <v>862</v>
      </c>
      <c r="C254" s="3" t="s">
        <v>823</v>
      </c>
      <c r="D254" s="3" t="s">
        <v>863</v>
      </c>
      <c r="E254" s="3"/>
      <c r="F254" s="3" t="s">
        <v>15</v>
      </c>
      <c r="G254" s="3"/>
      <c r="H254" s="3"/>
      <c r="I254" s="3" t="s">
        <v>16</v>
      </c>
      <c r="J254" s="3" t="s">
        <v>17</v>
      </c>
      <c r="K254" s="3" t="s">
        <v>864</v>
      </c>
    </row>
    <row r="255" spans="1:11" ht="27.6" customHeight="1">
      <c r="A255" s="3" t="s">
        <v>865</v>
      </c>
      <c r="B255" s="3" t="s">
        <v>862</v>
      </c>
      <c r="C255" s="3" t="s">
        <v>823</v>
      </c>
      <c r="D255" s="3" t="s">
        <v>866</v>
      </c>
      <c r="E255" s="3"/>
      <c r="F255" s="3" t="s">
        <v>15</v>
      </c>
      <c r="G255" s="3"/>
      <c r="H255" s="3" t="s">
        <v>867</v>
      </c>
      <c r="I255" s="3" t="s">
        <v>16</v>
      </c>
      <c r="J255" s="3" t="s">
        <v>17</v>
      </c>
      <c r="K255" s="3" t="s">
        <v>868</v>
      </c>
    </row>
    <row r="256" spans="1:11" ht="27.6" customHeight="1">
      <c r="A256" s="3" t="s">
        <v>869</v>
      </c>
      <c r="B256" s="3" t="s">
        <v>862</v>
      </c>
      <c r="C256" s="3" t="s">
        <v>823</v>
      </c>
      <c r="D256" s="3" t="s">
        <v>870</v>
      </c>
      <c r="E256" s="3"/>
      <c r="F256" s="3" t="s">
        <v>15</v>
      </c>
      <c r="G256" s="3"/>
      <c r="H256" s="3"/>
      <c r="I256" s="3" t="s">
        <v>16</v>
      </c>
      <c r="J256" s="3" t="s">
        <v>17</v>
      </c>
      <c r="K256" s="3" t="s">
        <v>871</v>
      </c>
    </row>
    <row r="257" spans="1:11" ht="27.6" customHeight="1">
      <c r="A257" s="3" t="s">
        <v>872</v>
      </c>
      <c r="B257" s="3" t="s">
        <v>862</v>
      </c>
      <c r="C257" s="3" t="s">
        <v>823</v>
      </c>
      <c r="D257" s="3" t="s">
        <v>873</v>
      </c>
      <c r="E257" s="3"/>
      <c r="F257" s="3" t="s">
        <v>15</v>
      </c>
      <c r="G257" s="3"/>
      <c r="H257" s="3"/>
      <c r="I257" s="3" t="s">
        <v>16</v>
      </c>
      <c r="J257" s="3" t="s">
        <v>17</v>
      </c>
      <c r="K257" s="3" t="s">
        <v>874</v>
      </c>
    </row>
    <row r="258" spans="1:11" ht="27.6" customHeight="1">
      <c r="A258" s="3" t="s">
        <v>875</v>
      </c>
      <c r="B258" s="3" t="s">
        <v>876</v>
      </c>
      <c r="C258" s="3" t="s">
        <v>823</v>
      </c>
      <c r="D258" s="3" t="s">
        <v>877</v>
      </c>
      <c r="E258" s="3"/>
      <c r="F258" s="3" t="s">
        <v>15</v>
      </c>
      <c r="G258" s="3"/>
      <c r="H258" s="3"/>
      <c r="I258" s="3" t="s">
        <v>16</v>
      </c>
      <c r="J258" s="3" t="s">
        <v>17</v>
      </c>
      <c r="K258" s="3" t="s">
        <v>878</v>
      </c>
    </row>
    <row r="259" spans="1:11" ht="27.6" customHeight="1">
      <c r="A259" s="3" t="s">
        <v>879</v>
      </c>
      <c r="B259" s="3" t="s">
        <v>876</v>
      </c>
      <c r="C259" s="3" t="s">
        <v>823</v>
      </c>
      <c r="D259" s="3" t="s">
        <v>880</v>
      </c>
      <c r="E259" s="3"/>
      <c r="F259" s="3" t="s">
        <v>15</v>
      </c>
      <c r="G259" s="3"/>
      <c r="H259" s="3"/>
      <c r="I259" s="3" t="s">
        <v>16</v>
      </c>
      <c r="J259" s="3" t="s">
        <v>17</v>
      </c>
      <c r="K259" s="3" t="s">
        <v>881</v>
      </c>
    </row>
    <row r="260" spans="1:11" ht="27.6" customHeight="1">
      <c r="A260" s="3" t="s">
        <v>882</v>
      </c>
      <c r="B260" s="3" t="s">
        <v>876</v>
      </c>
      <c r="C260" s="3" t="s">
        <v>823</v>
      </c>
      <c r="D260" s="3" t="s">
        <v>883</v>
      </c>
      <c r="E260" s="3"/>
      <c r="F260" s="3" t="s">
        <v>15</v>
      </c>
      <c r="G260" s="3"/>
      <c r="H260" s="3" t="s">
        <v>884</v>
      </c>
      <c r="I260" s="3" t="s">
        <v>16</v>
      </c>
      <c r="J260" s="3" t="s">
        <v>17</v>
      </c>
      <c r="K260" s="3" t="s">
        <v>885</v>
      </c>
    </row>
    <row r="261" spans="1:11" ht="27.6" customHeight="1">
      <c r="A261" s="3" t="s">
        <v>886</v>
      </c>
      <c r="B261" s="3" t="s">
        <v>876</v>
      </c>
      <c r="C261" s="3" t="s">
        <v>823</v>
      </c>
      <c r="D261" s="3" t="s">
        <v>887</v>
      </c>
      <c r="E261" s="3"/>
      <c r="F261" s="3" t="s">
        <v>15</v>
      </c>
      <c r="G261" s="3"/>
      <c r="H261" s="3"/>
      <c r="I261" s="3" t="s">
        <v>16</v>
      </c>
      <c r="J261" s="3" t="s">
        <v>17</v>
      </c>
      <c r="K261" s="3" t="s">
        <v>888</v>
      </c>
    </row>
    <row r="262" spans="1:11" ht="27.6" customHeight="1">
      <c r="A262" s="3" t="s">
        <v>889</v>
      </c>
      <c r="B262" s="3" t="s">
        <v>890</v>
      </c>
      <c r="C262" s="3" t="s">
        <v>891</v>
      </c>
      <c r="D262" s="3" t="s">
        <v>892</v>
      </c>
      <c r="E262" s="3"/>
      <c r="F262" s="3" t="s">
        <v>15</v>
      </c>
      <c r="G262" s="3"/>
      <c r="H262" s="3"/>
      <c r="I262" s="3" t="s">
        <v>16</v>
      </c>
      <c r="J262" s="3" t="s">
        <v>17</v>
      </c>
      <c r="K262" s="3" t="s">
        <v>893</v>
      </c>
    </row>
    <row r="263" spans="1:11" ht="27.6" customHeight="1">
      <c r="A263" s="3" t="s">
        <v>894</v>
      </c>
      <c r="B263" s="3" t="s">
        <v>890</v>
      </c>
      <c r="C263" s="3" t="s">
        <v>891</v>
      </c>
      <c r="D263" s="3" t="s">
        <v>895</v>
      </c>
      <c r="E263" s="3"/>
      <c r="F263" s="3" t="s">
        <v>15</v>
      </c>
      <c r="G263" s="3"/>
      <c r="H263" s="3"/>
      <c r="I263" s="3" t="s">
        <v>16</v>
      </c>
      <c r="J263" s="3" t="s">
        <v>17</v>
      </c>
      <c r="K263" s="3" t="s">
        <v>896</v>
      </c>
    </row>
    <row r="264" spans="1:11" ht="27.6" customHeight="1">
      <c r="A264" s="3" t="s">
        <v>897</v>
      </c>
      <c r="B264" s="3" t="s">
        <v>890</v>
      </c>
      <c r="C264" s="3" t="s">
        <v>891</v>
      </c>
      <c r="D264" s="3" t="s">
        <v>898</v>
      </c>
      <c r="E264" s="3"/>
      <c r="F264" s="3" t="s">
        <v>15</v>
      </c>
      <c r="G264" s="3"/>
      <c r="H264" s="3"/>
      <c r="I264" s="3" t="s">
        <v>16</v>
      </c>
      <c r="J264" s="3" t="s">
        <v>17</v>
      </c>
      <c r="K264" s="3" t="s">
        <v>899</v>
      </c>
    </row>
    <row r="265" spans="1:11" ht="27.6" customHeight="1">
      <c r="A265" s="3" t="s">
        <v>900</v>
      </c>
      <c r="B265" s="3" t="s">
        <v>890</v>
      </c>
      <c r="C265" s="3" t="s">
        <v>891</v>
      </c>
      <c r="D265" s="3" t="s">
        <v>901</v>
      </c>
      <c r="E265" s="3"/>
      <c r="F265" s="3" t="s">
        <v>15</v>
      </c>
      <c r="G265" s="3"/>
      <c r="H265" s="3"/>
      <c r="I265" s="3" t="s">
        <v>16</v>
      </c>
      <c r="J265" s="3" t="s">
        <v>17</v>
      </c>
      <c r="K265" s="3" t="s">
        <v>902</v>
      </c>
    </row>
    <row r="266" spans="1:11" ht="27.6" customHeight="1">
      <c r="A266" s="3" t="s">
        <v>903</v>
      </c>
      <c r="B266" s="3" t="s">
        <v>904</v>
      </c>
      <c r="C266" s="3" t="s">
        <v>891</v>
      </c>
      <c r="D266" s="3" t="s">
        <v>905</v>
      </c>
      <c r="E266" s="3"/>
      <c r="F266" s="3" t="s">
        <v>15</v>
      </c>
      <c r="G266" s="3"/>
      <c r="H266" s="3"/>
      <c r="I266" s="3" t="s">
        <v>16</v>
      </c>
      <c r="J266" s="3" t="s">
        <v>17</v>
      </c>
      <c r="K266" s="3" t="s">
        <v>906</v>
      </c>
    </row>
    <row r="267" spans="1:11" ht="27.6" customHeight="1">
      <c r="A267" s="3" t="s">
        <v>907</v>
      </c>
      <c r="B267" s="3" t="s">
        <v>904</v>
      </c>
      <c r="C267" s="3" t="s">
        <v>891</v>
      </c>
      <c r="D267" s="3" t="s">
        <v>908</v>
      </c>
      <c r="E267" s="3"/>
      <c r="F267" s="3" t="s">
        <v>15</v>
      </c>
      <c r="G267" s="3"/>
      <c r="H267" s="3" t="s">
        <v>909</v>
      </c>
      <c r="I267" s="3" t="s">
        <v>16</v>
      </c>
      <c r="J267" s="3" t="s">
        <v>17</v>
      </c>
      <c r="K267" s="3" t="s">
        <v>910</v>
      </c>
    </row>
    <row r="268" spans="1:11" ht="27.6" customHeight="1">
      <c r="A268" s="3" t="s">
        <v>911</v>
      </c>
      <c r="B268" s="3" t="s">
        <v>904</v>
      </c>
      <c r="C268" s="3" t="s">
        <v>891</v>
      </c>
      <c r="D268" s="3" t="s">
        <v>912</v>
      </c>
      <c r="E268" s="3"/>
      <c r="F268" s="3" t="s">
        <v>15</v>
      </c>
      <c r="G268" s="3"/>
      <c r="H268" s="3"/>
      <c r="I268" s="3" t="s">
        <v>16</v>
      </c>
      <c r="J268" s="3" t="s">
        <v>17</v>
      </c>
      <c r="K268" s="3" t="s">
        <v>913</v>
      </c>
    </row>
    <row r="269" spans="1:11" ht="27.6" customHeight="1">
      <c r="A269" s="3" t="s">
        <v>914</v>
      </c>
      <c r="B269" s="3" t="s">
        <v>904</v>
      </c>
      <c r="C269" s="3" t="s">
        <v>891</v>
      </c>
      <c r="D269" s="3" t="s">
        <v>915</v>
      </c>
      <c r="E269" s="3"/>
      <c r="F269" s="3" t="s">
        <v>15</v>
      </c>
      <c r="G269" s="3"/>
      <c r="H269" s="3"/>
      <c r="I269" s="3" t="s">
        <v>16</v>
      </c>
      <c r="J269" s="3" t="s">
        <v>17</v>
      </c>
      <c r="K269" s="3" t="s">
        <v>916</v>
      </c>
    </row>
    <row r="270" spans="1:11" ht="27.6" customHeight="1">
      <c r="A270" s="3" t="s">
        <v>917</v>
      </c>
      <c r="B270" s="3" t="s">
        <v>918</v>
      </c>
      <c r="C270" s="3" t="s">
        <v>891</v>
      </c>
      <c r="D270" s="3" t="s">
        <v>919</v>
      </c>
      <c r="E270" s="3"/>
      <c r="F270" s="3" t="s">
        <v>15</v>
      </c>
      <c r="G270" s="3"/>
      <c r="H270" s="3"/>
      <c r="I270" s="3" t="s">
        <v>16</v>
      </c>
      <c r="J270" s="3" t="s">
        <v>17</v>
      </c>
      <c r="K270" s="3" t="s">
        <v>920</v>
      </c>
    </row>
    <row r="271" spans="1:11" ht="27.6" customHeight="1">
      <c r="A271" s="3" t="s">
        <v>921</v>
      </c>
      <c r="B271" s="3" t="s">
        <v>918</v>
      </c>
      <c r="C271" s="3" t="s">
        <v>891</v>
      </c>
      <c r="D271" s="3" t="s">
        <v>922</v>
      </c>
      <c r="E271" s="3"/>
      <c r="F271" s="3" t="s">
        <v>15</v>
      </c>
      <c r="G271" s="3"/>
      <c r="H271" s="3"/>
      <c r="I271" s="3" t="s">
        <v>16</v>
      </c>
      <c r="J271" s="3" t="s">
        <v>17</v>
      </c>
      <c r="K271" s="3" t="s">
        <v>923</v>
      </c>
    </row>
    <row r="272" spans="1:11" ht="27.6" customHeight="1">
      <c r="A272" s="3" t="s">
        <v>924</v>
      </c>
      <c r="B272" s="3" t="s">
        <v>918</v>
      </c>
      <c r="C272" s="3" t="s">
        <v>891</v>
      </c>
      <c r="D272" s="3" t="s">
        <v>925</v>
      </c>
      <c r="E272" s="3"/>
      <c r="F272" s="3" t="s">
        <v>15</v>
      </c>
      <c r="G272" s="3"/>
      <c r="H272" s="3"/>
      <c r="I272" s="3" t="s">
        <v>16</v>
      </c>
      <c r="J272" s="3" t="s">
        <v>17</v>
      </c>
      <c r="K272" s="3" t="s">
        <v>926</v>
      </c>
    </row>
    <row r="273" spans="1:11" ht="27.6" customHeight="1">
      <c r="A273" s="3" t="s">
        <v>927</v>
      </c>
      <c r="B273" s="3" t="s">
        <v>918</v>
      </c>
      <c r="C273" s="3" t="s">
        <v>891</v>
      </c>
      <c r="D273" s="3" t="s">
        <v>928</v>
      </c>
      <c r="E273" s="3"/>
      <c r="F273" s="3" t="s">
        <v>15</v>
      </c>
      <c r="G273" s="3"/>
      <c r="H273" s="3"/>
      <c r="I273" s="3" t="s">
        <v>16</v>
      </c>
      <c r="J273" s="3" t="s">
        <v>17</v>
      </c>
      <c r="K273" s="3" t="s">
        <v>929</v>
      </c>
    </row>
    <row r="274" spans="1:11" ht="27.6" customHeight="1">
      <c r="A274" s="3" t="s">
        <v>930</v>
      </c>
      <c r="B274" s="3" t="s">
        <v>931</v>
      </c>
      <c r="C274" s="3" t="s">
        <v>891</v>
      </c>
      <c r="D274" s="3" t="s">
        <v>932</v>
      </c>
      <c r="E274" s="3"/>
      <c r="F274" s="3" t="s">
        <v>15</v>
      </c>
      <c r="G274" s="3"/>
      <c r="H274" s="3"/>
      <c r="I274" s="3" t="s">
        <v>16</v>
      </c>
      <c r="J274" s="3" t="s">
        <v>17</v>
      </c>
      <c r="K274" s="3" t="s">
        <v>933</v>
      </c>
    </row>
    <row r="275" spans="1:11" ht="27.6" customHeight="1">
      <c r="A275" s="3" t="s">
        <v>934</v>
      </c>
      <c r="B275" s="3" t="s">
        <v>931</v>
      </c>
      <c r="C275" s="3" t="s">
        <v>891</v>
      </c>
      <c r="D275" s="3" t="s">
        <v>935</v>
      </c>
      <c r="E275" s="3"/>
      <c r="F275" s="3" t="s">
        <v>15</v>
      </c>
      <c r="G275" s="3"/>
      <c r="H275" s="3"/>
      <c r="I275" s="3" t="s">
        <v>16</v>
      </c>
      <c r="J275" s="3" t="s">
        <v>17</v>
      </c>
      <c r="K275" s="3" t="s">
        <v>936</v>
      </c>
    </row>
    <row r="276" spans="1:11" ht="27.6" customHeight="1">
      <c r="A276" s="3" t="s">
        <v>937</v>
      </c>
      <c r="B276" s="3" t="s">
        <v>931</v>
      </c>
      <c r="C276" s="3" t="s">
        <v>891</v>
      </c>
      <c r="D276" s="3" t="s">
        <v>938</v>
      </c>
      <c r="E276" s="3"/>
      <c r="F276" s="3" t="s">
        <v>15</v>
      </c>
      <c r="G276" s="3"/>
      <c r="H276" s="3"/>
      <c r="I276" s="3" t="s">
        <v>16</v>
      </c>
      <c r="J276" s="3" t="s">
        <v>17</v>
      </c>
      <c r="K276" s="3" t="s">
        <v>939</v>
      </c>
    </row>
    <row r="277" spans="1:11" ht="27.6" customHeight="1">
      <c r="A277" s="3" t="s">
        <v>940</v>
      </c>
      <c r="B277" s="3" t="s">
        <v>931</v>
      </c>
      <c r="C277" s="3" t="s">
        <v>891</v>
      </c>
      <c r="D277" s="3" t="s">
        <v>941</v>
      </c>
      <c r="E277" s="3"/>
      <c r="F277" s="3" t="s">
        <v>15</v>
      </c>
      <c r="G277" s="3"/>
      <c r="H277" s="3"/>
      <c r="I277" s="3" t="s">
        <v>16</v>
      </c>
      <c r="J277" s="3" t="s">
        <v>17</v>
      </c>
      <c r="K277" s="3" t="s">
        <v>942</v>
      </c>
    </row>
    <row r="278" spans="1:11" ht="27.6" customHeight="1">
      <c r="A278" s="3" t="s">
        <v>943</v>
      </c>
      <c r="B278" s="3" t="s">
        <v>944</v>
      </c>
      <c r="C278" s="3" t="s">
        <v>945</v>
      </c>
      <c r="D278" s="3" t="s">
        <v>946</v>
      </c>
      <c r="E278" s="3"/>
      <c r="F278" s="3" t="s">
        <v>15</v>
      </c>
      <c r="G278" s="3"/>
      <c r="H278" s="3"/>
      <c r="I278" s="3" t="s">
        <v>16</v>
      </c>
      <c r="J278" s="3" t="s">
        <v>17</v>
      </c>
      <c r="K278" s="3" t="s">
        <v>947</v>
      </c>
    </row>
    <row r="279" spans="1:11" ht="27.6" customHeight="1">
      <c r="A279" s="3" t="s">
        <v>948</v>
      </c>
      <c r="B279" s="3" t="s">
        <v>944</v>
      </c>
      <c r="C279" s="3" t="s">
        <v>945</v>
      </c>
      <c r="D279" s="3" t="s">
        <v>949</v>
      </c>
      <c r="E279" s="3"/>
      <c r="F279" s="3" t="s">
        <v>15</v>
      </c>
      <c r="G279" s="3"/>
      <c r="H279" s="3"/>
      <c r="I279" s="3" t="s">
        <v>16</v>
      </c>
      <c r="J279" s="3" t="s">
        <v>17</v>
      </c>
      <c r="K279" s="3" t="s">
        <v>950</v>
      </c>
    </row>
    <row r="280" spans="1:11" ht="27.6" customHeight="1">
      <c r="A280" s="3" t="s">
        <v>951</v>
      </c>
      <c r="B280" s="3" t="s">
        <v>944</v>
      </c>
      <c r="C280" s="3" t="s">
        <v>945</v>
      </c>
      <c r="D280" s="3" t="s">
        <v>952</v>
      </c>
      <c r="E280" s="3"/>
      <c r="F280" s="3" t="s">
        <v>15</v>
      </c>
      <c r="G280" s="3"/>
      <c r="H280" s="3"/>
      <c r="I280" s="3" t="s">
        <v>16</v>
      </c>
      <c r="J280" s="3" t="s">
        <v>17</v>
      </c>
      <c r="K280" s="3" t="s">
        <v>953</v>
      </c>
    </row>
    <row r="281" spans="1:11" ht="27.6" customHeight="1">
      <c r="A281" s="3" t="s">
        <v>954</v>
      </c>
      <c r="B281" s="3" t="s">
        <v>944</v>
      </c>
      <c r="C281" s="3" t="s">
        <v>945</v>
      </c>
      <c r="D281" s="3" t="s">
        <v>955</v>
      </c>
      <c r="E281" s="3"/>
      <c r="F281" s="3" t="s">
        <v>15</v>
      </c>
      <c r="G281" s="3"/>
      <c r="H281" s="3"/>
      <c r="I281" s="3" t="s">
        <v>16</v>
      </c>
      <c r="J281" s="3" t="s">
        <v>17</v>
      </c>
      <c r="K281" s="3" t="s">
        <v>956</v>
      </c>
    </row>
    <row r="282" spans="1:11" ht="27.6" customHeight="1">
      <c r="A282" s="3" t="s">
        <v>957</v>
      </c>
      <c r="B282" s="3" t="s">
        <v>958</v>
      </c>
      <c r="C282" s="3" t="s">
        <v>945</v>
      </c>
      <c r="D282" s="3" t="s">
        <v>959</v>
      </c>
      <c r="E282" s="3"/>
      <c r="F282" s="3" t="s">
        <v>15</v>
      </c>
      <c r="G282" s="3"/>
      <c r="H282" s="3"/>
      <c r="I282" s="3" t="s">
        <v>16</v>
      </c>
      <c r="J282" s="3" t="s">
        <v>17</v>
      </c>
      <c r="K282" s="3" t="s">
        <v>960</v>
      </c>
    </row>
    <row r="283" spans="1:11" ht="27.6" customHeight="1">
      <c r="A283" s="3" t="s">
        <v>961</v>
      </c>
      <c r="B283" s="3" t="s">
        <v>958</v>
      </c>
      <c r="C283" s="3" t="s">
        <v>945</v>
      </c>
      <c r="D283" s="3" t="s">
        <v>962</v>
      </c>
      <c r="E283" s="3"/>
      <c r="F283" s="3" t="s">
        <v>15</v>
      </c>
      <c r="G283" s="3"/>
      <c r="H283" s="3"/>
      <c r="I283" s="3" t="s">
        <v>16</v>
      </c>
      <c r="J283" s="3" t="s">
        <v>17</v>
      </c>
      <c r="K283" s="3" t="s">
        <v>963</v>
      </c>
    </row>
    <row r="284" spans="1:11" ht="27.6" customHeight="1">
      <c r="A284" s="3" t="s">
        <v>964</v>
      </c>
      <c r="B284" s="3" t="s">
        <v>958</v>
      </c>
      <c r="C284" s="3" t="s">
        <v>945</v>
      </c>
      <c r="D284" s="3" t="s">
        <v>965</v>
      </c>
      <c r="E284" s="3"/>
      <c r="F284" s="3" t="s">
        <v>15</v>
      </c>
      <c r="G284" s="3"/>
      <c r="H284" s="3"/>
      <c r="I284" s="3" t="s">
        <v>16</v>
      </c>
      <c r="J284" s="3" t="s">
        <v>17</v>
      </c>
      <c r="K284" s="3" t="s">
        <v>966</v>
      </c>
    </row>
    <row r="285" spans="1:11" ht="27.6" customHeight="1">
      <c r="A285" s="3" t="s">
        <v>967</v>
      </c>
      <c r="B285" s="3" t="s">
        <v>958</v>
      </c>
      <c r="C285" s="3" t="s">
        <v>945</v>
      </c>
      <c r="D285" s="3" t="s">
        <v>968</v>
      </c>
      <c r="E285" s="3"/>
      <c r="F285" s="3" t="s">
        <v>15</v>
      </c>
      <c r="G285" s="3"/>
      <c r="H285" s="3"/>
      <c r="I285" s="3" t="s">
        <v>16</v>
      </c>
      <c r="J285" s="3" t="s">
        <v>17</v>
      </c>
      <c r="K285" s="3" t="s">
        <v>969</v>
      </c>
    </row>
    <row r="286" spans="1:11" ht="27.6" customHeight="1">
      <c r="A286" s="3" t="s">
        <v>970</v>
      </c>
      <c r="B286" s="3" t="s">
        <v>971</v>
      </c>
      <c r="C286" s="3" t="s">
        <v>945</v>
      </c>
      <c r="D286" s="3" t="s">
        <v>972</v>
      </c>
      <c r="E286" s="3"/>
      <c r="F286" s="3" t="s">
        <v>15</v>
      </c>
      <c r="G286" s="3"/>
      <c r="H286" s="3"/>
      <c r="I286" s="3" t="s">
        <v>16</v>
      </c>
      <c r="J286" s="3" t="s">
        <v>17</v>
      </c>
      <c r="K286" s="3" t="s">
        <v>973</v>
      </c>
    </row>
    <row r="287" spans="1:11" ht="27.6" customHeight="1">
      <c r="A287" s="3" t="s">
        <v>974</v>
      </c>
      <c r="B287" s="3" t="s">
        <v>971</v>
      </c>
      <c r="C287" s="3" t="s">
        <v>945</v>
      </c>
      <c r="D287" s="3" t="s">
        <v>975</v>
      </c>
      <c r="E287" s="3"/>
      <c r="F287" s="3" t="s">
        <v>15</v>
      </c>
      <c r="G287" s="3"/>
      <c r="H287" s="3"/>
      <c r="I287" s="3" t="s">
        <v>16</v>
      </c>
      <c r="J287" s="3" t="s">
        <v>17</v>
      </c>
      <c r="K287" s="3" t="s">
        <v>976</v>
      </c>
    </row>
    <row r="288" spans="1:11" ht="27.6" customHeight="1">
      <c r="A288" s="3" t="s">
        <v>977</v>
      </c>
      <c r="B288" s="3" t="s">
        <v>971</v>
      </c>
      <c r="C288" s="3" t="s">
        <v>945</v>
      </c>
      <c r="D288" s="3" t="s">
        <v>978</v>
      </c>
      <c r="E288" s="3"/>
      <c r="F288" s="3" t="s">
        <v>15</v>
      </c>
      <c r="G288" s="3"/>
      <c r="H288" s="3"/>
      <c r="I288" s="3" t="s">
        <v>16</v>
      </c>
      <c r="J288" s="3" t="s">
        <v>17</v>
      </c>
      <c r="K288" s="3" t="s">
        <v>979</v>
      </c>
    </row>
    <row r="289" spans="1:11" ht="27.6" customHeight="1">
      <c r="A289" s="3" t="s">
        <v>980</v>
      </c>
      <c r="B289" s="3" t="s">
        <v>971</v>
      </c>
      <c r="C289" s="3" t="s">
        <v>945</v>
      </c>
      <c r="D289" s="3" t="s">
        <v>981</v>
      </c>
      <c r="E289" s="3"/>
      <c r="F289" s="3" t="s">
        <v>15</v>
      </c>
      <c r="G289" s="3"/>
      <c r="H289" s="3"/>
      <c r="I289" s="3" t="s">
        <v>16</v>
      </c>
      <c r="J289" s="3" t="s">
        <v>17</v>
      </c>
      <c r="K289" s="3" t="s">
        <v>982</v>
      </c>
    </row>
    <row r="290" spans="1:11" ht="27.6" customHeight="1">
      <c r="A290" s="3" t="s">
        <v>983</v>
      </c>
      <c r="B290" s="3" t="s">
        <v>984</v>
      </c>
      <c r="C290" s="3" t="s">
        <v>945</v>
      </c>
      <c r="D290" s="3" t="s">
        <v>985</v>
      </c>
      <c r="E290" s="3"/>
      <c r="F290" s="3" t="s">
        <v>15</v>
      </c>
      <c r="G290" s="3"/>
      <c r="H290" s="3"/>
      <c r="I290" s="3" t="s">
        <v>16</v>
      </c>
      <c r="J290" s="3" t="s">
        <v>17</v>
      </c>
      <c r="K290" s="3" t="s">
        <v>986</v>
      </c>
    </row>
    <row r="291" spans="1:11" ht="27.6" customHeight="1">
      <c r="A291" s="3" t="s">
        <v>987</v>
      </c>
      <c r="B291" s="3" t="s">
        <v>984</v>
      </c>
      <c r="C291" s="3" t="s">
        <v>945</v>
      </c>
      <c r="D291" s="3" t="s">
        <v>988</v>
      </c>
      <c r="E291" s="3"/>
      <c r="F291" s="3" t="s">
        <v>15</v>
      </c>
      <c r="G291" s="3"/>
      <c r="H291" s="3"/>
      <c r="I291" s="3" t="s">
        <v>16</v>
      </c>
      <c r="J291" s="3" t="s">
        <v>17</v>
      </c>
      <c r="K291" s="3" t="s">
        <v>989</v>
      </c>
    </row>
    <row r="292" spans="1:11" ht="27.6" customHeight="1">
      <c r="A292" s="3" t="s">
        <v>990</v>
      </c>
      <c r="B292" s="3" t="s">
        <v>984</v>
      </c>
      <c r="C292" s="3" t="s">
        <v>945</v>
      </c>
      <c r="D292" s="3" t="s">
        <v>991</v>
      </c>
      <c r="E292" s="3"/>
      <c r="F292" s="3" t="s">
        <v>15</v>
      </c>
      <c r="G292" s="3"/>
      <c r="H292" s="3"/>
      <c r="I292" s="3" t="s">
        <v>16</v>
      </c>
      <c r="J292" s="3" t="s">
        <v>17</v>
      </c>
      <c r="K292" s="3" t="s">
        <v>992</v>
      </c>
    </row>
    <row r="293" spans="1:11" ht="27.6" customHeight="1">
      <c r="A293" s="3" t="s">
        <v>993</v>
      </c>
      <c r="B293" s="3" t="s">
        <v>984</v>
      </c>
      <c r="C293" s="3" t="s">
        <v>945</v>
      </c>
      <c r="D293" s="3" t="s">
        <v>994</v>
      </c>
      <c r="E293" s="3"/>
      <c r="F293" s="3" t="s">
        <v>15</v>
      </c>
      <c r="G293" s="3"/>
      <c r="H293" s="3"/>
      <c r="I293" s="3" t="s">
        <v>16</v>
      </c>
      <c r="J293" s="3" t="s">
        <v>17</v>
      </c>
      <c r="K293" s="3" t="s">
        <v>995</v>
      </c>
    </row>
    <row r="294" spans="1:11" ht="27.6" customHeight="1">
      <c r="A294" s="3" t="s">
        <v>996</v>
      </c>
      <c r="B294" s="3" t="s">
        <v>997</v>
      </c>
      <c r="C294" s="3" t="s">
        <v>945</v>
      </c>
      <c r="D294" s="3" t="s">
        <v>998</v>
      </c>
      <c r="E294" s="3"/>
      <c r="F294" s="3" t="s">
        <v>15</v>
      </c>
      <c r="G294" s="3"/>
      <c r="H294" s="3"/>
      <c r="I294" s="3" t="s">
        <v>16</v>
      </c>
      <c r="J294" s="3" t="s">
        <v>17</v>
      </c>
      <c r="K294" s="3" t="s">
        <v>999</v>
      </c>
    </row>
    <row r="295" spans="1:11" ht="27.6" customHeight="1">
      <c r="A295" s="3" t="s">
        <v>1000</v>
      </c>
      <c r="B295" s="3" t="s">
        <v>997</v>
      </c>
      <c r="C295" s="3" t="s">
        <v>945</v>
      </c>
      <c r="D295" s="3" t="s">
        <v>1001</v>
      </c>
      <c r="E295" s="3"/>
      <c r="F295" s="3" t="s">
        <v>15</v>
      </c>
      <c r="G295" s="3"/>
      <c r="H295" s="3"/>
      <c r="I295" s="3" t="s">
        <v>16</v>
      </c>
      <c r="J295" s="3" t="s">
        <v>17</v>
      </c>
      <c r="K295" s="3" t="s">
        <v>1002</v>
      </c>
    </row>
    <row r="296" spans="1:11" ht="27.6" customHeight="1">
      <c r="A296" s="3" t="s">
        <v>1003</v>
      </c>
      <c r="B296" s="3" t="s">
        <v>997</v>
      </c>
      <c r="C296" s="3" t="s">
        <v>945</v>
      </c>
      <c r="D296" s="3" t="s">
        <v>1004</v>
      </c>
      <c r="E296" s="3"/>
      <c r="F296" s="3" t="s">
        <v>15</v>
      </c>
      <c r="G296" s="3"/>
      <c r="H296" s="3"/>
      <c r="I296" s="3" t="s">
        <v>16</v>
      </c>
      <c r="J296" s="3" t="s">
        <v>17</v>
      </c>
      <c r="K296" s="3" t="s">
        <v>1005</v>
      </c>
    </row>
    <row r="297" spans="1:11" ht="27.6" customHeight="1">
      <c r="A297" s="3" t="s">
        <v>1006</v>
      </c>
      <c r="B297" s="3" t="s">
        <v>997</v>
      </c>
      <c r="C297" s="3" t="s">
        <v>945</v>
      </c>
      <c r="D297" s="3" t="s">
        <v>1007</v>
      </c>
      <c r="E297" s="3"/>
      <c r="F297" s="3" t="s">
        <v>15</v>
      </c>
      <c r="G297" s="3"/>
      <c r="H297" s="3"/>
      <c r="I297" s="3" t="s">
        <v>16</v>
      </c>
      <c r="J297" s="3" t="s">
        <v>17</v>
      </c>
      <c r="K297" s="3" t="s">
        <v>1008</v>
      </c>
    </row>
    <row r="298" spans="1:11" ht="27.6" customHeight="1">
      <c r="A298" s="3" t="s">
        <v>1009</v>
      </c>
      <c r="B298" s="3" t="s">
        <v>1010</v>
      </c>
      <c r="C298" s="3" t="s">
        <v>945</v>
      </c>
      <c r="D298" s="3" t="s">
        <v>1011</v>
      </c>
      <c r="E298" s="3"/>
      <c r="F298" s="3" t="s">
        <v>15</v>
      </c>
      <c r="G298" s="3"/>
      <c r="H298" s="3"/>
      <c r="I298" s="3" t="s">
        <v>16</v>
      </c>
      <c r="J298" s="3" t="s">
        <v>17</v>
      </c>
      <c r="K298" s="3" t="s">
        <v>1012</v>
      </c>
    </row>
    <row r="299" spans="1:11" ht="27.6" customHeight="1">
      <c r="A299" s="3" t="s">
        <v>1013</v>
      </c>
      <c r="B299" s="3" t="s">
        <v>1010</v>
      </c>
      <c r="C299" s="3" t="s">
        <v>945</v>
      </c>
      <c r="D299" s="3" t="s">
        <v>1014</v>
      </c>
      <c r="E299" s="3"/>
      <c r="F299" s="3" t="s">
        <v>15</v>
      </c>
      <c r="G299" s="3"/>
      <c r="H299" s="3"/>
      <c r="I299" s="3" t="s">
        <v>16</v>
      </c>
      <c r="J299" s="3" t="s">
        <v>17</v>
      </c>
      <c r="K299" s="3" t="s">
        <v>1015</v>
      </c>
    </row>
    <row r="300" spans="1:11" ht="27.6" customHeight="1">
      <c r="A300" s="3" t="s">
        <v>1016</v>
      </c>
      <c r="B300" s="3" t="s">
        <v>1010</v>
      </c>
      <c r="C300" s="3" t="s">
        <v>945</v>
      </c>
      <c r="D300" s="3" t="s">
        <v>1017</v>
      </c>
      <c r="E300" s="3"/>
      <c r="F300" s="3" t="s">
        <v>15</v>
      </c>
      <c r="G300" s="3"/>
      <c r="H300" s="3"/>
      <c r="I300" s="3" t="s">
        <v>16</v>
      </c>
      <c r="J300" s="3" t="s">
        <v>17</v>
      </c>
      <c r="K300" s="3" t="s">
        <v>1018</v>
      </c>
    </row>
    <row r="301" spans="1:11" ht="27.6" customHeight="1">
      <c r="A301" s="3" t="s">
        <v>1019</v>
      </c>
      <c r="B301" s="3" t="s">
        <v>1010</v>
      </c>
      <c r="C301" s="3" t="s">
        <v>945</v>
      </c>
      <c r="D301" s="3" t="s">
        <v>1020</v>
      </c>
      <c r="E301" s="3"/>
      <c r="F301" s="3" t="s">
        <v>15</v>
      </c>
      <c r="G301" s="3"/>
      <c r="H301" s="3"/>
      <c r="I301" s="3" t="s">
        <v>16</v>
      </c>
      <c r="J301" s="3" t="s">
        <v>17</v>
      </c>
      <c r="K301" s="3" t="s">
        <v>1021</v>
      </c>
    </row>
  </sheetData>
  <conditionalFormatting sqref="F2:F301">
    <cfRule type="expression" dxfId="3" priority="1">
      <formula>F2="Pass"</formula>
    </cfRule>
    <cfRule type="expression" dxfId="2" priority="2">
      <formula>F2="Fail"</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4"/>
  <sheetViews>
    <sheetView workbookViewId="0"/>
  </sheetViews>
  <sheetFormatPr defaultRowHeight="13.8"/>
  <cols>
    <col min="1" max="1" width="18" customWidth="1"/>
    <col min="2" max="3" width="74" customWidth="1"/>
    <col min="4" max="4" width="16" customWidth="1"/>
  </cols>
  <sheetData>
    <row r="1" spans="1:6" ht="24" customHeight="1">
      <c r="A1" s="2" t="s">
        <v>1315</v>
      </c>
      <c r="B1" s="2" t="s">
        <v>1316</v>
      </c>
      <c r="C1" s="2" t="s">
        <v>1317</v>
      </c>
      <c r="D1" s="2" t="s">
        <v>1023</v>
      </c>
      <c r="E1" t="s">
        <v>1052</v>
      </c>
      <c r="F1" t="s">
        <v>1318</v>
      </c>
    </row>
    <row r="2" spans="1:6" ht="27.6" customHeight="1">
      <c r="A2" s="4" t="s">
        <v>1319</v>
      </c>
      <c r="B2" s="4" t="s">
        <v>1320</v>
      </c>
      <c r="C2" s="4" t="s">
        <v>1321</v>
      </c>
      <c r="D2" s="4" t="s">
        <v>1028</v>
      </c>
      <c r="E2" t="s">
        <v>1322</v>
      </c>
      <c r="F2" t="s">
        <v>1323</v>
      </c>
    </row>
    <row r="3" spans="1:6">
      <c r="A3" s="4" t="s">
        <v>1324</v>
      </c>
      <c r="B3" s="4" t="s">
        <v>1325</v>
      </c>
      <c r="C3" s="4" t="s">
        <v>1326</v>
      </c>
      <c r="D3" s="4" t="s">
        <v>1033</v>
      </c>
      <c r="E3" t="s">
        <v>1327</v>
      </c>
      <c r="F3" t="s">
        <v>1328</v>
      </c>
    </row>
    <row r="4" spans="1:6">
      <c r="A4" s="4" t="s">
        <v>1329</v>
      </c>
      <c r="B4" s="4" t="s">
        <v>1330</v>
      </c>
      <c r="C4" s="4" t="s">
        <v>1331</v>
      </c>
      <c r="D4" s="4" t="s">
        <v>1028</v>
      </c>
      <c r="E4" t="s">
        <v>15</v>
      </c>
      <c r="F4" t="s">
        <v>1332</v>
      </c>
    </row>
    <row r="5" spans="1:6">
      <c r="A5" s="4" t="s">
        <v>1333</v>
      </c>
      <c r="B5" s="4" t="s">
        <v>1334</v>
      </c>
      <c r="C5" s="4" t="s">
        <v>1335</v>
      </c>
      <c r="D5" s="4" t="s">
        <v>1028</v>
      </c>
      <c r="E5" t="s">
        <v>15</v>
      </c>
      <c r="F5" t="s">
        <v>1336</v>
      </c>
    </row>
    <row r="6" spans="1:6">
      <c r="A6" s="4" t="s">
        <v>1337</v>
      </c>
      <c r="B6" s="4" t="s">
        <v>1338</v>
      </c>
      <c r="C6" s="4" t="s">
        <v>1339</v>
      </c>
      <c r="D6" s="4" t="s">
        <v>1028</v>
      </c>
      <c r="E6" t="s">
        <v>15</v>
      </c>
      <c r="F6" t="s">
        <v>1340</v>
      </c>
    </row>
    <row r="7" spans="1:6" ht="27.6" customHeight="1">
      <c r="A7" s="4" t="s">
        <v>1341</v>
      </c>
      <c r="B7" s="4" t="s">
        <v>1342</v>
      </c>
      <c r="C7" s="4" t="s">
        <v>1343</v>
      </c>
      <c r="D7" s="4" t="s">
        <v>1028</v>
      </c>
      <c r="E7" t="s">
        <v>15</v>
      </c>
      <c r="F7" t="s">
        <v>1344</v>
      </c>
    </row>
    <row r="8" spans="1:6">
      <c r="A8" s="4" t="s">
        <v>1345</v>
      </c>
      <c r="B8" s="4" t="s">
        <v>1346</v>
      </c>
      <c r="C8" s="4" t="s">
        <v>1347</v>
      </c>
      <c r="D8" s="4" t="s">
        <v>1028</v>
      </c>
      <c r="E8" t="s">
        <v>15</v>
      </c>
      <c r="F8" t="s">
        <v>1348</v>
      </c>
    </row>
    <row r="9" spans="1:6">
      <c r="A9" s="4" t="s">
        <v>1349</v>
      </c>
      <c r="B9" s="4" t="s">
        <v>1350</v>
      </c>
      <c r="C9" s="4" t="s">
        <v>1351</v>
      </c>
      <c r="D9" s="4" t="s">
        <v>1028</v>
      </c>
      <c r="E9" t="s">
        <v>15</v>
      </c>
      <c r="F9" t="s">
        <v>1352</v>
      </c>
    </row>
    <row r="10" spans="1:6">
      <c r="A10" s="4" t="s">
        <v>1353</v>
      </c>
      <c r="B10" s="4" t="s">
        <v>1354</v>
      </c>
      <c r="C10" s="4" t="s">
        <v>1355</v>
      </c>
      <c r="D10" s="4" t="s">
        <v>1033</v>
      </c>
      <c r="E10" t="s">
        <v>1356</v>
      </c>
      <c r="F10" t="s">
        <v>1357</v>
      </c>
    </row>
    <row r="11" spans="1:6" ht="27.6" customHeight="1">
      <c r="A11" s="4" t="s">
        <v>1358</v>
      </c>
      <c r="B11" s="4" t="s">
        <v>1359</v>
      </c>
      <c r="C11" s="4" t="s">
        <v>1360</v>
      </c>
      <c r="D11" s="4" t="s">
        <v>1033</v>
      </c>
      <c r="E11" t="s">
        <v>1322</v>
      </c>
      <c r="F11" t="s">
        <v>1361</v>
      </c>
    </row>
    <row r="12" spans="1:6" ht="27.6" customHeight="1">
      <c r="A12" s="4" t="s">
        <v>1362</v>
      </c>
      <c r="B12" s="4" t="s">
        <v>1363</v>
      </c>
      <c r="C12" s="4" t="s">
        <v>1364</v>
      </c>
      <c r="D12" s="4" t="s">
        <v>1028</v>
      </c>
      <c r="E12" t="s">
        <v>15</v>
      </c>
      <c r="F12" t="s">
        <v>1365</v>
      </c>
    </row>
    <row r="13" spans="1:6">
      <c r="A13" s="4" t="s">
        <v>1366</v>
      </c>
      <c r="B13" s="4" t="s">
        <v>1367</v>
      </c>
      <c r="C13" s="4" t="s">
        <v>1368</v>
      </c>
      <c r="D13" s="4" t="s">
        <v>1028</v>
      </c>
      <c r="E13" t="s">
        <v>15</v>
      </c>
      <c r="F13" t="s">
        <v>1369</v>
      </c>
    </row>
    <row r="14" spans="1:6">
      <c r="A14" s="4" t="s">
        <v>1370</v>
      </c>
      <c r="B14" s="4" t="s">
        <v>1371</v>
      </c>
      <c r="C14" s="4" t="s">
        <v>1372</v>
      </c>
      <c r="D14" s="4" t="s">
        <v>1033</v>
      </c>
      <c r="E14" t="s">
        <v>1373</v>
      </c>
      <c r="F14" t="s">
        <v>1374</v>
      </c>
    </row>
    <row r="15" spans="1:6">
      <c r="A15" s="4" t="s">
        <v>1375</v>
      </c>
      <c r="B15" s="4" t="s">
        <v>1376</v>
      </c>
      <c r="C15" s="4" t="s">
        <v>1377</v>
      </c>
      <c r="D15" s="4" t="s">
        <v>1033</v>
      </c>
      <c r="E15" t="s">
        <v>15</v>
      </c>
      <c r="F15" t="s">
        <v>1378</v>
      </c>
    </row>
    <row r="16" spans="1:6">
      <c r="A16" s="4" t="s">
        <v>1379</v>
      </c>
      <c r="B16" s="4" t="s">
        <v>1380</v>
      </c>
      <c r="C16" s="4" t="s">
        <v>1381</v>
      </c>
      <c r="D16" s="4" t="s">
        <v>1028</v>
      </c>
      <c r="E16" t="s">
        <v>15</v>
      </c>
      <c r="F16" t="s">
        <v>1382</v>
      </c>
    </row>
    <row r="17" spans="1:6">
      <c r="A17" s="4" t="s">
        <v>1383</v>
      </c>
      <c r="B17" s="4" t="s">
        <v>1384</v>
      </c>
      <c r="C17" s="4" t="s">
        <v>1385</v>
      </c>
      <c r="D17" s="4" t="s">
        <v>1028</v>
      </c>
      <c r="E17" t="s">
        <v>15</v>
      </c>
      <c r="F17" t="s">
        <v>1386</v>
      </c>
    </row>
    <row r="20" spans="1:6" ht="24" customHeight="1">
      <c r="A20" s="2" t="s">
        <v>1387</v>
      </c>
      <c r="B20" s="2" t="s">
        <v>1388</v>
      </c>
    </row>
    <row r="21" spans="1:6" ht="27.6" customHeight="1">
      <c r="A21" s="4" t="s">
        <v>1389</v>
      </c>
      <c r="B21" s="4" t="s">
        <v>1390</v>
      </c>
      <c r="E21" t="s">
        <v>15</v>
      </c>
      <c r="F21" t="s">
        <v>1391</v>
      </c>
    </row>
    <row r="22" spans="1:6">
      <c r="A22" s="4" t="s">
        <v>1392</v>
      </c>
      <c r="B22" s="4" t="s">
        <v>1393</v>
      </c>
      <c r="E22" t="s">
        <v>15</v>
      </c>
      <c r="F22" t="s">
        <v>1394</v>
      </c>
    </row>
    <row r="23" spans="1:6">
      <c r="A23" s="4" t="s">
        <v>1395</v>
      </c>
      <c r="B23" s="4" t="s">
        <v>1396</v>
      </c>
      <c r="E23" t="s">
        <v>15</v>
      </c>
      <c r="F23" t="s">
        <v>1397</v>
      </c>
    </row>
    <row r="24" spans="1:6">
      <c r="A24" s="4" t="s">
        <v>1398</v>
      </c>
      <c r="B24" s="4" t="s">
        <v>1399</v>
      </c>
      <c r="E24" t="s">
        <v>15</v>
      </c>
      <c r="F24" t="s">
        <v>1400</v>
      </c>
    </row>
    <row r="25" spans="1:6">
      <c r="A25" s="4" t="s">
        <v>1401</v>
      </c>
      <c r="B25" s="4" t="s">
        <v>1402</v>
      </c>
      <c r="E25" t="s">
        <v>15</v>
      </c>
      <c r="F25" t="s">
        <v>1403</v>
      </c>
    </row>
    <row r="26" spans="1:6">
      <c r="A26" s="4" t="s">
        <v>1404</v>
      </c>
      <c r="B26" s="4" t="s">
        <v>1405</v>
      </c>
      <c r="E26" t="s">
        <v>15</v>
      </c>
      <c r="F26" t="s">
        <v>1406</v>
      </c>
    </row>
    <row r="27" spans="1:6">
      <c r="A27" s="4" t="s">
        <v>1407</v>
      </c>
      <c r="B27" s="4" t="s">
        <v>1408</v>
      </c>
      <c r="E27" t="s">
        <v>15</v>
      </c>
      <c r="F27" t="s">
        <v>1409</v>
      </c>
    </row>
    <row r="28" spans="1:6">
      <c r="A28" s="4" t="s">
        <v>1410</v>
      </c>
      <c r="B28" s="4" t="s">
        <v>1411</v>
      </c>
      <c r="E28" t="s">
        <v>15</v>
      </c>
      <c r="F28" t="s">
        <v>1412</v>
      </c>
    </row>
    <row r="29" spans="1:6">
      <c r="A29" s="4" t="s">
        <v>1413</v>
      </c>
      <c r="B29" s="4" t="s">
        <v>1414</v>
      </c>
      <c r="E29" t="s">
        <v>15</v>
      </c>
      <c r="F29" t="s">
        <v>1415</v>
      </c>
    </row>
    <row r="30" spans="1:6">
      <c r="A30" s="4" t="s">
        <v>1416</v>
      </c>
      <c r="B30" s="4" t="s">
        <v>1417</v>
      </c>
      <c r="E30" t="s">
        <v>15</v>
      </c>
      <c r="F30" t="s">
        <v>1418</v>
      </c>
    </row>
    <row r="31" spans="1:6">
      <c r="A31" s="4" t="s">
        <v>1419</v>
      </c>
      <c r="B31" s="4" t="s">
        <v>1420</v>
      </c>
      <c r="E31" t="s">
        <v>15</v>
      </c>
      <c r="F31" t="s">
        <v>1421</v>
      </c>
    </row>
    <row r="32" spans="1:6">
      <c r="A32" s="4" t="s">
        <v>1422</v>
      </c>
      <c r="B32" s="4" t="s">
        <v>1423</v>
      </c>
      <c r="E32" t="s">
        <v>15</v>
      </c>
      <c r="F32" t="s">
        <v>1424</v>
      </c>
    </row>
    <row r="33" spans="1:6" ht="27.6" customHeight="1">
      <c r="A33" s="4" t="s">
        <v>1425</v>
      </c>
      <c r="B33" s="4" t="s">
        <v>1426</v>
      </c>
      <c r="E33" t="s">
        <v>15</v>
      </c>
      <c r="F33" t="s">
        <v>1427</v>
      </c>
    </row>
    <row r="34" spans="1:6" ht="27.6" customHeight="1">
      <c r="A34" s="4" t="s">
        <v>1428</v>
      </c>
      <c r="B34" s="4" t="s">
        <v>1429</v>
      </c>
      <c r="E34" t="s">
        <v>15</v>
      </c>
      <c r="F34" t="s">
        <v>1430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heetViews>
  <sheetFormatPr defaultRowHeight="13.8"/>
  <cols>
    <col min="1" max="1" width="22" customWidth="1"/>
    <col min="2" max="2" width="44" customWidth="1"/>
    <col min="3" max="3" width="72" customWidth="1"/>
  </cols>
  <sheetData>
    <row r="1" spans="1:3" ht="24" customHeight="1">
      <c r="A1" s="2" t="s">
        <v>1431</v>
      </c>
      <c r="B1" s="2" t="s">
        <v>1432</v>
      </c>
      <c r="C1" s="2" t="s">
        <v>1433</v>
      </c>
    </row>
    <row r="2" spans="1:3" ht="27.6" customHeight="1">
      <c r="A2" s="4" t="s">
        <v>1434</v>
      </c>
      <c r="B2" s="4" t="s">
        <v>1435</v>
      </c>
      <c r="C2" s="4" t="s">
        <v>1436</v>
      </c>
    </row>
    <row r="3" spans="1:3">
      <c r="A3" s="4" t="s">
        <v>1437</v>
      </c>
      <c r="B3" s="4" t="s">
        <v>1438</v>
      </c>
      <c r="C3" s="4" t="s">
        <v>1439</v>
      </c>
    </row>
    <row r="4" spans="1:3">
      <c r="A4" s="4" t="s">
        <v>1440</v>
      </c>
      <c r="B4" s="4" t="s">
        <v>1441</v>
      </c>
      <c r="C4" s="4" t="s">
        <v>1442</v>
      </c>
    </row>
    <row r="5" spans="1:3">
      <c r="A5" s="4" t="s">
        <v>1443</v>
      </c>
      <c r="B5" s="4" t="s">
        <v>1444</v>
      </c>
      <c r="C5" s="4" t="s">
        <v>1445</v>
      </c>
    </row>
    <row r="6" spans="1:3">
      <c r="A6" s="4" t="s">
        <v>1446</v>
      </c>
      <c r="B6" s="4" t="s">
        <v>1447</v>
      </c>
      <c r="C6" s="4" t="s">
        <v>1448</v>
      </c>
    </row>
    <row r="7" spans="1:3">
      <c r="A7" s="4" t="s">
        <v>1449</v>
      </c>
      <c r="B7" s="4" t="s">
        <v>1450</v>
      </c>
      <c r="C7" s="4" t="s">
        <v>1451</v>
      </c>
    </row>
    <row r="8" spans="1:3">
      <c r="A8" s="4" t="s">
        <v>1452</v>
      </c>
      <c r="B8" s="4" t="s">
        <v>1453</v>
      </c>
      <c r="C8" s="4" t="s">
        <v>1454</v>
      </c>
    </row>
    <row r="9" spans="1:3" ht="27.6" customHeight="1">
      <c r="A9" s="4" t="s">
        <v>1455</v>
      </c>
      <c r="B9" s="4" t="s">
        <v>1456</v>
      </c>
      <c r="C9" s="4" t="s">
        <v>1457</v>
      </c>
    </row>
    <row r="10" spans="1:3" ht="27.6" customHeight="1">
      <c r="A10" s="4" t="s">
        <v>1458</v>
      </c>
      <c r="B10" s="4" t="s">
        <v>1459</v>
      </c>
      <c r="C10" s="4" t="s">
        <v>1460</v>
      </c>
    </row>
    <row r="11" spans="1:3">
      <c r="A11" s="4" t="s">
        <v>1461</v>
      </c>
      <c r="B11" s="4" t="s">
        <v>1462</v>
      </c>
      <c r="C11" s="4" t="s">
        <v>1463</v>
      </c>
    </row>
    <row r="12" spans="1:3" ht="27.6" customHeight="1">
      <c r="A12" s="4" t="s">
        <v>1464</v>
      </c>
      <c r="B12" s="4" t="s">
        <v>1465</v>
      </c>
      <c r="C12" s="4" t="s">
        <v>1466</v>
      </c>
    </row>
    <row r="13" spans="1:3">
      <c r="A13" s="4" t="s">
        <v>1384</v>
      </c>
      <c r="B13" s="4" t="s">
        <v>1467</v>
      </c>
      <c r="C13" s="4" t="s">
        <v>1468</v>
      </c>
    </row>
    <row r="14" spans="1:3">
      <c r="A14" s="4" t="s">
        <v>1469</v>
      </c>
      <c r="B14" s="4" t="s">
        <v>1470</v>
      </c>
      <c r="C14" s="4" t="s">
        <v>1471</v>
      </c>
    </row>
    <row r="15" spans="1:3">
      <c r="A15" s="4" t="s">
        <v>1472</v>
      </c>
      <c r="B15" s="4" t="s">
        <v>1473</v>
      </c>
      <c r="C15" s="4" t="s">
        <v>1474</v>
      </c>
    </row>
    <row r="16" spans="1:3">
      <c r="A16" s="4" t="s">
        <v>1475</v>
      </c>
      <c r="B16" s="4" t="s">
        <v>1476</v>
      </c>
      <c r="C16" s="4" t="s">
        <v>1477</v>
      </c>
    </row>
    <row r="17" spans="1:3" ht="27.6" customHeight="1">
      <c r="A17" s="4" t="s">
        <v>1478</v>
      </c>
      <c r="B17" s="4" t="s">
        <v>1479</v>
      </c>
      <c r="C17" s="4" t="s">
        <v>1480</v>
      </c>
    </row>
    <row r="18" spans="1:3" ht="27.6" customHeight="1">
      <c r="A18" s="4" t="s">
        <v>1481</v>
      </c>
      <c r="B18" s="4" t="s">
        <v>1482</v>
      </c>
      <c r="C18" s="4" t="s">
        <v>1483</v>
      </c>
    </row>
    <row r="19" spans="1:3" ht="27.6" customHeight="1">
      <c r="A19" s="4" t="s">
        <v>1484</v>
      </c>
      <c r="B19" s="4" t="s">
        <v>1485</v>
      </c>
      <c r="C19" s="4" t="s">
        <v>1486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1"/>
  <sheetViews>
    <sheetView workbookViewId="0"/>
  </sheetViews>
  <sheetFormatPr defaultRowHeight="13.8"/>
  <cols>
    <col min="1" max="1" width="14" customWidth="1"/>
    <col min="2" max="2" width="46" customWidth="1"/>
    <col min="3" max="3" width="18" customWidth="1"/>
  </cols>
  <sheetData>
    <row r="1" spans="1:3" ht="24" customHeight="1">
      <c r="A1" s="2" t="s">
        <v>1487</v>
      </c>
      <c r="B1" s="2" t="s">
        <v>1488</v>
      </c>
      <c r="C1" s="2" t="s">
        <v>1489</v>
      </c>
    </row>
    <row r="2" spans="1:3">
      <c r="A2" s="4" t="s">
        <v>1490</v>
      </c>
      <c r="B2" s="4" t="s">
        <v>1111</v>
      </c>
      <c r="C2" s="4" t="s">
        <v>1045</v>
      </c>
    </row>
    <row r="3" spans="1:3">
      <c r="A3" s="4" t="s">
        <v>1491</v>
      </c>
      <c r="B3" s="4" t="s">
        <v>1492</v>
      </c>
      <c r="C3" s="4" t="s">
        <v>1045</v>
      </c>
    </row>
    <row r="4" spans="1:3">
      <c r="A4" s="4" t="s">
        <v>1493</v>
      </c>
      <c r="B4" s="4" t="s">
        <v>1494</v>
      </c>
      <c r="C4" s="4" t="s">
        <v>1045</v>
      </c>
    </row>
    <row r="5" spans="1:3">
      <c r="A5" s="4" t="s">
        <v>1495</v>
      </c>
      <c r="B5" s="4" t="s">
        <v>1496</v>
      </c>
      <c r="C5" s="4" t="s">
        <v>1045</v>
      </c>
    </row>
    <row r="6" spans="1:3">
      <c r="A6" s="4" t="s">
        <v>1497</v>
      </c>
      <c r="B6" s="4" t="s">
        <v>1498</v>
      </c>
      <c r="C6" s="4" t="s">
        <v>1045</v>
      </c>
    </row>
    <row r="7" spans="1:3">
      <c r="A7" s="4" t="s">
        <v>1499</v>
      </c>
      <c r="B7" s="4" t="s">
        <v>1500</v>
      </c>
      <c r="C7" s="4" t="s">
        <v>1045</v>
      </c>
    </row>
    <row r="8" spans="1:3">
      <c r="A8" s="4" t="s">
        <v>1501</v>
      </c>
      <c r="B8" s="4" t="s">
        <v>1502</v>
      </c>
      <c r="C8" s="4" t="s">
        <v>1045</v>
      </c>
    </row>
    <row r="9" spans="1:3">
      <c r="A9" s="4" t="s">
        <v>1503</v>
      </c>
      <c r="B9" s="4" t="s">
        <v>1504</v>
      </c>
      <c r="C9" s="4" t="s">
        <v>1045</v>
      </c>
    </row>
    <row r="10" spans="1:3">
      <c r="A10" s="4" t="s">
        <v>1505</v>
      </c>
      <c r="B10" s="4" t="s">
        <v>1506</v>
      </c>
      <c r="C10" s="4" t="s">
        <v>1027</v>
      </c>
    </row>
    <row r="11" spans="1:3">
      <c r="A11" s="4" t="s">
        <v>1507</v>
      </c>
      <c r="B11" s="4" t="s">
        <v>1508</v>
      </c>
      <c r="C11" s="4" t="s">
        <v>1045</v>
      </c>
    </row>
    <row r="12" spans="1:3">
      <c r="A12" s="4" t="s">
        <v>1509</v>
      </c>
      <c r="B12" s="4" t="s">
        <v>1510</v>
      </c>
      <c r="C12" s="4" t="s">
        <v>1045</v>
      </c>
    </row>
    <row r="13" spans="1:3">
      <c r="A13" s="4" t="s">
        <v>1511</v>
      </c>
      <c r="B13" s="4" t="s">
        <v>1512</v>
      </c>
      <c r="C13" s="4" t="s">
        <v>1045</v>
      </c>
    </row>
    <row r="14" spans="1:3">
      <c r="A14" s="4" t="s">
        <v>1513</v>
      </c>
      <c r="B14" s="4" t="s">
        <v>1514</v>
      </c>
      <c r="C14" s="4" t="s">
        <v>1045</v>
      </c>
    </row>
    <row r="15" spans="1:3">
      <c r="A15" s="4" t="s">
        <v>1515</v>
      </c>
      <c r="B15" s="4" t="s">
        <v>1069</v>
      </c>
      <c r="C15" s="4" t="s">
        <v>1045</v>
      </c>
    </row>
    <row r="16" spans="1:3">
      <c r="A16" s="4" t="s">
        <v>1516</v>
      </c>
      <c r="B16" s="4" t="s">
        <v>1517</v>
      </c>
      <c r="C16" s="4" t="s">
        <v>1045</v>
      </c>
    </row>
    <row r="17" spans="1:3">
      <c r="A17" s="4" t="s">
        <v>1518</v>
      </c>
      <c r="B17" s="4" t="s">
        <v>1519</v>
      </c>
      <c r="C17" s="4" t="s">
        <v>1045</v>
      </c>
    </row>
    <row r="18" spans="1:3">
      <c r="A18" s="4" t="s">
        <v>1520</v>
      </c>
      <c r="B18" s="4" t="s">
        <v>1521</v>
      </c>
      <c r="C18" s="4" t="s">
        <v>1027</v>
      </c>
    </row>
    <row r="19" spans="1:3">
      <c r="A19" s="4" t="s">
        <v>1522</v>
      </c>
      <c r="B19" s="4" t="s">
        <v>1523</v>
      </c>
      <c r="C19" s="4" t="s">
        <v>1045</v>
      </c>
    </row>
    <row r="20" spans="1:3">
      <c r="A20" s="4" t="s">
        <v>1524</v>
      </c>
      <c r="B20" s="4" t="s">
        <v>1525</v>
      </c>
      <c r="C20" s="4" t="s">
        <v>1045</v>
      </c>
    </row>
    <row r="21" spans="1:3">
      <c r="A21" s="4" t="s">
        <v>1526</v>
      </c>
      <c r="B21" s="4" t="s">
        <v>1527</v>
      </c>
      <c r="C21" s="4" t="s">
        <v>1045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76"/>
  <sheetViews>
    <sheetView workbookViewId="0"/>
  </sheetViews>
  <sheetFormatPr defaultRowHeight="13.8"/>
  <cols>
    <col min="1" max="1" width="12" customWidth="1"/>
    <col min="2" max="2" width="15" customWidth="1"/>
    <col min="3" max="3" width="14" customWidth="1"/>
    <col min="4" max="4" width="15" customWidth="1"/>
    <col min="5" max="5" width="16" customWidth="1"/>
    <col min="6" max="8" width="12" customWidth="1"/>
    <col min="9" max="9" width="18" customWidth="1"/>
    <col min="10" max="10" width="16" customWidth="1"/>
  </cols>
  <sheetData>
    <row r="1" spans="1:10" ht="24" customHeight="1">
      <c r="A1" s="2" t="s">
        <v>2</v>
      </c>
      <c r="B1" s="2" t="s">
        <v>1</v>
      </c>
      <c r="C1" s="2" t="s">
        <v>1528</v>
      </c>
      <c r="D1" s="2" t="s">
        <v>1529</v>
      </c>
      <c r="E1" s="2" t="s">
        <v>1022</v>
      </c>
      <c r="F1" s="2" t="s">
        <v>1530</v>
      </c>
      <c r="G1" s="2" t="s">
        <v>1531</v>
      </c>
      <c r="H1" s="2" t="s">
        <v>1532</v>
      </c>
      <c r="I1" s="2" t="s">
        <v>1533</v>
      </c>
      <c r="J1" s="2" t="s">
        <v>1534</v>
      </c>
    </row>
    <row r="2" spans="1:10">
      <c r="A2" s="4" t="s">
        <v>13</v>
      </c>
      <c r="B2" s="4" t="s">
        <v>12</v>
      </c>
      <c r="C2" s="4">
        <v>4</v>
      </c>
      <c r="D2" s="4">
        <f>COUNTIF('Acceptance Criteria'!B:B,B2)</f>
        <v>4</v>
      </c>
      <c r="E2" s="4" t="str">
        <f>VLOOKUP(B2,'User Stories'!A:L,12,FALSE)</f>
        <v>Done</v>
      </c>
      <c r="F2" s="4">
        <f>COUNTIFS('Acceptance Criteria'!B:B,B2,'Acceptance Criteria'!F:F,"&lt;&gt;Not Tested")</f>
        <v>4</v>
      </c>
      <c r="G2" s="4">
        <f>COUNTIFS('Acceptance Criteria'!B:B,B2,'Acceptance Criteria'!F:F,"Pass")</f>
        <v>4</v>
      </c>
      <c r="H2" s="4">
        <f>COUNTIFS('Acceptance Criteria'!B:B,B2,'Acceptance Criteria'!F:F,"Fail")</f>
        <v>0</v>
      </c>
      <c r="I2" s="4" t="str">
        <f t="shared" ref="I2:I33" si="0">IF(C2=D2,"Linked","Mismatch")</f>
        <v>Linked</v>
      </c>
      <c r="J2" s="5">
        <f t="shared" ref="J2:J33" si="1">IF(C2=0,0,G2/C2)</f>
        <v>1</v>
      </c>
    </row>
    <row r="3" spans="1:10">
      <c r="A3" s="4" t="s">
        <v>13</v>
      </c>
      <c r="B3" s="4" t="s">
        <v>29</v>
      </c>
      <c r="C3" s="4">
        <v>4</v>
      </c>
      <c r="D3" s="4">
        <f>COUNTIF('Acceptance Criteria'!B:B,B3)</f>
        <v>4</v>
      </c>
      <c r="E3" s="4" t="str">
        <f>VLOOKUP(B3,'User Stories'!A:L,12,FALSE)</f>
        <v>Done</v>
      </c>
      <c r="F3" s="4">
        <f>COUNTIFS('Acceptance Criteria'!B:B,B3,'Acceptance Criteria'!F:F,"&lt;&gt;Not Tested")</f>
        <v>4</v>
      </c>
      <c r="G3" s="4">
        <f>COUNTIFS('Acceptance Criteria'!B:B,B3,'Acceptance Criteria'!F:F,"Pass")</f>
        <v>4</v>
      </c>
      <c r="H3" s="4">
        <f>COUNTIFS('Acceptance Criteria'!B:B,B3,'Acceptance Criteria'!F:F,"Fail")</f>
        <v>0</v>
      </c>
      <c r="I3" s="4" t="str">
        <f t="shared" si="0"/>
        <v>Linked</v>
      </c>
      <c r="J3" s="5">
        <f t="shared" si="1"/>
        <v>1</v>
      </c>
    </row>
    <row r="4" spans="1:10">
      <c r="A4" s="4" t="s">
        <v>13</v>
      </c>
      <c r="B4" s="4" t="s">
        <v>42</v>
      </c>
      <c r="C4" s="4">
        <v>4</v>
      </c>
      <c r="D4" s="4">
        <f>COUNTIF('Acceptance Criteria'!B:B,B4)</f>
        <v>4</v>
      </c>
      <c r="E4" s="4" t="str">
        <f>VLOOKUP(B4,'User Stories'!A:L,12,FALSE)</f>
        <v>Done</v>
      </c>
      <c r="F4" s="4">
        <f>COUNTIFS('Acceptance Criteria'!B:B,B4,'Acceptance Criteria'!F:F,"&lt;&gt;Not Tested")</f>
        <v>4</v>
      </c>
      <c r="G4" s="4">
        <f>COUNTIFS('Acceptance Criteria'!B:B,B4,'Acceptance Criteria'!F:F,"Pass")</f>
        <v>4</v>
      </c>
      <c r="H4" s="4">
        <f>COUNTIFS('Acceptance Criteria'!B:B,B4,'Acceptance Criteria'!F:F,"Fail")</f>
        <v>0</v>
      </c>
      <c r="I4" s="4" t="str">
        <f t="shared" si="0"/>
        <v>Linked</v>
      </c>
      <c r="J4" s="5">
        <f t="shared" si="1"/>
        <v>1</v>
      </c>
    </row>
    <row r="5" spans="1:10">
      <c r="A5" s="4" t="s">
        <v>13</v>
      </c>
      <c r="B5" s="4" t="s">
        <v>55</v>
      </c>
      <c r="C5" s="4">
        <v>4</v>
      </c>
      <c r="D5" s="4">
        <f>COUNTIF('Acceptance Criteria'!B:B,B5)</f>
        <v>4</v>
      </c>
      <c r="E5" s="4" t="str">
        <f>VLOOKUP(B5,'User Stories'!A:L,12,FALSE)</f>
        <v>Done</v>
      </c>
      <c r="F5" s="4">
        <f>COUNTIFS('Acceptance Criteria'!B:B,B5,'Acceptance Criteria'!F:F,"&lt;&gt;Not Tested")</f>
        <v>4</v>
      </c>
      <c r="G5" s="4">
        <f>COUNTIFS('Acceptance Criteria'!B:B,B5,'Acceptance Criteria'!F:F,"Pass")</f>
        <v>4</v>
      </c>
      <c r="H5" s="4">
        <f>COUNTIFS('Acceptance Criteria'!B:B,B5,'Acceptance Criteria'!F:F,"Fail")</f>
        <v>0</v>
      </c>
      <c r="I5" s="4" t="str">
        <f t="shared" si="0"/>
        <v>Linked</v>
      </c>
      <c r="J5" s="5">
        <f t="shared" si="1"/>
        <v>1</v>
      </c>
    </row>
    <row r="6" spans="1:10">
      <c r="A6" s="4" t="s">
        <v>13</v>
      </c>
      <c r="B6" s="4" t="s">
        <v>68</v>
      </c>
      <c r="C6" s="4">
        <v>4</v>
      </c>
      <c r="D6" s="4">
        <f>COUNTIF('Acceptance Criteria'!B:B,B6)</f>
        <v>4</v>
      </c>
      <c r="E6" s="4" t="str">
        <f>VLOOKUP(B6,'User Stories'!A:L,12,FALSE)</f>
        <v>Done</v>
      </c>
      <c r="F6" s="4">
        <f>COUNTIFS('Acceptance Criteria'!B:B,B6,'Acceptance Criteria'!F:F,"&lt;&gt;Not Tested")</f>
        <v>4</v>
      </c>
      <c r="G6" s="4">
        <f>COUNTIFS('Acceptance Criteria'!B:B,B6,'Acceptance Criteria'!F:F,"Pass")</f>
        <v>4</v>
      </c>
      <c r="H6" s="4">
        <f>COUNTIFS('Acceptance Criteria'!B:B,B6,'Acceptance Criteria'!F:F,"Fail")</f>
        <v>0</v>
      </c>
      <c r="I6" s="4" t="str">
        <f t="shared" si="0"/>
        <v>Linked</v>
      </c>
      <c r="J6" s="5">
        <f t="shared" si="1"/>
        <v>1</v>
      </c>
    </row>
    <row r="7" spans="1:10">
      <c r="A7" s="4" t="s">
        <v>13</v>
      </c>
      <c r="B7" s="4" t="s">
        <v>82</v>
      </c>
      <c r="C7" s="4">
        <v>4</v>
      </c>
      <c r="D7" s="4">
        <f>COUNTIF('Acceptance Criteria'!B:B,B7)</f>
        <v>4</v>
      </c>
      <c r="E7" s="4" t="str">
        <f>VLOOKUP(B7,'User Stories'!A:L,12,FALSE)</f>
        <v>Done</v>
      </c>
      <c r="F7" s="4">
        <f>COUNTIFS('Acceptance Criteria'!B:B,B7,'Acceptance Criteria'!F:F,"&lt;&gt;Not Tested")</f>
        <v>4</v>
      </c>
      <c r="G7" s="4">
        <f>COUNTIFS('Acceptance Criteria'!B:B,B7,'Acceptance Criteria'!F:F,"Pass")</f>
        <v>4</v>
      </c>
      <c r="H7" s="4">
        <f>COUNTIFS('Acceptance Criteria'!B:B,B7,'Acceptance Criteria'!F:F,"Fail")</f>
        <v>0</v>
      </c>
      <c r="I7" s="4" t="str">
        <f t="shared" si="0"/>
        <v>Linked</v>
      </c>
      <c r="J7" s="5">
        <f t="shared" si="1"/>
        <v>1</v>
      </c>
    </row>
    <row r="8" spans="1:10">
      <c r="A8" s="4" t="s">
        <v>13</v>
      </c>
      <c r="B8" s="4" t="s">
        <v>95</v>
      </c>
      <c r="C8" s="4">
        <v>4</v>
      </c>
      <c r="D8" s="4">
        <f>COUNTIF('Acceptance Criteria'!B:B,B8)</f>
        <v>4</v>
      </c>
      <c r="E8" s="4" t="str">
        <f>VLOOKUP(B8,'User Stories'!A:L,12,FALSE)</f>
        <v>Done</v>
      </c>
      <c r="F8" s="4">
        <f>COUNTIFS('Acceptance Criteria'!B:B,B8,'Acceptance Criteria'!F:F,"&lt;&gt;Not Tested")</f>
        <v>4</v>
      </c>
      <c r="G8" s="4">
        <f>COUNTIFS('Acceptance Criteria'!B:B,B8,'Acceptance Criteria'!F:F,"Pass")</f>
        <v>4</v>
      </c>
      <c r="H8" s="4">
        <f>COUNTIFS('Acceptance Criteria'!B:B,B8,'Acceptance Criteria'!F:F,"Fail")</f>
        <v>0</v>
      </c>
      <c r="I8" s="4" t="str">
        <f t="shared" si="0"/>
        <v>Linked</v>
      </c>
      <c r="J8" s="5">
        <f t="shared" si="1"/>
        <v>1</v>
      </c>
    </row>
    <row r="9" spans="1:10">
      <c r="A9" s="4" t="s">
        <v>109</v>
      </c>
      <c r="B9" s="4" t="s">
        <v>108</v>
      </c>
      <c r="C9" s="4">
        <v>4</v>
      </c>
      <c r="D9" s="4">
        <f>COUNTIF('Acceptance Criteria'!B:B,B9)</f>
        <v>4</v>
      </c>
      <c r="E9" s="4" t="str">
        <f>VLOOKUP(B9,'User Stories'!A:L,12,FALSE)</f>
        <v>Done</v>
      </c>
      <c r="F9" s="4">
        <f>COUNTIFS('Acceptance Criteria'!B:B,B9,'Acceptance Criteria'!F:F,"&lt;&gt;Not Tested")</f>
        <v>4</v>
      </c>
      <c r="G9" s="4">
        <f>COUNTIFS('Acceptance Criteria'!B:B,B9,'Acceptance Criteria'!F:F,"Pass")</f>
        <v>4</v>
      </c>
      <c r="H9" s="4">
        <f>COUNTIFS('Acceptance Criteria'!B:B,B9,'Acceptance Criteria'!F:F,"Fail")</f>
        <v>0</v>
      </c>
      <c r="I9" s="4" t="str">
        <f t="shared" si="0"/>
        <v>Linked</v>
      </c>
      <c r="J9" s="5">
        <f t="shared" si="1"/>
        <v>1</v>
      </c>
    </row>
    <row r="10" spans="1:10">
      <c r="A10" s="4" t="s">
        <v>109</v>
      </c>
      <c r="B10" s="4" t="s">
        <v>122</v>
      </c>
      <c r="C10" s="4">
        <v>4</v>
      </c>
      <c r="D10" s="4">
        <f>COUNTIF('Acceptance Criteria'!B:B,B10)</f>
        <v>4</v>
      </c>
      <c r="E10" s="4" t="str">
        <f>VLOOKUP(B10,'User Stories'!A:L,12,FALSE)</f>
        <v>Done</v>
      </c>
      <c r="F10" s="4">
        <f>COUNTIFS('Acceptance Criteria'!B:B,B10,'Acceptance Criteria'!F:F,"&lt;&gt;Not Tested")</f>
        <v>4</v>
      </c>
      <c r="G10" s="4">
        <f>COUNTIFS('Acceptance Criteria'!B:B,B10,'Acceptance Criteria'!F:F,"Pass")</f>
        <v>4</v>
      </c>
      <c r="H10" s="4">
        <f>COUNTIFS('Acceptance Criteria'!B:B,B10,'Acceptance Criteria'!F:F,"Fail")</f>
        <v>0</v>
      </c>
      <c r="I10" s="4" t="str">
        <f t="shared" si="0"/>
        <v>Linked</v>
      </c>
      <c r="J10" s="5">
        <f t="shared" si="1"/>
        <v>1</v>
      </c>
    </row>
    <row r="11" spans="1:10">
      <c r="A11" s="4" t="s">
        <v>109</v>
      </c>
      <c r="B11" s="4" t="s">
        <v>136</v>
      </c>
      <c r="C11" s="4">
        <v>4</v>
      </c>
      <c r="D11" s="4">
        <f>COUNTIF('Acceptance Criteria'!B:B,B11)</f>
        <v>4</v>
      </c>
      <c r="E11" s="4" t="str">
        <f>VLOOKUP(B11,'User Stories'!A:L,12,FALSE)</f>
        <v>Done</v>
      </c>
      <c r="F11" s="4">
        <f>COUNTIFS('Acceptance Criteria'!B:B,B11,'Acceptance Criteria'!F:F,"&lt;&gt;Not Tested")</f>
        <v>4</v>
      </c>
      <c r="G11" s="4">
        <f>COUNTIFS('Acceptance Criteria'!B:B,B11,'Acceptance Criteria'!F:F,"Pass")</f>
        <v>4</v>
      </c>
      <c r="H11" s="4">
        <f>COUNTIFS('Acceptance Criteria'!B:B,B11,'Acceptance Criteria'!F:F,"Fail")</f>
        <v>0</v>
      </c>
      <c r="I11" s="4" t="str">
        <f t="shared" si="0"/>
        <v>Linked</v>
      </c>
      <c r="J11" s="5">
        <f t="shared" si="1"/>
        <v>1</v>
      </c>
    </row>
    <row r="12" spans="1:10">
      <c r="A12" s="4" t="s">
        <v>109</v>
      </c>
      <c r="B12" s="4" t="s">
        <v>149</v>
      </c>
      <c r="C12" s="4">
        <v>4</v>
      </c>
      <c r="D12" s="4">
        <f>COUNTIF('Acceptance Criteria'!B:B,B12)</f>
        <v>4</v>
      </c>
      <c r="E12" s="4" t="str">
        <f>VLOOKUP(B12,'User Stories'!A:L,12,FALSE)</f>
        <v>Done</v>
      </c>
      <c r="F12" s="4">
        <f>COUNTIFS('Acceptance Criteria'!B:B,B12,'Acceptance Criteria'!F:F,"&lt;&gt;Not Tested")</f>
        <v>4</v>
      </c>
      <c r="G12" s="4">
        <f>COUNTIFS('Acceptance Criteria'!B:B,B12,'Acceptance Criteria'!F:F,"Pass")</f>
        <v>4</v>
      </c>
      <c r="H12" s="4">
        <f>COUNTIFS('Acceptance Criteria'!B:B,B12,'Acceptance Criteria'!F:F,"Fail")</f>
        <v>0</v>
      </c>
      <c r="I12" s="4" t="str">
        <f t="shared" si="0"/>
        <v>Linked</v>
      </c>
      <c r="J12" s="5">
        <f t="shared" si="1"/>
        <v>1</v>
      </c>
    </row>
    <row r="13" spans="1:10">
      <c r="A13" s="4" t="s">
        <v>109</v>
      </c>
      <c r="B13" s="4" t="s">
        <v>162</v>
      </c>
      <c r="C13" s="4">
        <v>4</v>
      </c>
      <c r="D13" s="4">
        <f>COUNTIF('Acceptance Criteria'!B:B,B13)</f>
        <v>4</v>
      </c>
      <c r="E13" s="4" t="str">
        <f>VLOOKUP(B13,'User Stories'!A:L,12,FALSE)</f>
        <v>Done</v>
      </c>
      <c r="F13" s="4">
        <f>COUNTIFS('Acceptance Criteria'!B:B,B13,'Acceptance Criteria'!F:F,"&lt;&gt;Not Tested")</f>
        <v>4</v>
      </c>
      <c r="G13" s="4">
        <f>COUNTIFS('Acceptance Criteria'!B:B,B13,'Acceptance Criteria'!F:F,"Pass")</f>
        <v>4</v>
      </c>
      <c r="H13" s="4">
        <f>COUNTIFS('Acceptance Criteria'!B:B,B13,'Acceptance Criteria'!F:F,"Fail")</f>
        <v>0</v>
      </c>
      <c r="I13" s="4" t="str">
        <f t="shared" si="0"/>
        <v>Linked</v>
      </c>
      <c r="J13" s="5">
        <f t="shared" si="1"/>
        <v>1</v>
      </c>
    </row>
    <row r="14" spans="1:10">
      <c r="A14" s="4" t="s">
        <v>109</v>
      </c>
      <c r="B14" s="4" t="s">
        <v>175</v>
      </c>
      <c r="C14" s="4">
        <v>4</v>
      </c>
      <c r="D14" s="4">
        <f>COUNTIF('Acceptance Criteria'!B:B,B14)</f>
        <v>4</v>
      </c>
      <c r="E14" s="4" t="str">
        <f>VLOOKUP(B14,'User Stories'!A:L,12,FALSE)</f>
        <v>Done</v>
      </c>
      <c r="F14" s="4">
        <f>COUNTIFS('Acceptance Criteria'!B:B,B14,'Acceptance Criteria'!F:F,"&lt;&gt;Not Tested")</f>
        <v>4</v>
      </c>
      <c r="G14" s="4">
        <f>COUNTIFS('Acceptance Criteria'!B:B,B14,'Acceptance Criteria'!F:F,"Pass")</f>
        <v>4</v>
      </c>
      <c r="H14" s="4">
        <f>COUNTIFS('Acceptance Criteria'!B:B,B14,'Acceptance Criteria'!F:F,"Fail")</f>
        <v>0</v>
      </c>
      <c r="I14" s="4" t="str">
        <f t="shared" si="0"/>
        <v>Linked</v>
      </c>
      <c r="J14" s="5">
        <f t="shared" si="1"/>
        <v>1</v>
      </c>
    </row>
    <row r="15" spans="1:10">
      <c r="A15" s="4" t="s">
        <v>191</v>
      </c>
      <c r="B15" s="4" t="s">
        <v>190</v>
      </c>
      <c r="C15" s="4">
        <v>4</v>
      </c>
      <c r="D15" s="4">
        <f>COUNTIF('Acceptance Criteria'!B:B,B15)</f>
        <v>4</v>
      </c>
      <c r="E15" s="4" t="str">
        <f>VLOOKUP(B15,'User Stories'!A:L,12,FALSE)</f>
        <v>Done</v>
      </c>
      <c r="F15" s="4">
        <f>COUNTIFS('Acceptance Criteria'!B:B,B15,'Acceptance Criteria'!F:F,"&lt;&gt;Not Tested")</f>
        <v>4</v>
      </c>
      <c r="G15" s="4">
        <f>COUNTIFS('Acceptance Criteria'!B:B,B15,'Acceptance Criteria'!F:F,"Pass")</f>
        <v>4</v>
      </c>
      <c r="H15" s="4">
        <f>COUNTIFS('Acceptance Criteria'!B:B,B15,'Acceptance Criteria'!F:F,"Fail")</f>
        <v>0</v>
      </c>
      <c r="I15" s="4" t="str">
        <f t="shared" si="0"/>
        <v>Linked</v>
      </c>
      <c r="J15" s="5">
        <f t="shared" si="1"/>
        <v>1</v>
      </c>
    </row>
    <row r="16" spans="1:10">
      <c r="A16" s="4" t="s">
        <v>191</v>
      </c>
      <c r="B16" s="4" t="s">
        <v>204</v>
      </c>
      <c r="C16" s="4">
        <v>4</v>
      </c>
      <c r="D16" s="4">
        <f>COUNTIF('Acceptance Criteria'!B:B,B16)</f>
        <v>4</v>
      </c>
      <c r="E16" s="4" t="str">
        <f>VLOOKUP(B16,'User Stories'!A:L,12,FALSE)</f>
        <v>Done</v>
      </c>
      <c r="F16" s="4">
        <f>COUNTIFS('Acceptance Criteria'!B:B,B16,'Acceptance Criteria'!F:F,"&lt;&gt;Not Tested")</f>
        <v>4</v>
      </c>
      <c r="G16" s="4">
        <f>COUNTIFS('Acceptance Criteria'!B:B,B16,'Acceptance Criteria'!F:F,"Pass")</f>
        <v>4</v>
      </c>
      <c r="H16" s="4">
        <f>COUNTIFS('Acceptance Criteria'!B:B,B16,'Acceptance Criteria'!F:F,"Fail")</f>
        <v>0</v>
      </c>
      <c r="I16" s="4" t="str">
        <f t="shared" si="0"/>
        <v>Linked</v>
      </c>
      <c r="J16" s="5">
        <f t="shared" si="1"/>
        <v>1</v>
      </c>
    </row>
    <row r="17" spans="1:10">
      <c r="A17" s="4" t="s">
        <v>191</v>
      </c>
      <c r="B17" s="4" t="s">
        <v>217</v>
      </c>
      <c r="C17" s="4">
        <v>4</v>
      </c>
      <c r="D17" s="4">
        <f>COUNTIF('Acceptance Criteria'!B:B,B17)</f>
        <v>4</v>
      </c>
      <c r="E17" s="4" t="str">
        <f>VLOOKUP(B17,'User Stories'!A:L,12,FALSE)</f>
        <v>Done</v>
      </c>
      <c r="F17" s="4">
        <f>COUNTIFS('Acceptance Criteria'!B:B,B17,'Acceptance Criteria'!F:F,"&lt;&gt;Not Tested")</f>
        <v>4</v>
      </c>
      <c r="G17" s="4">
        <f>COUNTIFS('Acceptance Criteria'!B:B,B17,'Acceptance Criteria'!F:F,"Pass")</f>
        <v>4</v>
      </c>
      <c r="H17" s="4">
        <f>COUNTIFS('Acceptance Criteria'!B:B,B17,'Acceptance Criteria'!F:F,"Fail")</f>
        <v>0</v>
      </c>
      <c r="I17" s="4" t="str">
        <f t="shared" si="0"/>
        <v>Linked</v>
      </c>
      <c r="J17" s="5">
        <f t="shared" si="1"/>
        <v>1</v>
      </c>
    </row>
    <row r="18" spans="1:10">
      <c r="A18" s="4" t="s">
        <v>191</v>
      </c>
      <c r="B18" s="4" t="s">
        <v>230</v>
      </c>
      <c r="C18" s="4">
        <v>4</v>
      </c>
      <c r="D18" s="4">
        <f>COUNTIF('Acceptance Criteria'!B:B,B18)</f>
        <v>4</v>
      </c>
      <c r="E18" s="4" t="str">
        <f>VLOOKUP(B18,'User Stories'!A:L,12,FALSE)</f>
        <v>Done</v>
      </c>
      <c r="F18" s="4">
        <f>COUNTIFS('Acceptance Criteria'!B:B,B18,'Acceptance Criteria'!F:F,"&lt;&gt;Not Tested")</f>
        <v>4</v>
      </c>
      <c r="G18" s="4">
        <f>COUNTIFS('Acceptance Criteria'!B:B,B18,'Acceptance Criteria'!F:F,"Pass")</f>
        <v>4</v>
      </c>
      <c r="H18" s="4">
        <f>COUNTIFS('Acceptance Criteria'!B:B,B18,'Acceptance Criteria'!F:F,"Fail")</f>
        <v>0</v>
      </c>
      <c r="I18" s="4" t="str">
        <f t="shared" si="0"/>
        <v>Linked</v>
      </c>
      <c r="J18" s="5">
        <f t="shared" si="1"/>
        <v>1</v>
      </c>
    </row>
    <row r="19" spans="1:10">
      <c r="A19" s="4" t="s">
        <v>191</v>
      </c>
      <c r="B19" s="4" t="s">
        <v>243</v>
      </c>
      <c r="C19" s="4">
        <v>4</v>
      </c>
      <c r="D19" s="4">
        <f>COUNTIF('Acceptance Criteria'!B:B,B19)</f>
        <v>4</v>
      </c>
      <c r="E19" s="4" t="str">
        <f>VLOOKUP(B19,'User Stories'!A:L,12,FALSE)</f>
        <v>Done</v>
      </c>
      <c r="F19" s="4">
        <f>COUNTIFS('Acceptance Criteria'!B:B,B19,'Acceptance Criteria'!F:F,"&lt;&gt;Not Tested")</f>
        <v>4</v>
      </c>
      <c r="G19" s="4">
        <f>COUNTIFS('Acceptance Criteria'!B:B,B19,'Acceptance Criteria'!F:F,"Pass")</f>
        <v>4</v>
      </c>
      <c r="H19" s="4">
        <f>COUNTIFS('Acceptance Criteria'!B:B,B19,'Acceptance Criteria'!F:F,"Fail")</f>
        <v>0</v>
      </c>
      <c r="I19" s="4" t="str">
        <f t="shared" si="0"/>
        <v>Linked</v>
      </c>
      <c r="J19" s="5">
        <f t="shared" si="1"/>
        <v>1</v>
      </c>
    </row>
    <row r="20" spans="1:10">
      <c r="A20" s="4" t="s">
        <v>191</v>
      </c>
      <c r="B20" s="4" t="s">
        <v>256</v>
      </c>
      <c r="C20" s="4">
        <v>4</v>
      </c>
      <c r="D20" s="4">
        <f>COUNTIF('Acceptance Criteria'!B:B,B20)</f>
        <v>4</v>
      </c>
      <c r="E20" s="4" t="str">
        <f>VLOOKUP(B20,'User Stories'!A:L,12,FALSE)</f>
        <v>Done</v>
      </c>
      <c r="F20" s="4">
        <f>COUNTIFS('Acceptance Criteria'!B:B,B20,'Acceptance Criteria'!F:F,"&lt;&gt;Not Tested")</f>
        <v>4</v>
      </c>
      <c r="G20" s="4">
        <f>COUNTIFS('Acceptance Criteria'!B:B,B20,'Acceptance Criteria'!F:F,"Pass")</f>
        <v>4</v>
      </c>
      <c r="H20" s="4">
        <f>COUNTIFS('Acceptance Criteria'!B:B,B20,'Acceptance Criteria'!F:F,"Fail")</f>
        <v>0</v>
      </c>
      <c r="I20" s="4" t="str">
        <f t="shared" si="0"/>
        <v>Linked</v>
      </c>
      <c r="J20" s="5">
        <f t="shared" si="1"/>
        <v>1</v>
      </c>
    </row>
    <row r="21" spans="1:10">
      <c r="A21" s="4" t="s">
        <v>191</v>
      </c>
      <c r="B21" s="4" t="s">
        <v>269</v>
      </c>
      <c r="C21" s="4">
        <v>4</v>
      </c>
      <c r="D21" s="4">
        <f>COUNTIF('Acceptance Criteria'!B:B,B21)</f>
        <v>4</v>
      </c>
      <c r="E21" s="4" t="str">
        <f>VLOOKUP(B21,'User Stories'!A:L,12,FALSE)</f>
        <v>Done</v>
      </c>
      <c r="F21" s="4">
        <f>COUNTIFS('Acceptance Criteria'!B:B,B21,'Acceptance Criteria'!F:F,"&lt;&gt;Not Tested")</f>
        <v>4</v>
      </c>
      <c r="G21" s="4">
        <f>COUNTIFS('Acceptance Criteria'!B:B,B21,'Acceptance Criteria'!F:F,"Pass")</f>
        <v>4</v>
      </c>
      <c r="H21" s="4">
        <f>COUNTIFS('Acceptance Criteria'!B:B,B21,'Acceptance Criteria'!F:F,"Fail")</f>
        <v>0</v>
      </c>
      <c r="I21" s="4" t="str">
        <f t="shared" si="0"/>
        <v>Linked</v>
      </c>
      <c r="J21" s="5">
        <f t="shared" si="1"/>
        <v>1</v>
      </c>
    </row>
    <row r="22" spans="1:10">
      <c r="A22" s="4" t="s">
        <v>191</v>
      </c>
      <c r="B22" s="4" t="s">
        <v>284</v>
      </c>
      <c r="C22" s="4">
        <v>4</v>
      </c>
      <c r="D22" s="4">
        <f>COUNTIF('Acceptance Criteria'!B:B,B22)</f>
        <v>4</v>
      </c>
      <c r="E22" s="4" t="str">
        <f>VLOOKUP(B22,'User Stories'!A:L,12,FALSE)</f>
        <v>Done</v>
      </c>
      <c r="F22" s="4">
        <f>COUNTIFS('Acceptance Criteria'!B:B,B22,'Acceptance Criteria'!F:F,"&lt;&gt;Not Tested")</f>
        <v>4</v>
      </c>
      <c r="G22" s="4">
        <f>COUNTIFS('Acceptance Criteria'!B:B,B22,'Acceptance Criteria'!F:F,"Pass")</f>
        <v>4</v>
      </c>
      <c r="H22" s="4">
        <f>COUNTIFS('Acceptance Criteria'!B:B,B22,'Acceptance Criteria'!F:F,"Fail")</f>
        <v>0</v>
      </c>
      <c r="I22" s="4" t="str">
        <f t="shared" si="0"/>
        <v>Linked</v>
      </c>
      <c r="J22" s="5">
        <f t="shared" si="1"/>
        <v>1</v>
      </c>
    </row>
    <row r="23" spans="1:10">
      <c r="A23" s="4" t="s">
        <v>299</v>
      </c>
      <c r="B23" s="4" t="s">
        <v>298</v>
      </c>
      <c r="C23" s="4">
        <v>4</v>
      </c>
      <c r="D23" s="4">
        <f>COUNTIF('Acceptance Criteria'!B:B,B23)</f>
        <v>4</v>
      </c>
      <c r="E23" s="4" t="str">
        <f>VLOOKUP(B23,'User Stories'!A:L,12,FALSE)</f>
        <v>Done</v>
      </c>
      <c r="F23" s="4">
        <f>COUNTIFS('Acceptance Criteria'!B:B,B23,'Acceptance Criteria'!F:F,"&lt;&gt;Not Tested")</f>
        <v>4</v>
      </c>
      <c r="G23" s="4">
        <f>COUNTIFS('Acceptance Criteria'!B:B,B23,'Acceptance Criteria'!F:F,"Pass")</f>
        <v>4</v>
      </c>
      <c r="H23" s="4">
        <f>COUNTIFS('Acceptance Criteria'!B:B,B23,'Acceptance Criteria'!F:F,"Fail")</f>
        <v>0</v>
      </c>
      <c r="I23" s="4" t="str">
        <f t="shared" si="0"/>
        <v>Linked</v>
      </c>
      <c r="J23" s="5">
        <f t="shared" si="1"/>
        <v>1</v>
      </c>
    </row>
    <row r="24" spans="1:10">
      <c r="A24" s="4" t="s">
        <v>299</v>
      </c>
      <c r="B24" s="4" t="s">
        <v>312</v>
      </c>
      <c r="C24" s="4">
        <v>4</v>
      </c>
      <c r="D24" s="4">
        <f>COUNTIF('Acceptance Criteria'!B:B,B24)</f>
        <v>4</v>
      </c>
      <c r="E24" s="4" t="str">
        <f>VLOOKUP(B24,'User Stories'!A:L,12,FALSE)</f>
        <v>Done</v>
      </c>
      <c r="F24" s="4">
        <f>COUNTIFS('Acceptance Criteria'!B:B,B24,'Acceptance Criteria'!F:F,"&lt;&gt;Not Tested")</f>
        <v>4</v>
      </c>
      <c r="G24" s="4">
        <f>COUNTIFS('Acceptance Criteria'!B:B,B24,'Acceptance Criteria'!F:F,"Pass")</f>
        <v>4</v>
      </c>
      <c r="H24" s="4">
        <f>COUNTIFS('Acceptance Criteria'!B:B,B24,'Acceptance Criteria'!F:F,"Fail")</f>
        <v>0</v>
      </c>
      <c r="I24" s="4" t="str">
        <f t="shared" si="0"/>
        <v>Linked</v>
      </c>
      <c r="J24" s="5">
        <f t="shared" si="1"/>
        <v>1</v>
      </c>
    </row>
    <row r="25" spans="1:10">
      <c r="A25" s="4" t="s">
        <v>299</v>
      </c>
      <c r="B25" s="4" t="s">
        <v>325</v>
      </c>
      <c r="C25" s="4">
        <v>4</v>
      </c>
      <c r="D25" s="4">
        <f>COUNTIF('Acceptance Criteria'!B:B,B25)</f>
        <v>4</v>
      </c>
      <c r="E25" s="4" t="str">
        <f>VLOOKUP(B25,'User Stories'!A:L,12,FALSE)</f>
        <v>Done</v>
      </c>
      <c r="F25" s="4">
        <f>COUNTIFS('Acceptance Criteria'!B:B,B25,'Acceptance Criteria'!F:F,"&lt;&gt;Not Tested")</f>
        <v>4</v>
      </c>
      <c r="G25" s="4">
        <f>COUNTIFS('Acceptance Criteria'!B:B,B25,'Acceptance Criteria'!F:F,"Pass")</f>
        <v>4</v>
      </c>
      <c r="H25" s="4">
        <f>COUNTIFS('Acceptance Criteria'!B:B,B25,'Acceptance Criteria'!F:F,"Fail")</f>
        <v>0</v>
      </c>
      <c r="I25" s="4" t="str">
        <f t="shared" si="0"/>
        <v>Linked</v>
      </c>
      <c r="J25" s="5">
        <f t="shared" si="1"/>
        <v>1</v>
      </c>
    </row>
    <row r="26" spans="1:10">
      <c r="A26" s="4" t="s">
        <v>299</v>
      </c>
      <c r="B26" s="4" t="s">
        <v>338</v>
      </c>
      <c r="C26" s="4">
        <v>4</v>
      </c>
      <c r="D26" s="4">
        <f>COUNTIF('Acceptance Criteria'!B:B,B26)</f>
        <v>4</v>
      </c>
      <c r="E26" s="4" t="str">
        <f>VLOOKUP(B26,'User Stories'!A:L,12,FALSE)</f>
        <v>Done</v>
      </c>
      <c r="F26" s="4">
        <f>COUNTIFS('Acceptance Criteria'!B:B,B26,'Acceptance Criteria'!F:F,"&lt;&gt;Not Tested")</f>
        <v>4</v>
      </c>
      <c r="G26" s="4">
        <f>COUNTIFS('Acceptance Criteria'!B:B,B26,'Acceptance Criteria'!F:F,"Pass")</f>
        <v>4</v>
      </c>
      <c r="H26" s="4">
        <f>COUNTIFS('Acceptance Criteria'!B:B,B26,'Acceptance Criteria'!F:F,"Fail")</f>
        <v>0</v>
      </c>
      <c r="I26" s="4" t="str">
        <f t="shared" si="0"/>
        <v>Linked</v>
      </c>
      <c r="J26" s="5">
        <f t="shared" si="1"/>
        <v>1</v>
      </c>
    </row>
    <row r="27" spans="1:10">
      <c r="A27" s="4" t="s">
        <v>299</v>
      </c>
      <c r="B27" s="4" t="s">
        <v>351</v>
      </c>
      <c r="C27" s="4">
        <v>4</v>
      </c>
      <c r="D27" s="4">
        <f>COUNTIF('Acceptance Criteria'!B:B,B27)</f>
        <v>4</v>
      </c>
      <c r="E27" s="4" t="str">
        <f>VLOOKUP(B27,'User Stories'!A:L,12,FALSE)</f>
        <v>Done</v>
      </c>
      <c r="F27" s="4">
        <f>COUNTIFS('Acceptance Criteria'!B:B,B27,'Acceptance Criteria'!F:F,"&lt;&gt;Not Tested")</f>
        <v>4</v>
      </c>
      <c r="G27" s="4">
        <f>COUNTIFS('Acceptance Criteria'!B:B,B27,'Acceptance Criteria'!F:F,"Pass")</f>
        <v>4</v>
      </c>
      <c r="H27" s="4">
        <f>COUNTIFS('Acceptance Criteria'!B:B,B27,'Acceptance Criteria'!F:F,"Fail")</f>
        <v>0</v>
      </c>
      <c r="I27" s="4" t="str">
        <f t="shared" si="0"/>
        <v>Linked</v>
      </c>
      <c r="J27" s="5">
        <f t="shared" si="1"/>
        <v>1</v>
      </c>
    </row>
    <row r="28" spans="1:10">
      <c r="A28" s="4" t="s">
        <v>299</v>
      </c>
      <c r="B28" s="4" t="s">
        <v>365</v>
      </c>
      <c r="C28" s="4">
        <v>4</v>
      </c>
      <c r="D28" s="4">
        <f>COUNTIF('Acceptance Criteria'!B:B,B28)</f>
        <v>4</v>
      </c>
      <c r="E28" s="4" t="str">
        <f>VLOOKUP(B28,'User Stories'!A:L,12,FALSE)</f>
        <v>Done</v>
      </c>
      <c r="F28" s="4">
        <f>COUNTIFS('Acceptance Criteria'!B:B,B28,'Acceptance Criteria'!F:F,"&lt;&gt;Not Tested")</f>
        <v>4</v>
      </c>
      <c r="G28" s="4">
        <f>COUNTIFS('Acceptance Criteria'!B:B,B28,'Acceptance Criteria'!F:F,"Pass")</f>
        <v>4</v>
      </c>
      <c r="H28" s="4">
        <f>COUNTIFS('Acceptance Criteria'!B:B,B28,'Acceptance Criteria'!F:F,"Fail")</f>
        <v>0</v>
      </c>
      <c r="I28" s="4" t="str">
        <f t="shared" si="0"/>
        <v>Linked</v>
      </c>
      <c r="J28" s="5">
        <f t="shared" si="1"/>
        <v>1</v>
      </c>
    </row>
    <row r="29" spans="1:10">
      <c r="A29" s="4" t="s">
        <v>380</v>
      </c>
      <c r="B29" s="4" t="s">
        <v>379</v>
      </c>
      <c r="C29" s="4">
        <v>4</v>
      </c>
      <c r="D29" s="4">
        <f>COUNTIF('Acceptance Criteria'!B:B,B29)</f>
        <v>4</v>
      </c>
      <c r="E29" s="4" t="str">
        <f>VLOOKUP(B29,'User Stories'!A:L,12,FALSE)</f>
        <v>Done</v>
      </c>
      <c r="F29" s="4">
        <f>COUNTIFS('Acceptance Criteria'!B:B,B29,'Acceptance Criteria'!F:F,"&lt;&gt;Not Tested")</f>
        <v>4</v>
      </c>
      <c r="G29" s="4">
        <f>COUNTIFS('Acceptance Criteria'!B:B,B29,'Acceptance Criteria'!F:F,"Pass")</f>
        <v>4</v>
      </c>
      <c r="H29" s="4">
        <f>COUNTIFS('Acceptance Criteria'!B:B,B29,'Acceptance Criteria'!F:F,"Fail")</f>
        <v>0</v>
      </c>
      <c r="I29" s="4" t="str">
        <f t="shared" si="0"/>
        <v>Linked</v>
      </c>
      <c r="J29" s="5">
        <f t="shared" si="1"/>
        <v>1</v>
      </c>
    </row>
    <row r="30" spans="1:10">
      <c r="A30" s="4" t="s">
        <v>380</v>
      </c>
      <c r="B30" s="4" t="s">
        <v>392</v>
      </c>
      <c r="C30" s="4">
        <v>4</v>
      </c>
      <c r="D30" s="4">
        <f>COUNTIF('Acceptance Criteria'!B:B,B30)</f>
        <v>4</v>
      </c>
      <c r="E30" s="4" t="str">
        <f>VLOOKUP(B30,'User Stories'!A:L,12,FALSE)</f>
        <v>Done</v>
      </c>
      <c r="F30" s="4">
        <f>COUNTIFS('Acceptance Criteria'!B:B,B30,'Acceptance Criteria'!F:F,"&lt;&gt;Not Tested")</f>
        <v>4</v>
      </c>
      <c r="G30" s="4">
        <f>COUNTIFS('Acceptance Criteria'!B:B,B30,'Acceptance Criteria'!F:F,"Pass")</f>
        <v>4</v>
      </c>
      <c r="H30" s="4">
        <f>COUNTIFS('Acceptance Criteria'!B:B,B30,'Acceptance Criteria'!F:F,"Fail")</f>
        <v>0</v>
      </c>
      <c r="I30" s="4" t="str">
        <f t="shared" si="0"/>
        <v>Linked</v>
      </c>
      <c r="J30" s="5">
        <f t="shared" si="1"/>
        <v>1</v>
      </c>
    </row>
    <row r="31" spans="1:10">
      <c r="A31" s="4" t="s">
        <v>380</v>
      </c>
      <c r="B31" s="4" t="s">
        <v>405</v>
      </c>
      <c r="C31" s="4">
        <v>4</v>
      </c>
      <c r="D31" s="4">
        <f>COUNTIF('Acceptance Criteria'!B:B,B31)</f>
        <v>4</v>
      </c>
      <c r="E31" s="4" t="str">
        <f>VLOOKUP(B31,'User Stories'!A:L,12,FALSE)</f>
        <v>Done</v>
      </c>
      <c r="F31" s="4">
        <f>COUNTIFS('Acceptance Criteria'!B:B,B31,'Acceptance Criteria'!F:F,"&lt;&gt;Not Tested")</f>
        <v>4</v>
      </c>
      <c r="G31" s="4">
        <f>COUNTIFS('Acceptance Criteria'!B:B,B31,'Acceptance Criteria'!F:F,"Pass")</f>
        <v>4</v>
      </c>
      <c r="H31" s="4">
        <f>COUNTIFS('Acceptance Criteria'!B:B,B31,'Acceptance Criteria'!F:F,"Fail")</f>
        <v>0</v>
      </c>
      <c r="I31" s="4" t="str">
        <f t="shared" si="0"/>
        <v>Linked</v>
      </c>
      <c r="J31" s="5">
        <f t="shared" si="1"/>
        <v>1</v>
      </c>
    </row>
    <row r="32" spans="1:10">
      <c r="A32" s="4" t="s">
        <v>380</v>
      </c>
      <c r="B32" s="4" t="s">
        <v>418</v>
      </c>
      <c r="C32" s="4">
        <v>4</v>
      </c>
      <c r="D32" s="4">
        <f>COUNTIF('Acceptance Criteria'!B:B,B32)</f>
        <v>4</v>
      </c>
      <c r="E32" s="4" t="str">
        <f>VLOOKUP(B32,'User Stories'!A:L,12,FALSE)</f>
        <v>Done</v>
      </c>
      <c r="F32" s="4">
        <f>COUNTIFS('Acceptance Criteria'!B:B,B32,'Acceptance Criteria'!F:F,"&lt;&gt;Not Tested")</f>
        <v>4</v>
      </c>
      <c r="G32" s="4">
        <f>COUNTIFS('Acceptance Criteria'!B:B,B32,'Acceptance Criteria'!F:F,"Pass")</f>
        <v>4</v>
      </c>
      <c r="H32" s="4">
        <f>COUNTIFS('Acceptance Criteria'!B:B,B32,'Acceptance Criteria'!F:F,"Fail")</f>
        <v>0</v>
      </c>
      <c r="I32" s="4" t="str">
        <f t="shared" si="0"/>
        <v>Linked</v>
      </c>
      <c r="J32" s="5">
        <f t="shared" si="1"/>
        <v>1</v>
      </c>
    </row>
    <row r="33" spans="1:10">
      <c r="A33" s="4" t="s">
        <v>380</v>
      </c>
      <c r="B33" s="4" t="s">
        <v>431</v>
      </c>
      <c r="C33" s="4">
        <v>4</v>
      </c>
      <c r="D33" s="4">
        <f>COUNTIF('Acceptance Criteria'!B:B,B33)</f>
        <v>4</v>
      </c>
      <c r="E33" s="4" t="str">
        <f>VLOOKUP(B33,'User Stories'!A:L,12,FALSE)</f>
        <v>Done</v>
      </c>
      <c r="F33" s="4">
        <f>COUNTIFS('Acceptance Criteria'!B:B,B33,'Acceptance Criteria'!F:F,"&lt;&gt;Not Tested")</f>
        <v>4</v>
      </c>
      <c r="G33" s="4">
        <f>COUNTIFS('Acceptance Criteria'!B:B,B33,'Acceptance Criteria'!F:F,"Pass")</f>
        <v>4</v>
      </c>
      <c r="H33" s="4">
        <f>COUNTIFS('Acceptance Criteria'!B:B,B33,'Acceptance Criteria'!F:F,"Fail")</f>
        <v>0</v>
      </c>
      <c r="I33" s="4" t="str">
        <f t="shared" si="0"/>
        <v>Linked</v>
      </c>
      <c r="J33" s="5">
        <f t="shared" si="1"/>
        <v>1</v>
      </c>
    </row>
    <row r="34" spans="1:10">
      <c r="A34" s="4" t="s">
        <v>380</v>
      </c>
      <c r="B34" s="4" t="s">
        <v>445</v>
      </c>
      <c r="C34" s="4">
        <v>4</v>
      </c>
      <c r="D34" s="4">
        <f>COUNTIF('Acceptance Criteria'!B:B,B34)</f>
        <v>4</v>
      </c>
      <c r="E34" s="4" t="str">
        <f>VLOOKUP(B34,'User Stories'!A:L,12,FALSE)</f>
        <v>Done</v>
      </c>
      <c r="F34" s="4">
        <f>COUNTIFS('Acceptance Criteria'!B:B,B34,'Acceptance Criteria'!F:F,"&lt;&gt;Not Tested")</f>
        <v>4</v>
      </c>
      <c r="G34" s="4">
        <f>COUNTIFS('Acceptance Criteria'!B:B,B34,'Acceptance Criteria'!F:F,"Pass")</f>
        <v>4</v>
      </c>
      <c r="H34" s="4">
        <f>COUNTIFS('Acceptance Criteria'!B:B,B34,'Acceptance Criteria'!F:F,"Fail")</f>
        <v>0</v>
      </c>
      <c r="I34" s="4" t="str">
        <f t="shared" ref="I34:I65" si="2">IF(C34=D34,"Linked","Mismatch")</f>
        <v>Linked</v>
      </c>
      <c r="J34" s="5">
        <f t="shared" ref="J34:J65" si="3">IF(C34=0,0,G34/C34)</f>
        <v>1</v>
      </c>
    </row>
    <row r="35" spans="1:10">
      <c r="A35" s="4" t="s">
        <v>380</v>
      </c>
      <c r="B35" s="4" t="s">
        <v>459</v>
      </c>
      <c r="C35" s="4">
        <v>4</v>
      </c>
      <c r="D35" s="4">
        <f>COUNTIF('Acceptance Criteria'!B:B,B35)</f>
        <v>4</v>
      </c>
      <c r="E35" s="4" t="str">
        <f>VLOOKUP(B35,'User Stories'!A:L,12,FALSE)</f>
        <v>Done</v>
      </c>
      <c r="F35" s="4">
        <f>COUNTIFS('Acceptance Criteria'!B:B,B35,'Acceptance Criteria'!F:F,"&lt;&gt;Not Tested")</f>
        <v>4</v>
      </c>
      <c r="G35" s="4">
        <f>COUNTIFS('Acceptance Criteria'!B:B,B35,'Acceptance Criteria'!F:F,"Pass")</f>
        <v>4</v>
      </c>
      <c r="H35" s="4">
        <f>COUNTIFS('Acceptance Criteria'!B:B,B35,'Acceptance Criteria'!F:F,"Fail")</f>
        <v>0</v>
      </c>
      <c r="I35" s="4" t="str">
        <f t="shared" si="2"/>
        <v>Linked</v>
      </c>
      <c r="J35" s="5">
        <f t="shared" si="3"/>
        <v>1</v>
      </c>
    </row>
    <row r="36" spans="1:10">
      <c r="A36" s="4" t="s">
        <v>380</v>
      </c>
      <c r="B36" s="4" t="s">
        <v>472</v>
      </c>
      <c r="C36" s="4">
        <v>4</v>
      </c>
      <c r="D36" s="4">
        <f>COUNTIF('Acceptance Criteria'!B:B,B36)</f>
        <v>4</v>
      </c>
      <c r="E36" s="4" t="str">
        <f>VLOOKUP(B36,'User Stories'!A:L,12,FALSE)</f>
        <v>Done</v>
      </c>
      <c r="F36" s="4">
        <f>COUNTIFS('Acceptance Criteria'!B:B,B36,'Acceptance Criteria'!F:F,"&lt;&gt;Not Tested")</f>
        <v>4</v>
      </c>
      <c r="G36" s="4">
        <f>COUNTIFS('Acceptance Criteria'!B:B,B36,'Acceptance Criteria'!F:F,"Pass")</f>
        <v>4</v>
      </c>
      <c r="H36" s="4">
        <f>COUNTIFS('Acceptance Criteria'!B:B,B36,'Acceptance Criteria'!F:F,"Fail")</f>
        <v>0</v>
      </c>
      <c r="I36" s="4" t="str">
        <f t="shared" si="2"/>
        <v>Linked</v>
      </c>
      <c r="J36" s="5">
        <f t="shared" si="3"/>
        <v>1</v>
      </c>
    </row>
    <row r="37" spans="1:10">
      <c r="A37" s="4" t="s">
        <v>488</v>
      </c>
      <c r="B37" s="4" t="s">
        <v>487</v>
      </c>
      <c r="C37" s="4">
        <v>4</v>
      </c>
      <c r="D37" s="4">
        <f>COUNTIF('Acceptance Criteria'!B:B,B37)</f>
        <v>4</v>
      </c>
      <c r="E37" s="4" t="str">
        <f>VLOOKUP(B37,'User Stories'!A:L,12,FALSE)</f>
        <v>Done</v>
      </c>
      <c r="F37" s="4">
        <f>COUNTIFS('Acceptance Criteria'!B:B,B37,'Acceptance Criteria'!F:F,"&lt;&gt;Not Tested")</f>
        <v>4</v>
      </c>
      <c r="G37" s="4">
        <f>COUNTIFS('Acceptance Criteria'!B:B,B37,'Acceptance Criteria'!F:F,"Pass")</f>
        <v>4</v>
      </c>
      <c r="H37" s="4">
        <f>COUNTIFS('Acceptance Criteria'!B:B,B37,'Acceptance Criteria'!F:F,"Fail")</f>
        <v>0</v>
      </c>
      <c r="I37" s="4" t="str">
        <f t="shared" si="2"/>
        <v>Linked</v>
      </c>
      <c r="J37" s="5">
        <f t="shared" si="3"/>
        <v>1</v>
      </c>
    </row>
    <row r="38" spans="1:10">
      <c r="A38" s="4" t="s">
        <v>488</v>
      </c>
      <c r="B38" s="4" t="s">
        <v>501</v>
      </c>
      <c r="C38" s="4">
        <v>4</v>
      </c>
      <c r="D38" s="4">
        <f>COUNTIF('Acceptance Criteria'!B:B,B38)</f>
        <v>4</v>
      </c>
      <c r="E38" s="4" t="str">
        <f>VLOOKUP(B38,'User Stories'!A:L,12,FALSE)</f>
        <v>Done</v>
      </c>
      <c r="F38" s="4">
        <f>COUNTIFS('Acceptance Criteria'!B:B,B38,'Acceptance Criteria'!F:F,"&lt;&gt;Not Tested")</f>
        <v>4</v>
      </c>
      <c r="G38" s="4">
        <f>COUNTIFS('Acceptance Criteria'!B:B,B38,'Acceptance Criteria'!F:F,"Pass")</f>
        <v>4</v>
      </c>
      <c r="H38" s="4">
        <f>COUNTIFS('Acceptance Criteria'!B:B,B38,'Acceptance Criteria'!F:F,"Fail")</f>
        <v>0</v>
      </c>
      <c r="I38" s="4" t="str">
        <f t="shared" si="2"/>
        <v>Linked</v>
      </c>
      <c r="J38" s="5">
        <f t="shared" si="3"/>
        <v>1</v>
      </c>
    </row>
    <row r="39" spans="1:10">
      <c r="A39" s="4" t="s">
        <v>488</v>
      </c>
      <c r="B39" s="4" t="s">
        <v>514</v>
      </c>
      <c r="C39" s="4">
        <v>4</v>
      </c>
      <c r="D39" s="4">
        <f>COUNTIF('Acceptance Criteria'!B:B,B39)</f>
        <v>4</v>
      </c>
      <c r="E39" s="4" t="str">
        <f>VLOOKUP(B39,'User Stories'!A:L,12,FALSE)</f>
        <v>Done</v>
      </c>
      <c r="F39" s="4">
        <f>COUNTIFS('Acceptance Criteria'!B:B,B39,'Acceptance Criteria'!F:F,"&lt;&gt;Not Tested")</f>
        <v>4</v>
      </c>
      <c r="G39" s="4">
        <f>COUNTIFS('Acceptance Criteria'!B:B,B39,'Acceptance Criteria'!F:F,"Pass")</f>
        <v>4</v>
      </c>
      <c r="H39" s="4">
        <f>COUNTIFS('Acceptance Criteria'!B:B,B39,'Acceptance Criteria'!F:F,"Fail")</f>
        <v>0</v>
      </c>
      <c r="I39" s="4" t="str">
        <f t="shared" si="2"/>
        <v>Linked</v>
      </c>
      <c r="J39" s="5">
        <f t="shared" si="3"/>
        <v>1</v>
      </c>
    </row>
    <row r="40" spans="1:10">
      <c r="A40" s="4" t="s">
        <v>488</v>
      </c>
      <c r="B40" s="4" t="s">
        <v>527</v>
      </c>
      <c r="C40" s="4">
        <v>4</v>
      </c>
      <c r="D40" s="4">
        <f>COUNTIF('Acceptance Criteria'!B:B,B40)</f>
        <v>4</v>
      </c>
      <c r="E40" s="4" t="str">
        <f>VLOOKUP(B40,'User Stories'!A:L,12,FALSE)</f>
        <v>Done</v>
      </c>
      <c r="F40" s="4">
        <f>COUNTIFS('Acceptance Criteria'!B:B,B40,'Acceptance Criteria'!F:F,"&lt;&gt;Not Tested")</f>
        <v>4</v>
      </c>
      <c r="G40" s="4">
        <f>COUNTIFS('Acceptance Criteria'!B:B,B40,'Acceptance Criteria'!F:F,"Pass")</f>
        <v>4</v>
      </c>
      <c r="H40" s="4">
        <f>COUNTIFS('Acceptance Criteria'!B:B,B40,'Acceptance Criteria'!F:F,"Fail")</f>
        <v>0</v>
      </c>
      <c r="I40" s="4" t="str">
        <f t="shared" si="2"/>
        <v>Linked</v>
      </c>
      <c r="J40" s="5">
        <f t="shared" si="3"/>
        <v>1</v>
      </c>
    </row>
    <row r="41" spans="1:10">
      <c r="A41" s="4" t="s">
        <v>488</v>
      </c>
      <c r="B41" s="4" t="s">
        <v>540</v>
      </c>
      <c r="C41" s="4">
        <v>4</v>
      </c>
      <c r="D41" s="4">
        <f>COUNTIF('Acceptance Criteria'!B:B,B41)</f>
        <v>4</v>
      </c>
      <c r="E41" s="4" t="str">
        <f>VLOOKUP(B41,'User Stories'!A:L,12,FALSE)</f>
        <v>Done</v>
      </c>
      <c r="F41" s="4">
        <f>COUNTIFS('Acceptance Criteria'!B:B,B41,'Acceptance Criteria'!F:F,"&lt;&gt;Not Tested")</f>
        <v>4</v>
      </c>
      <c r="G41" s="4">
        <f>COUNTIFS('Acceptance Criteria'!B:B,B41,'Acceptance Criteria'!F:F,"Pass")</f>
        <v>4</v>
      </c>
      <c r="H41" s="4">
        <f>COUNTIFS('Acceptance Criteria'!B:B,B41,'Acceptance Criteria'!F:F,"Fail")</f>
        <v>0</v>
      </c>
      <c r="I41" s="4" t="str">
        <f t="shared" si="2"/>
        <v>Linked</v>
      </c>
      <c r="J41" s="5">
        <f t="shared" si="3"/>
        <v>1</v>
      </c>
    </row>
    <row r="42" spans="1:10">
      <c r="A42" s="4" t="s">
        <v>488</v>
      </c>
      <c r="B42" s="4" t="s">
        <v>553</v>
      </c>
      <c r="C42" s="4">
        <v>4</v>
      </c>
      <c r="D42" s="4">
        <f>COUNTIF('Acceptance Criteria'!B:B,B42)</f>
        <v>4</v>
      </c>
      <c r="E42" s="4" t="str">
        <f>VLOOKUP(B42,'User Stories'!A:L,12,FALSE)</f>
        <v>Done</v>
      </c>
      <c r="F42" s="4">
        <f>COUNTIFS('Acceptance Criteria'!B:B,B42,'Acceptance Criteria'!F:F,"&lt;&gt;Not Tested")</f>
        <v>4</v>
      </c>
      <c r="G42" s="4">
        <f>COUNTIFS('Acceptance Criteria'!B:B,B42,'Acceptance Criteria'!F:F,"Pass")</f>
        <v>4</v>
      </c>
      <c r="H42" s="4">
        <f>COUNTIFS('Acceptance Criteria'!B:B,B42,'Acceptance Criteria'!F:F,"Fail")</f>
        <v>0</v>
      </c>
      <c r="I42" s="4" t="str">
        <f t="shared" si="2"/>
        <v>Linked</v>
      </c>
      <c r="J42" s="5">
        <f t="shared" si="3"/>
        <v>1</v>
      </c>
    </row>
    <row r="43" spans="1:10">
      <c r="A43" s="4" t="s">
        <v>488</v>
      </c>
      <c r="B43" s="4" t="s">
        <v>566</v>
      </c>
      <c r="C43" s="4">
        <v>4</v>
      </c>
      <c r="D43" s="4">
        <f>COUNTIF('Acceptance Criteria'!B:B,B43)</f>
        <v>4</v>
      </c>
      <c r="E43" s="4" t="str">
        <f>VLOOKUP(B43,'User Stories'!A:L,12,FALSE)</f>
        <v>Done</v>
      </c>
      <c r="F43" s="4">
        <f>COUNTIFS('Acceptance Criteria'!B:B,B43,'Acceptance Criteria'!F:F,"&lt;&gt;Not Tested")</f>
        <v>4</v>
      </c>
      <c r="G43" s="4">
        <f>COUNTIFS('Acceptance Criteria'!B:B,B43,'Acceptance Criteria'!F:F,"Pass")</f>
        <v>4</v>
      </c>
      <c r="H43" s="4">
        <f>COUNTIFS('Acceptance Criteria'!B:B,B43,'Acceptance Criteria'!F:F,"Fail")</f>
        <v>0</v>
      </c>
      <c r="I43" s="4" t="str">
        <f t="shared" si="2"/>
        <v>Linked</v>
      </c>
      <c r="J43" s="5">
        <f t="shared" si="3"/>
        <v>1</v>
      </c>
    </row>
    <row r="44" spans="1:10">
      <c r="A44" s="4" t="s">
        <v>488</v>
      </c>
      <c r="B44" s="4" t="s">
        <v>579</v>
      </c>
      <c r="C44" s="4">
        <v>4</v>
      </c>
      <c r="D44" s="4">
        <f>COUNTIF('Acceptance Criteria'!B:B,B44)</f>
        <v>4</v>
      </c>
      <c r="E44" s="4" t="str">
        <f>VLOOKUP(B44,'User Stories'!A:L,12,FALSE)</f>
        <v>Done</v>
      </c>
      <c r="F44" s="4">
        <f>COUNTIFS('Acceptance Criteria'!B:B,B44,'Acceptance Criteria'!F:F,"&lt;&gt;Not Tested")</f>
        <v>4</v>
      </c>
      <c r="G44" s="4">
        <f>COUNTIFS('Acceptance Criteria'!B:B,B44,'Acceptance Criteria'!F:F,"Pass")</f>
        <v>4</v>
      </c>
      <c r="H44" s="4">
        <f>COUNTIFS('Acceptance Criteria'!B:B,B44,'Acceptance Criteria'!F:F,"Fail")</f>
        <v>0</v>
      </c>
      <c r="I44" s="4" t="str">
        <f t="shared" si="2"/>
        <v>Linked</v>
      </c>
      <c r="J44" s="5">
        <f t="shared" si="3"/>
        <v>1</v>
      </c>
    </row>
    <row r="45" spans="1:10">
      <c r="A45" s="4" t="s">
        <v>488</v>
      </c>
      <c r="B45" s="4" t="s">
        <v>592</v>
      </c>
      <c r="C45" s="4">
        <v>4</v>
      </c>
      <c r="D45" s="4">
        <f>COUNTIF('Acceptance Criteria'!B:B,B45)</f>
        <v>4</v>
      </c>
      <c r="E45" s="4" t="str">
        <f>VLOOKUP(B45,'User Stories'!A:L,12,FALSE)</f>
        <v>Done</v>
      </c>
      <c r="F45" s="4">
        <f>COUNTIFS('Acceptance Criteria'!B:B,B45,'Acceptance Criteria'!F:F,"&lt;&gt;Not Tested")</f>
        <v>4</v>
      </c>
      <c r="G45" s="4">
        <f>COUNTIFS('Acceptance Criteria'!B:B,B45,'Acceptance Criteria'!F:F,"Pass")</f>
        <v>4</v>
      </c>
      <c r="H45" s="4">
        <f>COUNTIFS('Acceptance Criteria'!B:B,B45,'Acceptance Criteria'!F:F,"Fail")</f>
        <v>0</v>
      </c>
      <c r="I45" s="4" t="str">
        <f t="shared" si="2"/>
        <v>Linked</v>
      </c>
      <c r="J45" s="5">
        <f t="shared" si="3"/>
        <v>1</v>
      </c>
    </row>
    <row r="46" spans="1:10">
      <c r="A46" s="4" t="s">
        <v>488</v>
      </c>
      <c r="B46" s="4" t="s">
        <v>605</v>
      </c>
      <c r="C46" s="4">
        <v>4</v>
      </c>
      <c r="D46" s="4">
        <f>COUNTIF('Acceptance Criteria'!B:B,B46)</f>
        <v>4</v>
      </c>
      <c r="E46" s="4" t="str">
        <f>VLOOKUP(B46,'User Stories'!A:L,12,FALSE)</f>
        <v>Done</v>
      </c>
      <c r="F46" s="4">
        <f>COUNTIFS('Acceptance Criteria'!B:B,B46,'Acceptance Criteria'!F:F,"&lt;&gt;Not Tested")</f>
        <v>4</v>
      </c>
      <c r="G46" s="4">
        <f>COUNTIFS('Acceptance Criteria'!B:B,B46,'Acceptance Criteria'!F:F,"Pass")</f>
        <v>4</v>
      </c>
      <c r="H46" s="4">
        <f>COUNTIFS('Acceptance Criteria'!B:B,B46,'Acceptance Criteria'!F:F,"Fail")</f>
        <v>0</v>
      </c>
      <c r="I46" s="4" t="str">
        <f t="shared" si="2"/>
        <v>Linked</v>
      </c>
      <c r="J46" s="5">
        <f t="shared" si="3"/>
        <v>1</v>
      </c>
    </row>
    <row r="47" spans="1:10">
      <c r="A47" s="4" t="s">
        <v>619</v>
      </c>
      <c r="B47" s="4" t="s">
        <v>618</v>
      </c>
      <c r="C47" s="4">
        <v>4</v>
      </c>
      <c r="D47" s="4">
        <f>COUNTIF('Acceptance Criteria'!B:B,B47)</f>
        <v>4</v>
      </c>
      <c r="E47" s="4" t="str">
        <f>VLOOKUP(B47,'User Stories'!A:L,12,FALSE)</f>
        <v>Done</v>
      </c>
      <c r="F47" s="4">
        <f>COUNTIFS('Acceptance Criteria'!B:B,B47,'Acceptance Criteria'!F:F,"&lt;&gt;Not Tested")</f>
        <v>4</v>
      </c>
      <c r="G47" s="4">
        <f>COUNTIFS('Acceptance Criteria'!B:B,B47,'Acceptance Criteria'!F:F,"Pass")</f>
        <v>4</v>
      </c>
      <c r="H47" s="4">
        <f>COUNTIFS('Acceptance Criteria'!B:B,B47,'Acceptance Criteria'!F:F,"Fail")</f>
        <v>0</v>
      </c>
      <c r="I47" s="4" t="str">
        <f t="shared" si="2"/>
        <v>Linked</v>
      </c>
      <c r="J47" s="5">
        <f t="shared" si="3"/>
        <v>1</v>
      </c>
    </row>
    <row r="48" spans="1:10">
      <c r="A48" s="4" t="s">
        <v>619</v>
      </c>
      <c r="B48" s="4" t="s">
        <v>632</v>
      </c>
      <c r="C48" s="4">
        <v>4</v>
      </c>
      <c r="D48" s="4">
        <f>COUNTIF('Acceptance Criteria'!B:B,B48)</f>
        <v>4</v>
      </c>
      <c r="E48" s="4" t="str">
        <f>VLOOKUP(B48,'User Stories'!A:L,12,FALSE)</f>
        <v>Done</v>
      </c>
      <c r="F48" s="4">
        <f>COUNTIFS('Acceptance Criteria'!B:B,B48,'Acceptance Criteria'!F:F,"&lt;&gt;Not Tested")</f>
        <v>4</v>
      </c>
      <c r="G48" s="4">
        <f>COUNTIFS('Acceptance Criteria'!B:B,B48,'Acceptance Criteria'!F:F,"Pass")</f>
        <v>4</v>
      </c>
      <c r="H48" s="4">
        <f>COUNTIFS('Acceptance Criteria'!B:B,B48,'Acceptance Criteria'!F:F,"Fail")</f>
        <v>0</v>
      </c>
      <c r="I48" s="4" t="str">
        <f t="shared" si="2"/>
        <v>Linked</v>
      </c>
      <c r="J48" s="5">
        <f t="shared" si="3"/>
        <v>1</v>
      </c>
    </row>
    <row r="49" spans="1:10">
      <c r="A49" s="4" t="s">
        <v>619</v>
      </c>
      <c r="B49" s="4" t="s">
        <v>645</v>
      </c>
      <c r="C49" s="4">
        <v>4</v>
      </c>
      <c r="D49" s="4">
        <f>COUNTIF('Acceptance Criteria'!B:B,B49)</f>
        <v>4</v>
      </c>
      <c r="E49" s="4" t="str">
        <f>VLOOKUP(B49,'User Stories'!A:L,12,FALSE)</f>
        <v>Done</v>
      </c>
      <c r="F49" s="4">
        <f>COUNTIFS('Acceptance Criteria'!B:B,B49,'Acceptance Criteria'!F:F,"&lt;&gt;Not Tested")</f>
        <v>4</v>
      </c>
      <c r="G49" s="4">
        <f>COUNTIFS('Acceptance Criteria'!B:B,B49,'Acceptance Criteria'!F:F,"Pass")</f>
        <v>4</v>
      </c>
      <c r="H49" s="4">
        <f>COUNTIFS('Acceptance Criteria'!B:B,B49,'Acceptance Criteria'!F:F,"Fail")</f>
        <v>0</v>
      </c>
      <c r="I49" s="4" t="str">
        <f t="shared" si="2"/>
        <v>Linked</v>
      </c>
      <c r="J49" s="5">
        <f t="shared" si="3"/>
        <v>1</v>
      </c>
    </row>
    <row r="50" spans="1:10">
      <c r="A50" s="4" t="s">
        <v>619</v>
      </c>
      <c r="B50" s="4" t="s">
        <v>658</v>
      </c>
      <c r="C50" s="4">
        <v>4</v>
      </c>
      <c r="D50" s="4">
        <f>COUNTIF('Acceptance Criteria'!B:B,B50)</f>
        <v>4</v>
      </c>
      <c r="E50" s="4" t="str">
        <f>VLOOKUP(B50,'User Stories'!A:L,12,FALSE)</f>
        <v>Done</v>
      </c>
      <c r="F50" s="4">
        <f>COUNTIFS('Acceptance Criteria'!B:B,B50,'Acceptance Criteria'!F:F,"&lt;&gt;Not Tested")</f>
        <v>4</v>
      </c>
      <c r="G50" s="4">
        <f>COUNTIFS('Acceptance Criteria'!B:B,B50,'Acceptance Criteria'!F:F,"Pass")</f>
        <v>4</v>
      </c>
      <c r="H50" s="4">
        <f>COUNTIFS('Acceptance Criteria'!B:B,B50,'Acceptance Criteria'!F:F,"Fail")</f>
        <v>0</v>
      </c>
      <c r="I50" s="4" t="str">
        <f t="shared" si="2"/>
        <v>Linked</v>
      </c>
      <c r="J50" s="5">
        <f t="shared" si="3"/>
        <v>1</v>
      </c>
    </row>
    <row r="51" spans="1:10">
      <c r="A51" s="4" t="s">
        <v>619</v>
      </c>
      <c r="B51" s="4" t="s">
        <v>671</v>
      </c>
      <c r="C51" s="4">
        <v>4</v>
      </c>
      <c r="D51" s="4">
        <f>COUNTIF('Acceptance Criteria'!B:B,B51)</f>
        <v>4</v>
      </c>
      <c r="E51" s="4" t="str">
        <f>VLOOKUP(B51,'User Stories'!A:L,12,FALSE)</f>
        <v>Done</v>
      </c>
      <c r="F51" s="4">
        <f>COUNTIFS('Acceptance Criteria'!B:B,B51,'Acceptance Criteria'!F:F,"&lt;&gt;Not Tested")</f>
        <v>4</v>
      </c>
      <c r="G51" s="4">
        <f>COUNTIFS('Acceptance Criteria'!B:B,B51,'Acceptance Criteria'!F:F,"Pass")</f>
        <v>4</v>
      </c>
      <c r="H51" s="4">
        <f>COUNTIFS('Acceptance Criteria'!B:B,B51,'Acceptance Criteria'!F:F,"Fail")</f>
        <v>0</v>
      </c>
      <c r="I51" s="4" t="str">
        <f t="shared" si="2"/>
        <v>Linked</v>
      </c>
      <c r="J51" s="5">
        <f t="shared" si="3"/>
        <v>1</v>
      </c>
    </row>
    <row r="52" spans="1:10">
      <c r="A52" s="4" t="s">
        <v>685</v>
      </c>
      <c r="B52" s="4" t="s">
        <v>684</v>
      </c>
      <c r="C52" s="4">
        <v>4</v>
      </c>
      <c r="D52" s="4">
        <f>COUNTIF('Acceptance Criteria'!B:B,B52)</f>
        <v>4</v>
      </c>
      <c r="E52" s="4" t="str">
        <f>VLOOKUP(B52,'User Stories'!A:L,12,FALSE)</f>
        <v>Done</v>
      </c>
      <c r="F52" s="4">
        <f>COUNTIFS('Acceptance Criteria'!B:B,B52,'Acceptance Criteria'!F:F,"&lt;&gt;Not Tested")</f>
        <v>4</v>
      </c>
      <c r="G52" s="4">
        <f>COUNTIFS('Acceptance Criteria'!B:B,B52,'Acceptance Criteria'!F:F,"Pass")</f>
        <v>4</v>
      </c>
      <c r="H52" s="4">
        <f>COUNTIFS('Acceptance Criteria'!B:B,B52,'Acceptance Criteria'!F:F,"Fail")</f>
        <v>0</v>
      </c>
      <c r="I52" s="4" t="str">
        <f t="shared" si="2"/>
        <v>Linked</v>
      </c>
      <c r="J52" s="5">
        <f t="shared" si="3"/>
        <v>1</v>
      </c>
    </row>
    <row r="53" spans="1:10">
      <c r="A53" s="4" t="s">
        <v>685</v>
      </c>
      <c r="B53" s="4" t="s">
        <v>698</v>
      </c>
      <c r="C53" s="4">
        <v>4</v>
      </c>
      <c r="D53" s="4">
        <f>COUNTIF('Acceptance Criteria'!B:B,B53)</f>
        <v>4</v>
      </c>
      <c r="E53" s="4" t="str">
        <f>VLOOKUP(B53,'User Stories'!A:L,12,FALSE)</f>
        <v>Done</v>
      </c>
      <c r="F53" s="4">
        <f>COUNTIFS('Acceptance Criteria'!B:B,B53,'Acceptance Criteria'!F:F,"&lt;&gt;Not Tested")</f>
        <v>4</v>
      </c>
      <c r="G53" s="4">
        <f>COUNTIFS('Acceptance Criteria'!B:B,B53,'Acceptance Criteria'!F:F,"Pass")</f>
        <v>4</v>
      </c>
      <c r="H53" s="4">
        <f>COUNTIFS('Acceptance Criteria'!B:B,B53,'Acceptance Criteria'!F:F,"Fail")</f>
        <v>0</v>
      </c>
      <c r="I53" s="4" t="str">
        <f t="shared" si="2"/>
        <v>Linked</v>
      </c>
      <c r="J53" s="5">
        <f t="shared" si="3"/>
        <v>1</v>
      </c>
    </row>
    <row r="54" spans="1:10">
      <c r="A54" s="4" t="s">
        <v>685</v>
      </c>
      <c r="B54" s="4" t="s">
        <v>712</v>
      </c>
      <c r="C54" s="4">
        <v>4</v>
      </c>
      <c r="D54" s="4">
        <f>COUNTIF('Acceptance Criteria'!B:B,B54)</f>
        <v>4</v>
      </c>
      <c r="E54" s="4" t="str">
        <f>VLOOKUP(B54,'User Stories'!A:L,12,FALSE)</f>
        <v>Done</v>
      </c>
      <c r="F54" s="4">
        <f>COUNTIFS('Acceptance Criteria'!B:B,B54,'Acceptance Criteria'!F:F,"&lt;&gt;Not Tested")</f>
        <v>4</v>
      </c>
      <c r="G54" s="4">
        <f>COUNTIFS('Acceptance Criteria'!B:B,B54,'Acceptance Criteria'!F:F,"Pass")</f>
        <v>4</v>
      </c>
      <c r="H54" s="4">
        <f>COUNTIFS('Acceptance Criteria'!B:B,B54,'Acceptance Criteria'!F:F,"Fail")</f>
        <v>0</v>
      </c>
      <c r="I54" s="4" t="str">
        <f t="shared" si="2"/>
        <v>Linked</v>
      </c>
      <c r="J54" s="5">
        <f t="shared" si="3"/>
        <v>1</v>
      </c>
    </row>
    <row r="55" spans="1:10">
      <c r="A55" s="4" t="s">
        <v>685</v>
      </c>
      <c r="B55" s="4" t="s">
        <v>726</v>
      </c>
      <c r="C55" s="4">
        <v>4</v>
      </c>
      <c r="D55" s="4">
        <f>COUNTIF('Acceptance Criteria'!B:B,B55)</f>
        <v>4</v>
      </c>
      <c r="E55" s="4" t="str">
        <f>VLOOKUP(B55,'User Stories'!A:L,12,FALSE)</f>
        <v>Done</v>
      </c>
      <c r="F55" s="4">
        <f>COUNTIFS('Acceptance Criteria'!B:B,B55,'Acceptance Criteria'!F:F,"&lt;&gt;Not Tested")</f>
        <v>4</v>
      </c>
      <c r="G55" s="4">
        <f>COUNTIFS('Acceptance Criteria'!B:B,B55,'Acceptance Criteria'!F:F,"Pass")</f>
        <v>4</v>
      </c>
      <c r="H55" s="4">
        <f>COUNTIFS('Acceptance Criteria'!B:B,B55,'Acceptance Criteria'!F:F,"Fail")</f>
        <v>0</v>
      </c>
      <c r="I55" s="4" t="str">
        <f t="shared" si="2"/>
        <v>Linked</v>
      </c>
      <c r="J55" s="5">
        <f t="shared" si="3"/>
        <v>1</v>
      </c>
    </row>
    <row r="56" spans="1:10">
      <c r="A56" s="4" t="s">
        <v>685</v>
      </c>
      <c r="B56" s="4" t="s">
        <v>739</v>
      </c>
      <c r="C56" s="4">
        <v>4</v>
      </c>
      <c r="D56" s="4">
        <f>COUNTIF('Acceptance Criteria'!B:B,B56)</f>
        <v>4</v>
      </c>
      <c r="E56" s="4" t="str">
        <f>VLOOKUP(B56,'User Stories'!A:L,12,FALSE)</f>
        <v>Done</v>
      </c>
      <c r="F56" s="4">
        <f>COUNTIFS('Acceptance Criteria'!B:B,B56,'Acceptance Criteria'!F:F,"&lt;&gt;Not Tested")</f>
        <v>4</v>
      </c>
      <c r="G56" s="4">
        <f>COUNTIFS('Acceptance Criteria'!B:B,B56,'Acceptance Criteria'!F:F,"Pass")</f>
        <v>4</v>
      </c>
      <c r="H56" s="4">
        <f>COUNTIFS('Acceptance Criteria'!B:B,B56,'Acceptance Criteria'!F:F,"Fail")</f>
        <v>0</v>
      </c>
      <c r="I56" s="4" t="str">
        <f t="shared" si="2"/>
        <v>Linked</v>
      </c>
      <c r="J56" s="5">
        <f t="shared" si="3"/>
        <v>1</v>
      </c>
    </row>
    <row r="57" spans="1:10">
      <c r="A57" s="4" t="s">
        <v>754</v>
      </c>
      <c r="B57" s="4" t="s">
        <v>753</v>
      </c>
      <c r="C57" s="4">
        <v>4</v>
      </c>
      <c r="D57" s="4">
        <f>COUNTIF('Acceptance Criteria'!B:B,B57)</f>
        <v>4</v>
      </c>
      <c r="E57" s="4" t="str">
        <f>VLOOKUP(B57,'User Stories'!A:L,12,FALSE)</f>
        <v>Done</v>
      </c>
      <c r="F57" s="4">
        <f>COUNTIFS('Acceptance Criteria'!B:B,B57,'Acceptance Criteria'!F:F,"&lt;&gt;Not Tested")</f>
        <v>4</v>
      </c>
      <c r="G57" s="4">
        <f>COUNTIFS('Acceptance Criteria'!B:B,B57,'Acceptance Criteria'!F:F,"Pass")</f>
        <v>4</v>
      </c>
      <c r="H57" s="4">
        <f>COUNTIFS('Acceptance Criteria'!B:B,B57,'Acceptance Criteria'!F:F,"Fail")</f>
        <v>0</v>
      </c>
      <c r="I57" s="4" t="str">
        <f t="shared" si="2"/>
        <v>Linked</v>
      </c>
      <c r="J57" s="5">
        <f t="shared" si="3"/>
        <v>1</v>
      </c>
    </row>
    <row r="58" spans="1:10">
      <c r="A58" s="4" t="s">
        <v>754</v>
      </c>
      <c r="B58" s="4" t="s">
        <v>767</v>
      </c>
      <c r="C58" s="4">
        <v>4</v>
      </c>
      <c r="D58" s="4">
        <f>COUNTIF('Acceptance Criteria'!B:B,B58)</f>
        <v>4</v>
      </c>
      <c r="E58" s="4" t="str">
        <f>VLOOKUP(B58,'User Stories'!A:L,12,FALSE)</f>
        <v>Done</v>
      </c>
      <c r="F58" s="4">
        <f>COUNTIFS('Acceptance Criteria'!B:B,B58,'Acceptance Criteria'!F:F,"&lt;&gt;Not Tested")</f>
        <v>4</v>
      </c>
      <c r="G58" s="4">
        <f>COUNTIFS('Acceptance Criteria'!B:B,B58,'Acceptance Criteria'!F:F,"Pass")</f>
        <v>4</v>
      </c>
      <c r="H58" s="4">
        <f>COUNTIFS('Acceptance Criteria'!B:B,B58,'Acceptance Criteria'!F:F,"Fail")</f>
        <v>0</v>
      </c>
      <c r="I58" s="4" t="str">
        <f t="shared" si="2"/>
        <v>Linked</v>
      </c>
      <c r="J58" s="5">
        <f t="shared" si="3"/>
        <v>1</v>
      </c>
    </row>
    <row r="59" spans="1:10">
      <c r="A59" s="4" t="s">
        <v>754</v>
      </c>
      <c r="B59" s="4" t="s">
        <v>781</v>
      </c>
      <c r="C59" s="4">
        <v>4</v>
      </c>
      <c r="D59" s="4">
        <f>COUNTIF('Acceptance Criteria'!B:B,B59)</f>
        <v>4</v>
      </c>
      <c r="E59" s="4" t="str">
        <f>VLOOKUP(B59,'User Stories'!A:L,12,FALSE)</f>
        <v>Done</v>
      </c>
      <c r="F59" s="4">
        <f>COUNTIFS('Acceptance Criteria'!B:B,B59,'Acceptance Criteria'!F:F,"&lt;&gt;Not Tested")</f>
        <v>4</v>
      </c>
      <c r="G59" s="4">
        <f>COUNTIFS('Acceptance Criteria'!B:B,B59,'Acceptance Criteria'!F:F,"Pass")</f>
        <v>4</v>
      </c>
      <c r="H59" s="4">
        <f>COUNTIFS('Acceptance Criteria'!B:B,B59,'Acceptance Criteria'!F:F,"Fail")</f>
        <v>0</v>
      </c>
      <c r="I59" s="4" t="str">
        <f t="shared" si="2"/>
        <v>Linked</v>
      </c>
      <c r="J59" s="5">
        <f t="shared" si="3"/>
        <v>1</v>
      </c>
    </row>
    <row r="60" spans="1:10">
      <c r="A60" s="4" t="s">
        <v>754</v>
      </c>
      <c r="B60" s="4" t="s">
        <v>796</v>
      </c>
      <c r="C60" s="4">
        <v>4</v>
      </c>
      <c r="D60" s="4">
        <f>COUNTIF('Acceptance Criteria'!B:B,B60)</f>
        <v>4</v>
      </c>
      <c r="E60" s="4" t="str">
        <f>VLOOKUP(B60,'User Stories'!A:L,12,FALSE)</f>
        <v>Done</v>
      </c>
      <c r="F60" s="4">
        <f>COUNTIFS('Acceptance Criteria'!B:B,B60,'Acceptance Criteria'!F:F,"&lt;&gt;Not Tested")</f>
        <v>4</v>
      </c>
      <c r="G60" s="4">
        <f>COUNTIFS('Acceptance Criteria'!B:B,B60,'Acceptance Criteria'!F:F,"Pass")</f>
        <v>4</v>
      </c>
      <c r="H60" s="4">
        <f>COUNTIFS('Acceptance Criteria'!B:B,B60,'Acceptance Criteria'!F:F,"Fail")</f>
        <v>0</v>
      </c>
      <c r="I60" s="4" t="str">
        <f t="shared" si="2"/>
        <v>Linked</v>
      </c>
      <c r="J60" s="5">
        <f t="shared" si="3"/>
        <v>1</v>
      </c>
    </row>
    <row r="61" spans="1:10">
      <c r="A61" s="4" t="s">
        <v>754</v>
      </c>
      <c r="B61" s="4" t="s">
        <v>809</v>
      </c>
      <c r="C61" s="4">
        <v>4</v>
      </c>
      <c r="D61" s="4">
        <f>COUNTIF('Acceptance Criteria'!B:B,B61)</f>
        <v>4</v>
      </c>
      <c r="E61" s="4" t="str">
        <f>VLOOKUP(B61,'User Stories'!A:L,12,FALSE)</f>
        <v>Done</v>
      </c>
      <c r="F61" s="4">
        <f>COUNTIFS('Acceptance Criteria'!B:B,B61,'Acceptance Criteria'!F:F,"&lt;&gt;Not Tested")</f>
        <v>4</v>
      </c>
      <c r="G61" s="4">
        <f>COUNTIFS('Acceptance Criteria'!B:B,B61,'Acceptance Criteria'!F:F,"Pass")</f>
        <v>4</v>
      </c>
      <c r="H61" s="4">
        <f>COUNTIFS('Acceptance Criteria'!B:B,B61,'Acceptance Criteria'!F:F,"Fail")</f>
        <v>0</v>
      </c>
      <c r="I61" s="4" t="str">
        <f t="shared" si="2"/>
        <v>Linked</v>
      </c>
      <c r="J61" s="5">
        <f t="shared" si="3"/>
        <v>1</v>
      </c>
    </row>
    <row r="62" spans="1:10">
      <c r="A62" s="4" t="s">
        <v>823</v>
      </c>
      <c r="B62" s="4" t="s">
        <v>822</v>
      </c>
      <c r="C62" s="4">
        <v>4</v>
      </c>
      <c r="D62" s="4">
        <f>COUNTIF('Acceptance Criteria'!B:B,B62)</f>
        <v>4</v>
      </c>
      <c r="E62" s="4" t="str">
        <f>VLOOKUP(B62,'User Stories'!A:L,12,FALSE)</f>
        <v>Done</v>
      </c>
      <c r="F62" s="4">
        <f>COUNTIFS('Acceptance Criteria'!B:B,B62,'Acceptance Criteria'!F:F,"&lt;&gt;Not Tested")</f>
        <v>4</v>
      </c>
      <c r="G62" s="4">
        <f>COUNTIFS('Acceptance Criteria'!B:B,B62,'Acceptance Criteria'!F:F,"Pass")</f>
        <v>4</v>
      </c>
      <c r="H62" s="4">
        <f>COUNTIFS('Acceptance Criteria'!B:B,B62,'Acceptance Criteria'!F:F,"Fail")</f>
        <v>0</v>
      </c>
      <c r="I62" s="4" t="str">
        <f t="shared" si="2"/>
        <v>Linked</v>
      </c>
      <c r="J62" s="5">
        <f t="shared" si="3"/>
        <v>1</v>
      </c>
    </row>
    <row r="63" spans="1:10">
      <c r="A63" s="4" t="s">
        <v>823</v>
      </c>
      <c r="B63" s="4" t="s">
        <v>836</v>
      </c>
      <c r="C63" s="4">
        <v>4</v>
      </c>
      <c r="D63" s="4">
        <f>COUNTIF('Acceptance Criteria'!B:B,B63)</f>
        <v>4</v>
      </c>
      <c r="E63" s="4" t="str">
        <f>VLOOKUP(B63,'User Stories'!A:L,12,FALSE)</f>
        <v>Done</v>
      </c>
      <c r="F63" s="4">
        <f>COUNTIFS('Acceptance Criteria'!B:B,B63,'Acceptance Criteria'!F:F,"&lt;&gt;Not Tested")</f>
        <v>4</v>
      </c>
      <c r="G63" s="4">
        <f>COUNTIFS('Acceptance Criteria'!B:B,B63,'Acceptance Criteria'!F:F,"Pass")</f>
        <v>4</v>
      </c>
      <c r="H63" s="4">
        <f>COUNTIFS('Acceptance Criteria'!B:B,B63,'Acceptance Criteria'!F:F,"Fail")</f>
        <v>0</v>
      </c>
      <c r="I63" s="4" t="str">
        <f t="shared" si="2"/>
        <v>Linked</v>
      </c>
      <c r="J63" s="5">
        <f t="shared" si="3"/>
        <v>1</v>
      </c>
    </row>
    <row r="64" spans="1:10">
      <c r="A64" s="4" t="s">
        <v>823</v>
      </c>
      <c r="B64" s="4" t="s">
        <v>849</v>
      </c>
      <c r="C64" s="4">
        <v>4</v>
      </c>
      <c r="D64" s="4">
        <f>COUNTIF('Acceptance Criteria'!B:B,B64)</f>
        <v>4</v>
      </c>
      <c r="E64" s="4" t="str">
        <f>VLOOKUP(B64,'User Stories'!A:L,12,FALSE)</f>
        <v>Done</v>
      </c>
      <c r="F64" s="4">
        <f>COUNTIFS('Acceptance Criteria'!B:B,B64,'Acceptance Criteria'!F:F,"&lt;&gt;Not Tested")</f>
        <v>4</v>
      </c>
      <c r="G64" s="4">
        <f>COUNTIFS('Acceptance Criteria'!B:B,B64,'Acceptance Criteria'!F:F,"Pass")</f>
        <v>4</v>
      </c>
      <c r="H64" s="4">
        <f>COUNTIFS('Acceptance Criteria'!B:B,B64,'Acceptance Criteria'!F:F,"Fail")</f>
        <v>0</v>
      </c>
      <c r="I64" s="4" t="str">
        <f t="shared" si="2"/>
        <v>Linked</v>
      </c>
      <c r="J64" s="5">
        <f t="shared" si="3"/>
        <v>1</v>
      </c>
    </row>
    <row r="65" spans="1:10">
      <c r="A65" s="4" t="s">
        <v>823</v>
      </c>
      <c r="B65" s="4" t="s">
        <v>862</v>
      </c>
      <c r="C65" s="4">
        <v>4</v>
      </c>
      <c r="D65" s="4">
        <f>COUNTIF('Acceptance Criteria'!B:B,B65)</f>
        <v>4</v>
      </c>
      <c r="E65" s="4" t="str">
        <f>VLOOKUP(B65,'User Stories'!A:L,12,FALSE)</f>
        <v>Done</v>
      </c>
      <c r="F65" s="4">
        <f>COUNTIFS('Acceptance Criteria'!B:B,B65,'Acceptance Criteria'!F:F,"&lt;&gt;Not Tested")</f>
        <v>4</v>
      </c>
      <c r="G65" s="4">
        <f>COUNTIFS('Acceptance Criteria'!B:B,B65,'Acceptance Criteria'!F:F,"Pass")</f>
        <v>4</v>
      </c>
      <c r="H65" s="4">
        <f>COUNTIFS('Acceptance Criteria'!B:B,B65,'Acceptance Criteria'!F:F,"Fail")</f>
        <v>0</v>
      </c>
      <c r="I65" s="4" t="str">
        <f t="shared" si="2"/>
        <v>Linked</v>
      </c>
      <c r="J65" s="5">
        <f t="shared" si="3"/>
        <v>1</v>
      </c>
    </row>
    <row r="66" spans="1:10">
      <c r="A66" s="4" t="s">
        <v>823</v>
      </c>
      <c r="B66" s="4" t="s">
        <v>876</v>
      </c>
      <c r="C66" s="4">
        <v>4</v>
      </c>
      <c r="D66" s="4">
        <f>COUNTIF('Acceptance Criteria'!B:B,B66)</f>
        <v>4</v>
      </c>
      <c r="E66" s="4" t="str">
        <f>VLOOKUP(B66,'User Stories'!A:L,12,FALSE)</f>
        <v>Done</v>
      </c>
      <c r="F66" s="4">
        <f>COUNTIFS('Acceptance Criteria'!B:B,B66,'Acceptance Criteria'!F:F,"&lt;&gt;Not Tested")</f>
        <v>4</v>
      </c>
      <c r="G66" s="4">
        <f>COUNTIFS('Acceptance Criteria'!B:B,B66,'Acceptance Criteria'!F:F,"Pass")</f>
        <v>4</v>
      </c>
      <c r="H66" s="4">
        <f>COUNTIFS('Acceptance Criteria'!B:B,B66,'Acceptance Criteria'!F:F,"Fail")</f>
        <v>0</v>
      </c>
      <c r="I66" s="4" t="str">
        <f t="shared" ref="I66:I76" si="4">IF(C66=D66,"Linked","Mismatch")</f>
        <v>Linked</v>
      </c>
      <c r="J66" s="5">
        <f t="shared" ref="J66:J76" si="5">IF(C66=0,0,G66/C66)</f>
        <v>1</v>
      </c>
    </row>
    <row r="67" spans="1:10">
      <c r="A67" s="4" t="s">
        <v>891</v>
      </c>
      <c r="B67" s="4" t="s">
        <v>890</v>
      </c>
      <c r="C67" s="4">
        <v>4</v>
      </c>
      <c r="D67" s="4">
        <f>COUNTIF('Acceptance Criteria'!B:B,B67)</f>
        <v>4</v>
      </c>
      <c r="E67" s="4" t="str">
        <f>VLOOKUP(B67,'User Stories'!A:L,12,FALSE)</f>
        <v>Done</v>
      </c>
      <c r="F67" s="4">
        <f>COUNTIFS('Acceptance Criteria'!B:B,B67,'Acceptance Criteria'!F:F,"&lt;&gt;Not Tested")</f>
        <v>4</v>
      </c>
      <c r="G67" s="4">
        <f>COUNTIFS('Acceptance Criteria'!B:B,B67,'Acceptance Criteria'!F:F,"Pass")</f>
        <v>4</v>
      </c>
      <c r="H67" s="4">
        <f>COUNTIFS('Acceptance Criteria'!B:B,B67,'Acceptance Criteria'!F:F,"Fail")</f>
        <v>0</v>
      </c>
      <c r="I67" s="4" t="str">
        <f t="shared" si="4"/>
        <v>Linked</v>
      </c>
      <c r="J67" s="5">
        <f t="shared" si="5"/>
        <v>1</v>
      </c>
    </row>
    <row r="68" spans="1:10">
      <c r="A68" s="4" t="s">
        <v>891</v>
      </c>
      <c r="B68" s="4" t="s">
        <v>904</v>
      </c>
      <c r="C68" s="4">
        <v>4</v>
      </c>
      <c r="D68" s="4">
        <f>COUNTIF('Acceptance Criteria'!B:B,B68)</f>
        <v>4</v>
      </c>
      <c r="E68" s="4" t="str">
        <f>VLOOKUP(B68,'User Stories'!A:L,12,FALSE)</f>
        <v>Done</v>
      </c>
      <c r="F68" s="4">
        <f>COUNTIFS('Acceptance Criteria'!B:B,B68,'Acceptance Criteria'!F:F,"&lt;&gt;Not Tested")</f>
        <v>4</v>
      </c>
      <c r="G68" s="4">
        <f>COUNTIFS('Acceptance Criteria'!B:B,B68,'Acceptance Criteria'!F:F,"Pass")</f>
        <v>4</v>
      </c>
      <c r="H68" s="4">
        <f>COUNTIFS('Acceptance Criteria'!B:B,B68,'Acceptance Criteria'!F:F,"Fail")</f>
        <v>0</v>
      </c>
      <c r="I68" s="4" t="str">
        <f t="shared" si="4"/>
        <v>Linked</v>
      </c>
      <c r="J68" s="5">
        <f t="shared" si="5"/>
        <v>1</v>
      </c>
    </row>
    <row r="69" spans="1:10">
      <c r="A69" s="4" t="s">
        <v>891</v>
      </c>
      <c r="B69" s="4" t="s">
        <v>918</v>
      </c>
      <c r="C69" s="4">
        <v>4</v>
      </c>
      <c r="D69" s="4">
        <f>COUNTIF('Acceptance Criteria'!B:B,B69)</f>
        <v>4</v>
      </c>
      <c r="E69" s="4" t="str">
        <f>VLOOKUP(B69,'User Stories'!A:L,12,FALSE)</f>
        <v>Done</v>
      </c>
      <c r="F69" s="4">
        <f>COUNTIFS('Acceptance Criteria'!B:B,B69,'Acceptance Criteria'!F:F,"&lt;&gt;Not Tested")</f>
        <v>4</v>
      </c>
      <c r="G69" s="4">
        <f>COUNTIFS('Acceptance Criteria'!B:B,B69,'Acceptance Criteria'!F:F,"Pass")</f>
        <v>4</v>
      </c>
      <c r="H69" s="4">
        <f>COUNTIFS('Acceptance Criteria'!B:B,B69,'Acceptance Criteria'!F:F,"Fail")</f>
        <v>0</v>
      </c>
      <c r="I69" s="4" t="str">
        <f t="shared" si="4"/>
        <v>Linked</v>
      </c>
      <c r="J69" s="5">
        <f t="shared" si="5"/>
        <v>1</v>
      </c>
    </row>
    <row r="70" spans="1:10">
      <c r="A70" s="4" t="s">
        <v>891</v>
      </c>
      <c r="B70" s="4" t="s">
        <v>931</v>
      </c>
      <c r="C70" s="4">
        <v>4</v>
      </c>
      <c r="D70" s="4">
        <f>COUNTIF('Acceptance Criteria'!B:B,B70)</f>
        <v>4</v>
      </c>
      <c r="E70" s="4" t="str">
        <f>VLOOKUP(B70,'User Stories'!A:L,12,FALSE)</f>
        <v>Done</v>
      </c>
      <c r="F70" s="4">
        <f>COUNTIFS('Acceptance Criteria'!B:B,B70,'Acceptance Criteria'!F:F,"&lt;&gt;Not Tested")</f>
        <v>4</v>
      </c>
      <c r="G70" s="4">
        <f>COUNTIFS('Acceptance Criteria'!B:B,B70,'Acceptance Criteria'!F:F,"Pass")</f>
        <v>4</v>
      </c>
      <c r="H70" s="4">
        <f>COUNTIFS('Acceptance Criteria'!B:B,B70,'Acceptance Criteria'!F:F,"Fail")</f>
        <v>0</v>
      </c>
      <c r="I70" s="4" t="str">
        <f t="shared" si="4"/>
        <v>Linked</v>
      </c>
      <c r="J70" s="5">
        <f t="shared" si="5"/>
        <v>1</v>
      </c>
    </row>
    <row r="71" spans="1:10">
      <c r="A71" s="4" t="s">
        <v>945</v>
      </c>
      <c r="B71" s="4" t="s">
        <v>944</v>
      </c>
      <c r="C71" s="4">
        <v>4</v>
      </c>
      <c r="D71" s="4">
        <f>COUNTIF('Acceptance Criteria'!B:B,B71)</f>
        <v>4</v>
      </c>
      <c r="E71" s="4" t="str">
        <f>VLOOKUP(B71,'User Stories'!A:L,12,FALSE)</f>
        <v>Done</v>
      </c>
      <c r="F71" s="4">
        <f>COUNTIFS('Acceptance Criteria'!B:B,B71,'Acceptance Criteria'!F:F,"&lt;&gt;Not Tested")</f>
        <v>4</v>
      </c>
      <c r="G71" s="4">
        <f>COUNTIFS('Acceptance Criteria'!B:B,B71,'Acceptance Criteria'!F:F,"Pass")</f>
        <v>4</v>
      </c>
      <c r="H71" s="4">
        <f>COUNTIFS('Acceptance Criteria'!B:B,B71,'Acceptance Criteria'!F:F,"Fail")</f>
        <v>0</v>
      </c>
      <c r="I71" s="4" t="str">
        <f t="shared" si="4"/>
        <v>Linked</v>
      </c>
      <c r="J71" s="5">
        <f t="shared" si="5"/>
        <v>1</v>
      </c>
    </row>
    <row r="72" spans="1:10">
      <c r="A72" s="4" t="s">
        <v>945</v>
      </c>
      <c r="B72" s="4" t="s">
        <v>958</v>
      </c>
      <c r="C72" s="4">
        <v>4</v>
      </c>
      <c r="D72" s="4">
        <f>COUNTIF('Acceptance Criteria'!B:B,B72)</f>
        <v>4</v>
      </c>
      <c r="E72" s="4" t="str">
        <f>VLOOKUP(B72,'User Stories'!A:L,12,FALSE)</f>
        <v>Done</v>
      </c>
      <c r="F72" s="4">
        <f>COUNTIFS('Acceptance Criteria'!B:B,B72,'Acceptance Criteria'!F:F,"&lt;&gt;Not Tested")</f>
        <v>4</v>
      </c>
      <c r="G72" s="4">
        <f>COUNTIFS('Acceptance Criteria'!B:B,B72,'Acceptance Criteria'!F:F,"Pass")</f>
        <v>4</v>
      </c>
      <c r="H72" s="4">
        <f>COUNTIFS('Acceptance Criteria'!B:B,B72,'Acceptance Criteria'!F:F,"Fail")</f>
        <v>0</v>
      </c>
      <c r="I72" s="4" t="str">
        <f t="shared" si="4"/>
        <v>Linked</v>
      </c>
      <c r="J72" s="5">
        <f t="shared" si="5"/>
        <v>1</v>
      </c>
    </row>
    <row r="73" spans="1:10">
      <c r="A73" s="4" t="s">
        <v>945</v>
      </c>
      <c r="B73" s="4" t="s">
        <v>971</v>
      </c>
      <c r="C73" s="4">
        <v>4</v>
      </c>
      <c r="D73" s="4">
        <f>COUNTIF('Acceptance Criteria'!B:B,B73)</f>
        <v>4</v>
      </c>
      <c r="E73" s="4" t="str">
        <f>VLOOKUP(B73,'User Stories'!A:L,12,FALSE)</f>
        <v>Done</v>
      </c>
      <c r="F73" s="4">
        <f>COUNTIFS('Acceptance Criteria'!B:B,B73,'Acceptance Criteria'!F:F,"&lt;&gt;Not Tested")</f>
        <v>4</v>
      </c>
      <c r="G73" s="4">
        <f>COUNTIFS('Acceptance Criteria'!B:B,B73,'Acceptance Criteria'!F:F,"Pass")</f>
        <v>4</v>
      </c>
      <c r="H73" s="4">
        <f>COUNTIFS('Acceptance Criteria'!B:B,B73,'Acceptance Criteria'!F:F,"Fail")</f>
        <v>0</v>
      </c>
      <c r="I73" s="4" t="str">
        <f t="shared" si="4"/>
        <v>Linked</v>
      </c>
      <c r="J73" s="5">
        <f t="shared" si="5"/>
        <v>1</v>
      </c>
    </row>
    <row r="74" spans="1:10">
      <c r="A74" s="4" t="s">
        <v>945</v>
      </c>
      <c r="B74" s="4" t="s">
        <v>984</v>
      </c>
      <c r="C74" s="4">
        <v>4</v>
      </c>
      <c r="D74" s="4">
        <f>COUNTIF('Acceptance Criteria'!B:B,B74)</f>
        <v>4</v>
      </c>
      <c r="E74" s="4" t="str">
        <f>VLOOKUP(B74,'User Stories'!A:L,12,FALSE)</f>
        <v>Done</v>
      </c>
      <c r="F74" s="4">
        <f>COUNTIFS('Acceptance Criteria'!B:B,B74,'Acceptance Criteria'!F:F,"&lt;&gt;Not Tested")</f>
        <v>4</v>
      </c>
      <c r="G74" s="4">
        <f>COUNTIFS('Acceptance Criteria'!B:B,B74,'Acceptance Criteria'!F:F,"Pass")</f>
        <v>4</v>
      </c>
      <c r="H74" s="4">
        <f>COUNTIFS('Acceptance Criteria'!B:B,B74,'Acceptance Criteria'!F:F,"Fail")</f>
        <v>0</v>
      </c>
      <c r="I74" s="4" t="str">
        <f t="shared" si="4"/>
        <v>Linked</v>
      </c>
      <c r="J74" s="5">
        <f t="shared" si="5"/>
        <v>1</v>
      </c>
    </row>
    <row r="75" spans="1:10">
      <c r="A75" s="4" t="s">
        <v>945</v>
      </c>
      <c r="B75" s="4" t="s">
        <v>997</v>
      </c>
      <c r="C75" s="4">
        <v>4</v>
      </c>
      <c r="D75" s="4">
        <f>COUNTIF('Acceptance Criteria'!B:B,B75)</f>
        <v>4</v>
      </c>
      <c r="E75" s="4" t="str">
        <f>VLOOKUP(B75,'User Stories'!A:L,12,FALSE)</f>
        <v>Done</v>
      </c>
      <c r="F75" s="4">
        <f>COUNTIFS('Acceptance Criteria'!B:B,B75,'Acceptance Criteria'!F:F,"&lt;&gt;Not Tested")</f>
        <v>4</v>
      </c>
      <c r="G75" s="4">
        <f>COUNTIFS('Acceptance Criteria'!B:B,B75,'Acceptance Criteria'!F:F,"Pass")</f>
        <v>4</v>
      </c>
      <c r="H75" s="4">
        <f>COUNTIFS('Acceptance Criteria'!B:B,B75,'Acceptance Criteria'!F:F,"Fail")</f>
        <v>0</v>
      </c>
      <c r="I75" s="4" t="str">
        <f t="shared" si="4"/>
        <v>Linked</v>
      </c>
      <c r="J75" s="5">
        <f t="shared" si="5"/>
        <v>1</v>
      </c>
    </row>
    <row r="76" spans="1:10">
      <c r="A76" s="4" t="s">
        <v>945</v>
      </c>
      <c r="B76" s="4" t="s">
        <v>1010</v>
      </c>
      <c r="C76" s="4">
        <v>4</v>
      </c>
      <c r="D76" s="4">
        <f>COUNTIF('Acceptance Criteria'!B:B,B76)</f>
        <v>4</v>
      </c>
      <c r="E76" s="4" t="str">
        <f>VLOOKUP(B76,'User Stories'!A:L,12,FALSE)</f>
        <v>Done</v>
      </c>
      <c r="F76" s="4">
        <f>COUNTIFS('Acceptance Criteria'!B:B,B76,'Acceptance Criteria'!F:F,"&lt;&gt;Not Tested")</f>
        <v>4</v>
      </c>
      <c r="G76" s="4">
        <f>COUNTIFS('Acceptance Criteria'!B:B,B76,'Acceptance Criteria'!F:F,"Pass")</f>
        <v>4</v>
      </c>
      <c r="H76" s="4">
        <f>COUNTIFS('Acceptance Criteria'!B:B,B76,'Acceptance Criteria'!F:F,"Fail")</f>
        <v>0</v>
      </c>
      <c r="I76" s="4" t="str">
        <f t="shared" si="4"/>
        <v>Linked</v>
      </c>
      <c r="J76" s="5">
        <f t="shared" si="5"/>
        <v>1</v>
      </c>
    </row>
  </sheetData>
  <conditionalFormatting sqref="I2:I76">
    <cfRule type="expression" dxfId="1" priority="1">
      <formula>I2="Linked"</formula>
    </cfRule>
    <cfRule type="expression" dxfId="0" priority="2">
      <formula>I2="Mismatch"</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8"/>
  <sheetViews>
    <sheetView workbookViewId="0"/>
  </sheetViews>
  <sheetFormatPr defaultRowHeight="13.8"/>
  <cols>
    <col min="1" max="1" width="14" customWidth="1"/>
    <col min="2" max="2" width="34" customWidth="1"/>
    <col min="3" max="4" width="14" customWidth="1"/>
    <col min="5" max="5" width="62" customWidth="1"/>
    <col min="6" max="7" width="16" customWidth="1"/>
    <col min="8" max="8" width="32" customWidth="1"/>
    <col min="9" max="9" width="28" customWidth="1"/>
  </cols>
  <sheetData>
    <row r="1" spans="1:9" ht="24" customHeight="1">
      <c r="A1" s="2" t="s">
        <v>1535</v>
      </c>
      <c r="B1" s="2" t="s">
        <v>1536</v>
      </c>
      <c r="C1" s="2" t="s">
        <v>1537</v>
      </c>
      <c r="D1" s="2" t="s">
        <v>1538</v>
      </c>
      <c r="E1" s="2" t="s">
        <v>1539</v>
      </c>
      <c r="F1" s="2" t="s">
        <v>1051</v>
      </c>
      <c r="G1" s="2" t="s">
        <v>1052</v>
      </c>
      <c r="H1" s="2" t="s">
        <v>1540</v>
      </c>
      <c r="I1" s="2" t="s">
        <v>1055</v>
      </c>
    </row>
    <row r="2" spans="1:9" ht="82.8" customHeight="1">
      <c r="A2" s="4" t="s">
        <v>1541</v>
      </c>
      <c r="B2" s="4" t="s">
        <v>1542</v>
      </c>
      <c r="C2" s="4" t="s">
        <v>1543</v>
      </c>
      <c r="D2" s="4" t="s">
        <v>1544</v>
      </c>
      <c r="E2" s="4" t="s">
        <v>1545</v>
      </c>
      <c r="F2" s="4" t="s">
        <v>16</v>
      </c>
      <c r="G2" s="4" t="s">
        <v>1035</v>
      </c>
      <c r="H2" s="4"/>
      <c r="I2" s="4" t="s">
        <v>1546</v>
      </c>
    </row>
    <row r="3" spans="1:9" ht="138" customHeight="1">
      <c r="A3" s="4" t="s">
        <v>1547</v>
      </c>
      <c r="B3" s="4" t="s">
        <v>1548</v>
      </c>
      <c r="C3" s="4" t="s">
        <v>1544</v>
      </c>
      <c r="D3" s="4" t="s">
        <v>1543</v>
      </c>
      <c r="E3" s="4" t="s">
        <v>1549</v>
      </c>
      <c r="F3" s="4" t="s">
        <v>16</v>
      </c>
      <c r="G3" s="4" t="s">
        <v>1035</v>
      </c>
      <c r="H3" s="4"/>
      <c r="I3" s="4" t="s">
        <v>1550</v>
      </c>
    </row>
    <row r="4" spans="1:9" ht="55.2" customHeight="1">
      <c r="A4" s="4" t="s">
        <v>1551</v>
      </c>
      <c r="B4" s="4" t="s">
        <v>1552</v>
      </c>
      <c r="C4" s="4" t="s">
        <v>1543</v>
      </c>
      <c r="D4" s="4" t="s">
        <v>1544</v>
      </c>
      <c r="E4" s="4" t="s">
        <v>1553</v>
      </c>
      <c r="F4" s="4" t="s">
        <v>16</v>
      </c>
      <c r="G4" s="4" t="s">
        <v>1035</v>
      </c>
      <c r="H4" s="4"/>
      <c r="I4" s="4" t="s">
        <v>1554</v>
      </c>
    </row>
    <row r="5" spans="1:9" ht="27.6" customHeight="1">
      <c r="A5" s="4" t="s">
        <v>1555</v>
      </c>
      <c r="B5" s="4" t="s">
        <v>1556</v>
      </c>
      <c r="C5" s="4" t="s">
        <v>1543</v>
      </c>
      <c r="D5" s="4" t="s">
        <v>1544</v>
      </c>
      <c r="E5" s="4" t="s">
        <v>1557</v>
      </c>
      <c r="F5" s="4" t="s">
        <v>16</v>
      </c>
      <c r="G5" s="4" t="s">
        <v>1035</v>
      </c>
      <c r="H5" s="4"/>
      <c r="I5" s="4" t="s">
        <v>1558</v>
      </c>
    </row>
    <row r="6" spans="1:9" ht="69" customHeight="1">
      <c r="A6" s="4" t="s">
        <v>1559</v>
      </c>
      <c r="B6" s="4" t="s">
        <v>1560</v>
      </c>
      <c r="C6" s="4" t="s">
        <v>1543</v>
      </c>
      <c r="D6" s="4" t="s">
        <v>1561</v>
      </c>
      <c r="E6" s="4" t="s">
        <v>1562</v>
      </c>
      <c r="F6" s="4" t="s">
        <v>16</v>
      </c>
      <c r="G6" s="4" t="s">
        <v>1035</v>
      </c>
      <c r="H6" s="4"/>
      <c r="I6" s="4" t="s">
        <v>1563</v>
      </c>
    </row>
    <row r="7" spans="1:9" ht="27.6" customHeight="1">
      <c r="A7" s="4" t="s">
        <v>1564</v>
      </c>
      <c r="B7" s="4" t="s">
        <v>1565</v>
      </c>
      <c r="C7" s="4" t="s">
        <v>1543</v>
      </c>
      <c r="D7" s="4" t="s">
        <v>1561</v>
      </c>
      <c r="E7" s="4" t="s">
        <v>1566</v>
      </c>
      <c r="F7" s="4" t="s">
        <v>16</v>
      </c>
      <c r="G7" s="4" t="s">
        <v>1035</v>
      </c>
      <c r="H7" s="4"/>
      <c r="I7" s="4" t="s">
        <v>1567</v>
      </c>
    </row>
    <row r="8" spans="1:9">
      <c r="A8" t="s">
        <v>1568</v>
      </c>
      <c r="B8" t="s">
        <v>1569</v>
      </c>
      <c r="C8" t="s">
        <v>1561</v>
      </c>
      <c r="D8" t="s">
        <v>1544</v>
      </c>
      <c r="E8" t="s">
        <v>1570</v>
      </c>
      <c r="F8" t="s">
        <v>16</v>
      </c>
      <c r="G8" t="s">
        <v>1035</v>
      </c>
      <c r="I8" t="s">
        <v>1571</v>
      </c>
    </row>
    <row r="9" spans="1:9">
      <c r="A9" t="s">
        <v>1572</v>
      </c>
      <c r="B9" t="s">
        <v>1573</v>
      </c>
      <c r="C9" t="s">
        <v>1543</v>
      </c>
      <c r="D9" t="s">
        <v>1561</v>
      </c>
      <c r="E9" t="s">
        <v>1574</v>
      </c>
      <c r="F9" t="s">
        <v>16</v>
      </c>
      <c r="G9" t="s">
        <v>1044</v>
      </c>
      <c r="I9" t="s">
        <v>1575</v>
      </c>
    </row>
    <row r="10" spans="1:9">
      <c r="A10" t="s">
        <v>1576</v>
      </c>
      <c r="B10" t="s">
        <v>1577</v>
      </c>
      <c r="C10" t="s">
        <v>1543</v>
      </c>
      <c r="D10" t="s">
        <v>1543</v>
      </c>
      <c r="E10" t="s">
        <v>1578</v>
      </c>
      <c r="F10" t="s">
        <v>16</v>
      </c>
      <c r="G10" t="s">
        <v>1031</v>
      </c>
      <c r="H10" t="s">
        <v>1579</v>
      </c>
      <c r="I10" t="s">
        <v>1580</v>
      </c>
    </row>
    <row r="11" spans="1:9">
      <c r="A11" t="s">
        <v>1581</v>
      </c>
      <c r="B11" t="s">
        <v>1582</v>
      </c>
      <c r="C11" t="s">
        <v>1544</v>
      </c>
      <c r="D11" t="s">
        <v>1543</v>
      </c>
      <c r="E11" t="s">
        <v>1583</v>
      </c>
      <c r="F11" t="s">
        <v>16</v>
      </c>
      <c r="G11" t="s">
        <v>1044</v>
      </c>
      <c r="H11" t="s">
        <v>1584</v>
      </c>
      <c r="I11" t="s">
        <v>1585</v>
      </c>
    </row>
    <row r="12" spans="1:9">
      <c r="A12" t="s">
        <v>1586</v>
      </c>
      <c r="B12" t="s">
        <v>1587</v>
      </c>
      <c r="C12" t="s">
        <v>1561</v>
      </c>
      <c r="D12" t="s">
        <v>1561</v>
      </c>
      <c r="E12" t="s">
        <v>1588</v>
      </c>
      <c r="F12" t="s">
        <v>16</v>
      </c>
      <c r="G12" t="s">
        <v>1044</v>
      </c>
      <c r="I12" t="s">
        <v>1589</v>
      </c>
    </row>
    <row r="13" spans="1:9">
      <c r="A13" t="s">
        <v>1590</v>
      </c>
      <c r="B13" t="s">
        <v>1591</v>
      </c>
      <c r="C13" t="s">
        <v>1544</v>
      </c>
      <c r="D13" t="s">
        <v>1544</v>
      </c>
      <c r="E13" t="s">
        <v>1592</v>
      </c>
      <c r="F13" t="s">
        <v>16</v>
      </c>
      <c r="G13" t="s">
        <v>1044</v>
      </c>
      <c r="H13" t="s">
        <v>1593</v>
      </c>
      <c r="I13" t="s">
        <v>1594</v>
      </c>
    </row>
    <row r="14" spans="1:9">
      <c r="A14" t="s">
        <v>1595</v>
      </c>
      <c r="B14" t="s">
        <v>1596</v>
      </c>
      <c r="C14" t="s">
        <v>1561</v>
      </c>
      <c r="D14" t="s">
        <v>1544</v>
      </c>
      <c r="E14" t="s">
        <v>1597</v>
      </c>
      <c r="F14" t="s">
        <v>16</v>
      </c>
      <c r="G14" t="s">
        <v>1044</v>
      </c>
      <c r="I14" t="s">
        <v>1598</v>
      </c>
    </row>
    <row r="15" spans="1:9">
      <c r="A15" t="s">
        <v>1599</v>
      </c>
      <c r="B15" t="s">
        <v>1600</v>
      </c>
      <c r="C15" t="s">
        <v>1543</v>
      </c>
      <c r="D15" t="s">
        <v>1561</v>
      </c>
      <c r="E15" t="s">
        <v>1601</v>
      </c>
      <c r="F15" t="s">
        <v>16</v>
      </c>
      <c r="G15" t="s">
        <v>1044</v>
      </c>
      <c r="H15" t="s">
        <v>1602</v>
      </c>
      <c r="I15" t="s">
        <v>1603</v>
      </c>
    </row>
    <row r="16" spans="1:9">
      <c r="A16" t="s">
        <v>1604</v>
      </c>
      <c r="B16" t="s">
        <v>1605</v>
      </c>
      <c r="C16" t="s">
        <v>1544</v>
      </c>
      <c r="D16" t="s">
        <v>1561</v>
      </c>
      <c r="E16" t="s">
        <v>1606</v>
      </c>
      <c r="F16" t="s">
        <v>16</v>
      </c>
      <c r="G16" t="s">
        <v>1044</v>
      </c>
      <c r="H16" t="s">
        <v>1607</v>
      </c>
      <c r="I16" t="s">
        <v>1608</v>
      </c>
    </row>
    <row r="17" spans="1:9">
      <c r="A17" t="s">
        <v>1609</v>
      </c>
      <c r="B17" t="s">
        <v>1610</v>
      </c>
      <c r="C17" t="s">
        <v>1561</v>
      </c>
      <c r="D17" t="s">
        <v>1544</v>
      </c>
      <c r="E17" t="s">
        <v>1611</v>
      </c>
      <c r="F17" t="s">
        <v>16</v>
      </c>
      <c r="G17" t="s">
        <v>1031</v>
      </c>
      <c r="H17" t="s">
        <v>1612</v>
      </c>
      <c r="I17" t="s">
        <v>1613</v>
      </c>
    </row>
    <row r="18" spans="1:9">
      <c r="A18" t="s">
        <v>1614</v>
      </c>
      <c r="B18" t="s">
        <v>1615</v>
      </c>
      <c r="C18" t="s">
        <v>1544</v>
      </c>
      <c r="D18" t="s">
        <v>1543</v>
      </c>
      <c r="E18" t="s">
        <v>1616</v>
      </c>
      <c r="F18" t="s">
        <v>16</v>
      </c>
      <c r="G18" t="s">
        <v>1044</v>
      </c>
      <c r="H18" t="s">
        <v>1617</v>
      </c>
      <c r="I18" t="s">
        <v>1618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
  <sheetViews>
    <sheetView workbookViewId="0"/>
  </sheetViews>
  <sheetFormatPr defaultRowHeight="13.8"/>
  <cols>
    <col min="1" max="1" width="12" customWidth="1"/>
    <col min="2" max="2" width="38" customWidth="1"/>
    <col min="3" max="3" width="52" customWidth="1"/>
    <col min="4" max="4" width="46" customWidth="1"/>
    <col min="5" max="5" width="52" customWidth="1"/>
    <col min="6" max="6" width="16" customWidth="1"/>
  </cols>
  <sheetData>
    <row r="1" spans="1:6" ht="24" customHeight="1">
      <c r="A1" s="2" t="s">
        <v>1024</v>
      </c>
      <c r="B1" s="2" t="s">
        <v>1619</v>
      </c>
      <c r="C1" s="2" t="s">
        <v>1620</v>
      </c>
      <c r="D1" s="2" t="s">
        <v>1621</v>
      </c>
      <c r="E1" s="2" t="s">
        <v>1622</v>
      </c>
      <c r="F1" s="2" t="s">
        <v>1052</v>
      </c>
    </row>
    <row r="2" spans="1:6" ht="27.6" customHeight="1">
      <c r="A2" s="4" t="s">
        <v>1029</v>
      </c>
      <c r="B2" s="4" t="s">
        <v>1623</v>
      </c>
      <c r="C2" s="4" t="s">
        <v>1624</v>
      </c>
      <c r="D2" s="4" t="s">
        <v>1625</v>
      </c>
      <c r="E2" s="4" t="s">
        <v>1626</v>
      </c>
      <c r="F2" s="4" t="s">
        <v>1032</v>
      </c>
    </row>
    <row r="3" spans="1:6" ht="27.6" customHeight="1">
      <c r="A3" s="4" t="s">
        <v>1034</v>
      </c>
      <c r="B3" s="4" t="s">
        <v>1627</v>
      </c>
      <c r="C3" s="4" t="s">
        <v>1628</v>
      </c>
      <c r="D3" s="4" t="s">
        <v>1629</v>
      </c>
      <c r="E3" s="4" t="s">
        <v>1630</v>
      </c>
      <c r="F3" s="4" t="s">
        <v>1027</v>
      </c>
    </row>
    <row r="4" spans="1:6" ht="27.6" customHeight="1">
      <c r="A4" s="4" t="s">
        <v>1039</v>
      </c>
      <c r="B4" s="4" t="s">
        <v>1631</v>
      </c>
      <c r="C4" s="4" t="s">
        <v>1632</v>
      </c>
      <c r="D4" s="4" t="s">
        <v>1633</v>
      </c>
      <c r="E4" s="4" t="s">
        <v>1634</v>
      </c>
      <c r="F4" s="4" t="s">
        <v>1635</v>
      </c>
    </row>
  </sheetData>
  <dataValidations count="1">
    <dataValidation type="list" sqref="F2:F4" xr:uid="{00000000-0002-0000-0900-000000000000}">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8"/>
  <sheetViews>
    <sheetView workbookViewId="0"/>
  </sheetViews>
  <sheetFormatPr defaultRowHeight="13.8"/>
  <cols>
    <col min="1" max="1" width="26" customWidth="1"/>
    <col min="2" max="2" width="15" customWidth="1"/>
    <col min="4" max="4" width="20" customWidth="1"/>
    <col min="5" max="5" width="12" customWidth="1"/>
    <col min="7" max="7" width="14" customWidth="1"/>
    <col min="8" max="8" width="12" customWidth="1"/>
  </cols>
  <sheetData>
    <row r="1" spans="1:8" ht="21" customHeight="1">
      <c r="A1" s="7" t="s">
        <v>1636</v>
      </c>
      <c r="B1" s="8"/>
      <c r="C1" s="8"/>
      <c r="D1" s="8"/>
      <c r="E1" s="8"/>
      <c r="F1" s="8"/>
      <c r="G1" s="8"/>
      <c r="H1" s="8"/>
    </row>
    <row r="3" spans="1:8" ht="24" customHeight="1">
      <c r="A3" s="2" t="s">
        <v>1637</v>
      </c>
      <c r="B3" s="2" t="s">
        <v>1638</v>
      </c>
      <c r="D3" s="2" t="s">
        <v>1022</v>
      </c>
      <c r="E3" s="2" t="s">
        <v>1639</v>
      </c>
      <c r="G3" s="2" t="s">
        <v>1024</v>
      </c>
      <c r="H3" s="2" t="s">
        <v>1640</v>
      </c>
    </row>
    <row r="4" spans="1:8">
      <c r="A4" s="4" t="s">
        <v>1641</v>
      </c>
      <c r="B4" s="4">
        <v>12</v>
      </c>
      <c r="D4" s="4" t="s">
        <v>1027</v>
      </c>
      <c r="E4" s="4">
        <f>COUNTIF('User Stories'!L:L,"Not Started")</f>
        <v>0</v>
      </c>
      <c r="G4" s="4" t="s">
        <v>1029</v>
      </c>
      <c r="H4" s="4">
        <f>COUNTIF('User Stories'!J:J,"MVP")</f>
        <v>71</v>
      </c>
    </row>
    <row r="5" spans="1:8">
      <c r="A5" s="4" t="s">
        <v>1642</v>
      </c>
      <c r="B5" s="4">
        <v>75</v>
      </c>
      <c r="D5" s="4" t="s">
        <v>1032</v>
      </c>
      <c r="E5" s="4">
        <f>COUNTIF('User Stories'!L:L,"In Progress")</f>
        <v>0</v>
      </c>
      <c r="G5" s="4" t="s">
        <v>1034</v>
      </c>
      <c r="H5" s="4">
        <f>COUNTIF('User Stories'!J:J,"R1")</f>
        <v>4</v>
      </c>
    </row>
    <row r="6" spans="1:8">
      <c r="A6" s="4" t="s">
        <v>1643</v>
      </c>
      <c r="B6" s="4">
        <v>300</v>
      </c>
      <c r="D6" s="4" t="s">
        <v>1043</v>
      </c>
      <c r="E6" s="4">
        <f>COUNTIF('User Stories'!L:L,"In Review")</f>
        <v>0</v>
      </c>
      <c r="G6" s="4" t="s">
        <v>1039</v>
      </c>
      <c r="H6" s="4">
        <f>COUNTIF('User Stories'!J:J,"Later")</f>
        <v>0</v>
      </c>
    </row>
    <row r="7" spans="1:8">
      <c r="A7" s="4" t="s">
        <v>1644</v>
      </c>
      <c r="B7" s="4">
        <v>16</v>
      </c>
      <c r="D7" s="4" t="s">
        <v>1037</v>
      </c>
      <c r="E7" s="4">
        <f>COUNTIF('User Stories'!L:L,"Blocked")</f>
        <v>0</v>
      </c>
    </row>
    <row r="8" spans="1:8">
      <c r="A8" s="4" t="s">
        <v>1645</v>
      </c>
      <c r="B8" s="4">
        <v>14</v>
      </c>
      <c r="D8" s="4" t="s">
        <v>1045</v>
      </c>
      <c r="E8" s="4">
        <f>COUNTIF('User Stories'!L:L,"Done")</f>
        <v>75</v>
      </c>
    </row>
    <row r="9" spans="1:8">
      <c r="A9" s="4" t="s">
        <v>1646</v>
      </c>
      <c r="B9" s="4">
        <v>20</v>
      </c>
      <c r="D9" s="4" t="s">
        <v>1047</v>
      </c>
      <c r="E9" s="4">
        <f>COUNTIF('User Stories'!L:L,"Deferred")</f>
        <v>0</v>
      </c>
    </row>
    <row r="12" spans="1:8" ht="24" customHeight="1">
      <c r="A12" s="2" t="s">
        <v>1647</v>
      </c>
      <c r="B12" s="2" t="s">
        <v>1638</v>
      </c>
    </row>
    <row r="13" spans="1:8">
      <c r="A13" s="4" t="s">
        <v>1648</v>
      </c>
      <c r="B13" s="6">
        <f>IFERROR(COUNTIF('User Stories'!L:L,"Done")/(COUNTA('User Stories'!A:A)-1),0)</f>
        <v>1</v>
      </c>
    </row>
    <row r="14" spans="1:8">
      <c r="A14" s="4" t="s">
        <v>1649</v>
      </c>
      <c r="B14" s="6">
        <f>IFERROR(COUNTIF('Acceptance Criteria'!F:F,"Pass")/(COUNTA('Acceptance Criteria'!A:A)-1),0)</f>
        <v>1</v>
      </c>
    </row>
    <row r="15" spans="1:8">
      <c r="A15" s="4" t="s">
        <v>1532</v>
      </c>
      <c r="B15" s="4">
        <f>COUNTIF('Acceptance Criteria'!F:F,"Fail")</f>
        <v>0</v>
      </c>
    </row>
    <row r="16" spans="1:8">
      <c r="A16" s="4" t="s">
        <v>1650</v>
      </c>
      <c r="B16" s="4">
        <f>COUNTIF('User Stories'!L:L,"Blocked")</f>
        <v>0</v>
      </c>
    </row>
    <row r="17" spans="1:2">
      <c r="A17" s="4" t="s">
        <v>1651</v>
      </c>
      <c r="B17" s="6">
        <f>IFERROR(COUNTIF(Traceability!I:I,"Linked")/(COUNTA(Traceability!B:B)-1),0)</f>
        <v>1</v>
      </c>
    </row>
    <row r="18" spans="1:2">
      <c r="A18" s="4" t="s">
        <v>1652</v>
      </c>
      <c r="B18" s="4">
        <f>COUNTIF('Risks &amp; Decisions'!G:G,"Open")</f>
        <v>2</v>
      </c>
    </row>
  </sheetData>
  <mergeCells count="1">
    <mergeCell ref="A1:H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Lists</vt:lpstr>
      <vt:lpstr>Epics</vt:lpstr>
      <vt:lpstr>User Stories</vt:lpstr>
      <vt:lpstr>Acceptance Criteria</vt:lpstr>
      <vt:lpstr>NFR &amp; Business Rules</vt:lpstr>
      <vt:lpstr>Technology Stack</vt:lpstr>
      <vt:lpstr>Screen Catalogue</vt:lpstr>
      <vt:lpstr>Traceability</vt:lpstr>
      <vt:lpstr>Risks &amp; Decisions</vt:lpstr>
      <vt:lpstr>Release Plan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AMAAN FAIZ</cp:lastModifiedBy>
  <dcterms:created xsi:type="dcterms:W3CDTF">2026-09-07T16:47:18Z</dcterms:created>
  <dcterms:modified xsi:type="dcterms:W3CDTF">2026-09-11T16:24:05Z</dcterms:modified>
</cp:coreProperties>
</file>