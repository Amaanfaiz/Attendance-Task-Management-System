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xmlns:r="http://schemas.openxmlformats.org/officeDocument/2006/relationships" name="Lists" sheetId="1" state="visible" r:id="rId1"/>
    <sheet xmlns:r="http://schemas.openxmlformats.org/officeDocument/2006/relationships" name="Epics" sheetId="2" state="visible" r:id="rId2"/>
    <sheet xmlns:r="http://schemas.openxmlformats.org/officeDocument/2006/relationships" name="User Stories" sheetId="3" state="visible" r:id="rId3"/>
    <sheet xmlns:r="http://schemas.openxmlformats.org/officeDocument/2006/relationships" name="Acceptance Criteria" sheetId="4" state="visible" r:id="rId4"/>
    <sheet xmlns:r="http://schemas.openxmlformats.org/officeDocument/2006/relationships" name="NFR &amp; Business Rules" sheetId="5" state="visible" r:id="rId5"/>
    <sheet xmlns:r="http://schemas.openxmlformats.org/officeDocument/2006/relationships" name="Technology Stack" sheetId="6" state="visible" r:id="rId6"/>
    <sheet xmlns:r="http://schemas.openxmlformats.org/officeDocument/2006/relationships" name="Screen Catalogue" sheetId="7" state="visible" r:id="rId7"/>
    <sheet xmlns:r="http://schemas.openxmlformats.org/officeDocument/2006/relationships" name="Traceability" sheetId="8" state="visible" r:id="rId8"/>
    <sheet xmlns:r="http://schemas.openxmlformats.org/officeDocument/2006/relationships" name="Risks &amp; Decisions" sheetId="9" state="visible" r:id="rId9"/>
    <sheet xmlns:r="http://schemas.openxmlformats.org/officeDocument/2006/relationships" name="Release Plan" sheetId="10" state="visible" r:id="rId10"/>
    <sheet xmlns:r="http://schemas.openxmlformats.org/officeDocument/2006/relationships" name="Dashboard" sheetId="11" state="visible" r:id="rId11"/>
  </sheets>
  <definedNames/>
  <calcPr calcId="191029" fullCalcOnLoad="1"/>
</workbook>
</file>

<file path=xl/styles.xml><?xml version="1.0" encoding="utf-8"?>
<styleSheet xmlns="http://schemas.openxmlformats.org/spreadsheetml/2006/main">
  <numFmts count="1">
    <numFmt numFmtId="164" formatCode="0.0%"/>
  </numFmts>
  <fonts count="3">
    <font>
      <name val="Carlito"/>
      <sz val="11"/>
    </font>
    <font>
      <name val="Carlito"/>
      <b val="1"/>
      <color rgb="FFFFFFFF"/>
      <sz val="11"/>
    </font>
    <font>
      <name val="Carlito"/>
      <b val="1"/>
      <color rgb="FFFFFFFF"/>
      <sz val="16"/>
    </font>
  </fonts>
  <fills count="4">
    <fill>
      <patternFill/>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9">
    <xf numFmtId="0" fontId="0" fillId="0"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0" borderId="0" applyAlignment="1" pivotButton="0" quotePrefix="0" xfId="0">
      <alignment wrapText="1"/>
    </xf>
    <xf numFmtId="0" fontId="0" fillId="0" borderId="0" applyAlignment="1" pivotButton="0" quotePrefix="0" xfId="0">
      <alignment vertical="top" wrapText="1"/>
    </xf>
    <xf numFmtId="9" fontId="0" fillId="0" borderId="0" applyAlignment="1" pivotButton="0" quotePrefix="0" xfId="0">
      <alignment vertical="top" wrapText="1"/>
    </xf>
    <xf numFmtId="164" fontId="0" fillId="0" borderId="0" applyAlignment="1" pivotButton="0" quotePrefix="0" xfId="0">
      <alignment vertical="top" wrapText="1"/>
    </xf>
    <xf numFmtId="0" fontId="2" fillId="3" borderId="1" applyAlignment="1" pivotButton="0" quotePrefix="0" xfId="0">
      <alignment vertical="center"/>
    </xf>
    <xf numFmtId="0" fontId="0" fillId="0" borderId="1" pivotButton="0" quotePrefix="0" xfId="0"/>
  </cellXfs>
  <cellStyles count="1">
    <cellStyle name="Normal" xfId="0" builtinId="0"/>
  </cellStyles>
  <dxfs count="21">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User Story Status</a:t>
            </a:r>
          </a:p>
        </rich>
      </tx>
      <overlay val="1"/>
    </title>
    <plotArea>
      <layout/>
      <barChart>
        <barDir val="col"/>
        <grouping val="clustered"/>
        <varyColors val="0"/>
        <ser>
          <idx val="0"/>
          <order val="0"/>
          <tx>
            <v>Count</v>
          </tx>
          <spPr>
            <a:ln xmlns:a="http://schemas.openxmlformats.org/drawingml/2006/main">
              <a:prstDash val="solid"/>
            </a:ln>
          </spPr>
          <invertIfNegative val="1"/>
          <cat>
            <strRef>
              <f>Dashboard!$D$4:$D$9</f>
              <strCache>
                <ptCount val="6"/>
                <pt idx="0">
                  <v>Not Started</v>
                </pt>
                <pt idx="1">
                  <v>In Progress</v>
                </pt>
                <pt idx="2">
                  <v>In Review</v>
                </pt>
                <pt idx="3">
                  <v>Blocked</v>
                </pt>
                <pt idx="4">
                  <v>Done</v>
                </pt>
                <pt idx="5">
                  <v>Deferred</v>
                </pt>
              </strCache>
            </strRef>
          </cat>
          <val>
            <numRef>
              <f>Dashboard!$E$4:$E$9</f>
              <numCache>
                <formatCode>General</formatCode>
                <ptCount val="6"/>
                <pt idx="0">
                  <v>0</v>
                </pt>
                <pt idx="1">
                  <v>0</v>
                </pt>
                <pt idx="2">
                  <v>0</v>
                </pt>
                <pt idx="3">
                  <v>0</v>
                </pt>
                <pt idx="4">
                  <v>75</v>
                </pt>
                <pt idx="5">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Stories by Release</a:t>
            </a:r>
          </a:p>
        </rich>
      </tx>
      <overlay val="1"/>
    </title>
    <plotArea>
      <layout/>
      <barChart>
        <barDir val="col"/>
        <grouping val="clustered"/>
        <varyColors val="0"/>
        <ser>
          <idx val="0"/>
          <order val="0"/>
          <tx>
            <v>Stories</v>
          </tx>
          <spPr>
            <a:ln xmlns:a="http://schemas.openxmlformats.org/drawingml/2006/main">
              <a:prstDash val="solid"/>
            </a:ln>
          </spPr>
          <invertIfNegative val="1"/>
          <cat>
            <strRef>
              <f>Dashboard!$G$4:$G$6</f>
              <strCache>
                <ptCount val="3"/>
                <pt idx="0">
                  <v>MVP</v>
                </pt>
                <pt idx="1">
                  <v>R1</v>
                </pt>
                <pt idx="2">
                  <v>Later</v>
                </pt>
              </strCache>
            </strRef>
          </cat>
          <val>
            <numRef>
              <f>Dashboard!$H$4:$H$6</f>
              <numCache>
                <formatCode>General</formatCode>
                <ptCount val="3"/>
                <pt idx="0">
                  <v>71</v>
                </pt>
                <pt idx="1">
                  <v>4</v>
                </pt>
                <pt idx="2">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3</col>
      <colOff>0</colOff>
      <row>11</row>
      <rowOff>0</rowOff>
    </from>
    <to>
      <col>8</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2</row>
      <rowOff>0</rowOff>
    </from>
    <to>
      <col>14</col>
      <colOff>0</colOff>
      <row>16</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EpicsTable" displayName="EpicsTable" ref="A1:J13" headerRowCount="1" totalsRowShown="0">
  <tableColumns count="10">
    <tableColumn id="1" name="Epic ID"/>
    <tableColumn id="2" name="Epic Name"/>
    <tableColumn id="3" name="Description"/>
    <tableColumn id="4" name="Priority"/>
    <tableColumn id="5" name="Release"/>
    <tableColumn id="6" name="Owner"/>
    <tableColumn id="7" name="Status"/>
    <tableColumn id="8" name="Target Sprint"/>
    <tableColumn id="9" name="% Complete"/>
    <tableColumn id="10" name="Notes"/>
  </tableColumns>
  <tableStyleInfo name="TableStyleMedium2" showFirstColumn="0" showLastColumn="0" showRowStripes="1" showColumnStripes="0"/>
</table>
</file>

<file path=xl/tables/table2.xml><?xml version="1.0" encoding="utf-8"?>
<table xmlns="http://schemas.openxmlformats.org/spreadsheetml/2006/main" id="2" name="UserStoriesTable" displayName="UserStoriesTable" ref="A1:O76" headerRowCount="1" totalsRowShown="0">
  <tableColumns count="15">
    <tableColumn id="1" name="Story ID"/>
    <tableColumn id="2" name="Epic ID"/>
    <tableColumn id="3" name="Title"/>
    <tableColumn id="4" name="Persona"/>
    <tableColumn id="5" name="User Story"/>
    <tableColumn id="6" name="AC Count"/>
    <tableColumn id="7" name="Dependencies"/>
    <tableColumn id="8" name="Owner"/>
    <tableColumn id="9" name="Priority"/>
    <tableColumn id="10" name="Release"/>
    <tableColumn id="11" name="Sprint"/>
    <tableColumn id="12" name="Status"/>
    <tableColumn id="13" name="Estimate Points"/>
    <tableColumn id="14" name="Dev Notes"/>
    <tableColumn id="15" name="QA Notes"/>
  </tableColumns>
  <tableStyleInfo name="TableStyleMedium2" showFirstColumn="0" showLastColumn="0" showRowStripes="1" showColumnStripes="0"/>
</table>
</file>

<file path=xl/tables/table3.xml><?xml version="1.0" encoding="utf-8"?>
<table xmlns="http://schemas.openxmlformats.org/spreadsheetml/2006/main" id="3" name="AcceptanceCriteriaTable" displayName="AcceptanceCriteriaTable" ref="A1:K301" headerRowCount="1" totalsRowShown="0" dataDxfId="0">
  <tableColumns count="11">
    <tableColumn id="1" name="AC ID" dataDxfId="11"/>
    <tableColumn id="2" name="Story ID" dataDxfId="10"/>
    <tableColumn id="3" name="Epic ID" dataDxfId="9"/>
    <tableColumn id="4" name="Acceptance Criterion" dataDxfId="8"/>
    <tableColumn id="5" name="Test Case ID" dataDxfId="7"/>
    <tableColumn id="6" name="Test Status" dataDxfId="6"/>
    <tableColumn id="7" name="Evidence / Link" dataDxfId="5"/>
    <tableColumn id="8" name="Defect ID" dataDxfId="4"/>
    <tableColumn id="9" name="Tester" dataDxfId="3"/>
    <tableColumn id="10" name="Test Cycle" dataDxfId="2"/>
    <tableColumn id="11" name="Comments" dataDxfId="1"/>
  </tableColumns>
  <tableStyleInfo name="TableStyleMedium2" showFirstColumn="0" showLastColumn="0" showRowStripes="1" showColumnStripes="0"/>
</table>
</file>

<file path=xl/tables/table4.xml><?xml version="1.0" encoding="utf-8"?>
<table xmlns="http://schemas.openxmlformats.org/spreadsheetml/2006/main" id="4" name="TechnologyStackTable" displayName="TechnologyStackTable" ref="A1:C19" headerRowCount="1" totalsRowShown="0">
  <tableColumns count="3">
    <tableColumn id="1" name="Layer"/>
    <tableColumn id="2" name="Recommended Technology"/>
    <tableColumn id="3"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id="5" name="ScreensTable" displayName="ScreensTable" ref="A1:C21" headerRowCount="1" totalsRowShown="0">
  <tableColumns count="3">
    <tableColumn id="1" name="Screen ID"/>
    <tableColumn id="2" name="Screen"/>
    <tableColumn id="3" name="Delivery Status"/>
  </tableColumns>
  <tableStyleInfo name="TableStyleMedium2" showFirstColumn="0" showLastColumn="0" showRowStripes="1" showColumnStripes="0"/>
</table>
</file>

<file path=xl/tables/table6.xml><?xml version="1.0" encoding="utf-8"?>
<table xmlns="http://schemas.openxmlformats.org/spreadsheetml/2006/main" id="6" name="TraceabilityTable" displayName="TraceabilityTable" ref="A1:J76" headerRowCount="1" totalsRowShown="0">
  <tableColumns count="10">
    <tableColumn id="1" name="Epic ID"/>
    <tableColumn id="2" name="Story ID"/>
    <tableColumn id="3" name="SRS AC Count"/>
    <tableColumn id="4" name="Tracker AC Count"/>
    <tableColumn id="5" name="Story Status"/>
    <tableColumn id="6" name="AC Tested"/>
    <tableColumn id="7" name="AC Passed"/>
    <tableColumn id="8" name="AC Failed"/>
    <tableColumn id="9" name="Traceability"/>
    <tableColumn id="10" name="QA Completion %"/>
  </tableColumns>
  <tableStyleInfo name="TableStyleMedium2" showFirstColumn="0" showLastColumn="0" showRowStripes="1" showColumnStripes="0"/>
</table>
</file>

<file path=xl/tables/table7.xml><?xml version="1.0" encoding="utf-8"?>
<table xmlns="http://schemas.openxmlformats.org/spreadsheetml/2006/main" id="7" name="RisksTable" displayName="RisksTable" ref="A1:I7" headerRowCount="1" totalsRowShown="0">
  <tableColumns count="9">
    <tableColumn id="1" name="Risk ID"/>
    <tableColumn id="2" name="Risk"/>
    <tableColumn id="3" name="Impact"/>
    <tableColumn id="4" name="Likelihood"/>
    <tableColumn id="5" name="Mitigation"/>
    <tableColumn id="6" name="Owner"/>
    <tableColumn id="7" name="Status"/>
    <tableColumn id="8" name="Decision / Dependency"/>
    <tableColumn id="9"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3.8"/>
  <cols>
    <col width="18" customWidth="1" min="1" max="6"/>
  </cols>
  <sheetData>
    <row r="1" ht="24" customHeight="1">
      <c r="A1" s="2" t="inlineStr">
        <is>
          <t>Story Status</t>
        </is>
      </c>
      <c r="B1" s="2" t="inlineStr">
        <is>
          <t>Priority</t>
        </is>
      </c>
      <c r="C1" s="2" t="inlineStr">
        <is>
          <t>Release</t>
        </is>
      </c>
      <c r="D1" s="2" t="inlineStr">
        <is>
          <t>AC Status</t>
        </is>
      </c>
      <c r="E1" s="2" t="inlineStr">
        <is>
          <t>Risk Status</t>
        </is>
      </c>
      <c r="F1" s="2" t="inlineStr">
        <is>
          <t>Test Cycle</t>
        </is>
      </c>
    </row>
    <row r="2">
      <c r="A2" s="4" t="inlineStr">
        <is>
          <t>Not Started</t>
        </is>
      </c>
      <c r="B2" s="4" t="inlineStr">
        <is>
          <t>Must Have</t>
        </is>
      </c>
      <c r="C2" s="4" t="inlineStr">
        <is>
          <t>MVP</t>
        </is>
      </c>
      <c r="D2" s="4" t="inlineStr">
        <is>
          <t>Not Tested</t>
        </is>
      </c>
      <c r="E2" s="4" t="inlineStr">
        <is>
          <t>Open</t>
        </is>
      </c>
      <c r="F2" s="4" t="inlineStr">
        <is>
          <t>SIT</t>
        </is>
      </c>
    </row>
    <row r="3">
      <c r="A3" s="4" t="inlineStr">
        <is>
          <t>In Progress</t>
        </is>
      </c>
      <c r="B3" s="4" t="inlineStr">
        <is>
          <t>Should Have</t>
        </is>
      </c>
      <c r="C3" s="4" t="inlineStr">
        <is>
          <t>R1</t>
        </is>
      </c>
      <c r="D3" s="4" t="inlineStr">
        <is>
          <t>Pass</t>
        </is>
      </c>
      <c r="E3" s="4" t="inlineStr">
        <is>
          <t>Mitigating</t>
        </is>
      </c>
      <c r="F3" s="4" t="inlineStr">
        <is>
          <t>UAT</t>
        </is>
      </c>
    </row>
    <row r="4">
      <c r="A4" s="4" t="inlineStr">
        <is>
          <t>Blocked</t>
        </is>
      </c>
      <c r="B4" s="4" t="inlineStr">
        <is>
          <t>Could Have</t>
        </is>
      </c>
      <c r="C4" s="4" t="inlineStr">
        <is>
          <t>Later</t>
        </is>
      </c>
      <c r="D4" s="4" t="inlineStr">
        <is>
          <t>Fail</t>
        </is>
      </c>
      <c r="E4" s="4" t="inlineStr">
        <is>
          <t>Accepted</t>
        </is>
      </c>
      <c r="F4" s="4" t="inlineStr">
        <is>
          <t>Regression</t>
        </is>
      </c>
    </row>
    <row r="5">
      <c r="A5" s="4" t="inlineStr">
        <is>
          <t>In Review</t>
        </is>
      </c>
      <c r="B5" s="4" t="n"/>
      <c r="C5" s="4" t="n"/>
      <c r="D5" s="4" t="inlineStr">
        <is>
          <t>Blocked</t>
        </is>
      </c>
      <c r="E5" s="4" t="inlineStr">
        <is>
          <t>Closed</t>
        </is>
      </c>
      <c r="F5" s="4" t="n"/>
    </row>
    <row r="6">
      <c r="A6" s="4" t="inlineStr">
        <is>
          <t>Done</t>
        </is>
      </c>
      <c r="B6" s="4" t="n"/>
      <c r="C6" s="4" t="n"/>
      <c r="D6" s="4" t="inlineStr">
        <is>
          <t>Not Applicable</t>
        </is>
      </c>
      <c r="E6" s="4" t="n"/>
      <c r="F6" s="4" t="n"/>
    </row>
    <row r="7">
      <c r="A7" s="4" t="inlineStr">
        <is>
          <t>Deferred</t>
        </is>
      </c>
      <c r="B7" s="4" t="n"/>
      <c r="C7" s="4" t="n"/>
      <c r="D7" s="4" t="n"/>
      <c r="E7" s="4" t="n"/>
      <c r="F7" s="4" t="n"/>
    </row>
    <row r="8">
      <c r="A8" s="4" t="inlineStr">
        <is>
          <t>Cancelled</t>
        </is>
      </c>
      <c r="B8" s="4" t="n"/>
      <c r="C8" s="4" t="n"/>
      <c r="D8" s="4" t="n"/>
      <c r="E8" s="4" t="n"/>
      <c r="F8" s="4" t="n"/>
    </row>
    <row r="9">
      <c r="A9" s="4" t="n"/>
      <c r="B9" s="4" t="n"/>
      <c r="C9" s="4" t="n"/>
      <c r="D9" s="4" t="n"/>
      <c r="E9" s="4" t="n"/>
      <c r="F9" s="4"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3.8"/>
  <cols>
    <col width="12" customWidth="1" min="1" max="1"/>
    <col width="30" customWidth="1" min="2" max="2"/>
    <col width="50" customWidth="1" min="3" max="3"/>
    <col width="14" customWidth="1" min="4" max="4"/>
    <col width="12" customWidth="1" min="5" max="5"/>
    <col width="16" customWidth="1" min="6" max="8"/>
    <col width="12" customWidth="1" min="9" max="9"/>
    <col width="28" customWidth="1" min="10" max="10"/>
  </cols>
  <sheetData>
    <row r="1" ht="24" customHeight="1">
      <c r="A1" s="2" t="inlineStr">
        <is>
          <t>Epic ID</t>
        </is>
      </c>
      <c r="B1" s="2" t="inlineStr">
        <is>
          <t>Epic Name</t>
        </is>
      </c>
      <c r="C1" s="2" t="inlineStr">
        <is>
          <t>Description</t>
        </is>
      </c>
      <c r="D1" s="2" t="inlineStr">
        <is>
          <t>Priority</t>
        </is>
      </c>
      <c r="E1" s="2" t="inlineStr">
        <is>
          <t>Release</t>
        </is>
      </c>
      <c r="F1" s="2" t="inlineStr">
        <is>
          <t>Owner</t>
        </is>
      </c>
      <c r="G1" s="2" t="inlineStr">
        <is>
          <t>Status</t>
        </is>
      </c>
      <c r="H1" s="2" t="inlineStr">
        <is>
          <t>Target Sprint</t>
        </is>
      </c>
      <c r="I1" s="2" t="inlineStr">
        <is>
          <t>% Complete</t>
        </is>
      </c>
      <c r="J1" s="2" t="inlineStr">
        <is>
          <t>Notes</t>
        </is>
      </c>
    </row>
    <row r="2" ht="55.2" customHeight="1">
      <c r="A2" s="4" t="inlineStr">
        <is>
          <t>EP-001</t>
        </is>
      </c>
      <c r="B2" s="4" t="inlineStr">
        <is>
          <t>Registration &amp; Authentication</t>
        </is>
      </c>
      <c r="C2" s="4" t="inlineStr">
        <is>
          <t>Account registration, approval, login, logout and password recovery.</t>
        </is>
      </c>
      <c r="D2" s="4" t="inlineStr">
        <is>
          <t>Must Have</t>
        </is>
      </c>
      <c r="E2" s="4" t="inlineStr">
        <is>
          <t>MVP</t>
        </is>
      </c>
      <c r="F2" s="4" t="inlineStr">
        <is>
          <t>Claude (AI Engineer)</t>
        </is>
      </c>
      <c r="G2" s="4" t="inlineStr">
        <is>
          <t>Done</t>
        </is>
      </c>
      <c r="H2" s="4" t="inlineStr">
        <is>
          <t>Week 1</t>
        </is>
      </c>
      <c r="I2" s="5" t="n">
        <v>100</v>
      </c>
      <c r="J2" s="4" t="inlineStr">
        <is>
          <t>Register/approve/login/logout/forgot+reset password/session-inactivity all implemented. Core auth path covered by e2e tests.</t>
        </is>
      </c>
    </row>
    <row r="3" ht="55.2" customHeight="1">
      <c r="A3" s="4" t="inlineStr">
        <is>
          <t>EP-002</t>
        </is>
      </c>
      <c r="B3" s="4" t="inlineStr">
        <is>
          <t>User &amp; Role Administration</t>
        </is>
      </c>
      <c r="C3" s="4" t="inlineStr">
        <is>
          <t>User profiles, employee identifiers, roles, activation/suspension and department assignment.</t>
        </is>
      </c>
      <c r="D3" s="4" t="inlineStr">
        <is>
          <t>Must Have</t>
        </is>
      </c>
      <c r="E3" s="4" t="inlineStr">
        <is>
          <t>MVP</t>
        </is>
      </c>
      <c r="F3" s="4" t="inlineStr">
        <is>
          <t>Claude (AI Engineer)</t>
        </is>
      </c>
      <c r="G3" s="4" t="inlineStr">
        <is>
          <t>Done</t>
        </is>
      </c>
      <c r="H3" s="4" t="inlineStr">
        <is>
          <t>Week 1</t>
        </is>
      </c>
      <c r="I3" s="5" t="n">
        <v>100</v>
      </c>
      <c r="J3" s="4" t="inlineStr">
        <is>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t>
        </is>
      </c>
    </row>
    <row r="4" ht="69" customHeight="1">
      <c r="A4" s="4" t="inlineStr">
        <is>
          <t>EP-003</t>
        </is>
      </c>
      <c r="B4" s="4" t="inlineStr">
        <is>
          <t>Attendance Clock-In / Clock-Out</t>
        </is>
      </c>
      <c r="C4" s="4" t="inlineStr">
        <is>
          <t>Record the employee workday using authoritative clock-in and clock-out events.</t>
        </is>
      </c>
      <c r="D4" s="4" t="inlineStr">
        <is>
          <t>Must Have</t>
        </is>
      </c>
      <c r="E4" s="4" t="inlineStr">
        <is>
          <t>MVP</t>
        </is>
      </c>
      <c r="F4" s="4" t="inlineStr">
        <is>
          <t>Claude (AI Engineer)</t>
        </is>
      </c>
      <c r="G4" s="4" t="inlineStr">
        <is>
          <t>Done</t>
        </is>
      </c>
      <c r="H4" s="4" t="inlineStr">
        <is>
          <t>Week 1</t>
        </is>
      </c>
      <c r="I4" s="5" t="n">
        <v>100</v>
      </c>
      <c r="J4" s="4" t="inlineStr">
        <is>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is>
      </c>
    </row>
    <row r="5" ht="69" customHeight="1">
      <c r="A5" s="4" t="inlineStr">
        <is>
          <t>EP-004</t>
        </is>
      </c>
      <c r="B5" s="4" t="inlineStr">
        <is>
          <t>Break Management</t>
        </is>
      </c>
      <c r="C5" s="4" t="inlineStr">
        <is>
          <t>Record start/end of breaks and exclude applicable break time from net working time.</t>
        </is>
      </c>
      <c r="D5" s="4" t="inlineStr">
        <is>
          <t>Must Have</t>
        </is>
      </c>
      <c r="E5" s="4" t="inlineStr">
        <is>
          <t>MVP</t>
        </is>
      </c>
      <c r="F5" s="4" t="inlineStr">
        <is>
          <t>Claude (AI Engineer)</t>
        </is>
      </c>
      <c r="G5" s="4" t="inlineStr">
        <is>
          <t>Done</t>
        </is>
      </c>
      <c r="H5" s="4" t="inlineStr">
        <is>
          <t>Week 1</t>
        </is>
      </c>
      <c r="I5" s="5" t="n">
        <v>100</v>
      </c>
      <c r="J5" s="4" t="inlineStr">
        <is>
          <t>Start/end break, auto-pause of active task timer on break start (BR-005), no auto-resume (BR-006), break report. e2e + browser tested. | Manually re-verified live against the deployed Azure app, 2026-09-09, all 24 ACs, using a real disposable employee account and task. Found and fixed two real gaps: SCR-006 'Attendance Day Detail / Timeline' - named in the SRS's own screen list but never built - so employees had no way to see individual break start/end/duration for a past day (AC-004-005-01/02); and the admin Breaks report had no employee filter despite the backend supporting one, and never showed daily totals alongside the individual break list (AC-004-006-01/02). All three built, deployed, and re-verified live. Also froze in real proof of: a genuine concurrent double break-start race correctly blocked by the same pattern as clock-in; a task timer paused by a break closing on the exact same server timestamp the break opens on; a paused task never auto-resuming on break-end without explicit user action; and a filtered CSV export containing exactly the same rows as the filtered on-screen JSON, not a separate unfiltered query.</t>
        </is>
      </c>
    </row>
    <row r="6" ht="41.4" customHeight="1">
      <c r="A6" s="4" t="inlineStr">
        <is>
          <t>EP-005</t>
        </is>
      </c>
      <c r="B6" s="4" t="inlineStr">
        <is>
          <t>Task Management</t>
        </is>
      </c>
      <c r="C6" s="4" t="inlineStr">
        <is>
          <t>Create, assign, prioritise, update and complete tasks used for professional time allocation.</t>
        </is>
      </c>
      <c r="D6" s="4" t="inlineStr">
        <is>
          <t>Must Have</t>
        </is>
      </c>
      <c r="E6" s="4" t="inlineStr">
        <is>
          <t>MVP</t>
        </is>
      </c>
      <c r="F6" s="4" t="inlineStr">
        <is>
          <t>Claude (AI Engineer)</t>
        </is>
      </c>
      <c r="G6" s="4" t="inlineStr">
        <is>
          <t>Done</t>
        </is>
      </c>
      <c r="H6" s="4" t="inlineStr">
        <is>
          <t>Week 1</t>
        </is>
      </c>
      <c r="I6" s="5" t="n">
        <v>100</v>
      </c>
      <c r="J6" s="4" t="inlineStr">
        <is>
          <t>Create/assign/priority/estimate/status transitions/my task list all implemented and tested. | Manually re-verified live against the deployed Azure app, 2026-09-09, all 32 ACs, using a real disposable employee account and several real tasks. Found and fixed four real gaps: dueDate existed in the schema and displayed on lists/detail but had no form anywhere to set it; the employee My Tasks page showed the New Task button/form unconditionally regardless of the employeesCanCreateTasks setting (only enforced server-side); neither task list exposed a priority filter despite the backend supporting one, and the employee list had no status filter either; and the list endpoints never computed actualMinutes per row, only the single-task detail endpoint did, so 'actual time' was invisible on both lists. Also built a real admin task-edit form (reassign/priority/estimate/due date) on Task Detail, since PATCH /tasks/:id already supported all of it and reassignment already triggers a notification (EP-011) but there was no UI to use it after creation. Also froze in real proof of: reassignment never rewriting historical task-time ownership; an active timer correctly blocking completion; a completed/cancelled task correctly blocking new timers until reopened; and a completed task remaining fully visible in historical task-time reports.</t>
        </is>
      </c>
    </row>
    <row r="7" ht="69" customHeight="1">
      <c r="A7" s="4" t="inlineStr">
        <is>
          <t>EP-006</t>
        </is>
      </c>
      <c r="B7" s="4" t="inlineStr">
        <is>
          <t>Task Time Tracking</t>
        </is>
      </c>
      <c r="C7" s="4" t="inlineStr">
        <is>
          <t>Run a live server-authoritative timer against a task with pause, resume, stop and switch behaviour.</t>
        </is>
      </c>
      <c r="D7" s="4" t="inlineStr">
        <is>
          <t>Must Have</t>
        </is>
      </c>
      <c r="E7" s="4" t="inlineStr">
        <is>
          <t>MVP</t>
        </is>
      </c>
      <c r="F7" s="4" t="inlineStr">
        <is>
          <t>Claude (AI Engineer)</t>
        </is>
      </c>
      <c r="G7" s="4" t="inlineStr">
        <is>
          <t>Done</t>
        </is>
      </c>
      <c r="H7" s="4" t="inlineStr">
        <is>
          <t>Week 1</t>
        </is>
      </c>
      <c r="I7" s="5" t="n">
        <v>100</v>
      </c>
      <c r="J7" s="4" t="inlineStr">
        <is>
          <t>Start/pause/resume/stop/switch with DB-enforced single-active-timer (BR-003), global timer bar, daily log endpoint. e2e + browser tested. | Manually re-verified live against the deployed Azure app, 2026-09-09, all 40 ACs, using a real disposable employee account and two real tasks. No new gaps found this pass - the timer engine (start/pause/resume/stop/switch) was already solid. Froze in strong real evidence throughout: a genuine concurrent double-start race correctly blocked (same DB-constraint pattern as attendance/breaks); a task switch closing the old segment and opening the new one at a byte-identical server timestamp; the elapsed-time display proven to be pure client-side ticking with zero per-second network calls, yet correctly reconstructed from stored timestamps after a hard page reload; and both positive and negative estimate-vs-actual variance shown clearly on real data (+0h 2m red over-estimate, -2h 0m green under-estimate) with an estimate edit proven not to retroactively affect already-logged actual time.</t>
        </is>
      </c>
    </row>
    <row r="8" ht="82.8" customHeight="1">
      <c r="A8" s="4" t="inlineStr">
        <is>
          <t>EP-007</t>
        </is>
      </c>
      <c r="B8" s="4" t="inlineStr">
        <is>
          <t>Attendance &amp; Task-Time Reconciliation</t>
        </is>
      </c>
      <c r="C8" s="4" t="inlineStr">
        <is>
          <t>Compare net attendance time with task time and identify unallocated working time.</t>
        </is>
      </c>
      <c r="D8" s="4" t="inlineStr">
        <is>
          <t>Must Have</t>
        </is>
      </c>
      <c r="E8" s="4" t="inlineStr">
        <is>
          <t>MVP</t>
        </is>
      </c>
      <c r="F8" s="4" t="inlineStr">
        <is>
          <t>Claude (AI Engineer)</t>
        </is>
      </c>
      <c r="G8" s="4" t="inlineStr">
        <is>
          <t>Done</t>
        </is>
      </c>
      <c r="H8" s="4" t="inlineStr">
        <is>
          <t>Week 1</t>
        </is>
      </c>
      <c r="I8" s="5" t="n">
        <v>100</v>
      </c>
      <c r="J8" s="4" t="inlineStr">
        <is>
          <t>Net working / task / unallocated time formulas match the SRS worked example exactly (unit-tested). Daily timeline and data-quality exception flag implemented. | Manually re-verified live against the deployed Azure app, 2026-09-09, all 20 ACs, using a real disposable employee account. Found and fixed one real gap: the daily timeline never gave unallocated gaps any visual treatment at all (AC-007-005-03) - added client-side gap computation and rendered them as distinct dashed 'Unallocated' entries, verified live with a real 12-minute gap. Also proved the whole data-quality-exception lifecycle end-to-end for the first time with genuine triggers rather than unit tests alone: approved a real correction that shrank a session below its own task time, watched dataQualityException flip true in the live admin Reports UI, confirmed the system never silently altered the original TaskTimeEntry, then approved a second corrective correction and watched the exception clear back to false.</t>
        </is>
      </c>
    </row>
    <row r="9" ht="110.4" customHeight="1">
      <c r="A9" s="4" t="inlineStr">
        <is>
          <t>EP-008</t>
        </is>
      </c>
      <c r="B9" s="4" t="inlineStr">
        <is>
          <t>Employee &amp; Administrator Dashboards</t>
        </is>
      </c>
      <c r="C9" s="4" t="inlineStr">
        <is>
          <t>Provide simple live views of attendance, breaks, tasks and current activity.</t>
        </is>
      </c>
      <c r="D9" s="4" t="inlineStr">
        <is>
          <t>Must Have</t>
        </is>
      </c>
      <c r="E9" s="4" t="inlineStr">
        <is>
          <t>MVP</t>
        </is>
      </c>
      <c r="F9" s="4" t="inlineStr">
        <is>
          <t>Claude (AI Engineer)</t>
        </is>
      </c>
      <c r="G9" s="4" t="inlineStr">
        <is>
          <t>Done</t>
        </is>
      </c>
      <c r="H9" s="4" t="inlineStr">
        <is>
          <t>Week 1</t>
        </is>
      </c>
      <c r="I9" s="5" t="n">
        <v>90</v>
      </c>
      <c r="J9" s="4" t="inlineStr">
        <is>
          <t>My Day and Admin dashboards, live attendance table, task-status KPIs all implemented. Mobile-breakpoint QA pass (US-008-005) completed: found and fixed a real gap (no mobile nav existed at all at 375px width) and verified all 4 ACs pass. | Manually re-verified live against the deployed Azure app, 2026-09-09, all 20 ACs, using real disposable employee accounts and a real genuine mobile viewport (375px, not just a resized desktop window). Found and fixed two real bugs: a user deactivated mid-session kept showing up in Live Attendance indefinitely as 'Working' because getLive() never filtered by the user's current account status; and the header carrying the live timer/clock state used min-h-screen instead of h-screen, so it scrolled out of view on any page tall enough to need scrolling - invisible on typical desktop content but immediately obvious at mobile width where pages stack much taller. Both fixed, deployed, and re-verified live with real before/after evidence, including a screenshot proof of the timer bar staying pinned while scrolling after the fix.</t>
        </is>
      </c>
    </row>
    <row r="10" ht="69" customHeight="1">
      <c r="A10" s="4" t="inlineStr">
        <is>
          <t>EP-009</t>
        </is>
      </c>
      <c r="B10" s="4" t="inlineStr">
        <is>
          <t>Corrections, Approvals &amp; Audit</t>
        </is>
      </c>
      <c r="C10" s="4" t="inlineStr">
        <is>
          <t>Allow controlled corrections to attendance/task time while preserving a full audit trail.</t>
        </is>
      </c>
      <c r="D10" s="4" t="inlineStr">
        <is>
          <t>Must Have</t>
        </is>
      </c>
      <c r="E10" s="4" t="inlineStr">
        <is>
          <t>MVP</t>
        </is>
      </c>
      <c r="F10" s="4" t="inlineStr">
        <is>
          <t>Claude (AI Engineer)</t>
        </is>
      </c>
      <c r="G10" s="4" t="inlineStr">
        <is>
          <t>Done</t>
        </is>
      </c>
      <c r="H10" s="4" t="inlineStr">
        <is>
          <t>Week 1</t>
        </is>
      </c>
      <c r="I10" s="5" t="n">
        <v>100</v>
      </c>
      <c r="J10" s="4" t="inlineStr">
        <is>
          <t>Request/approve/reject, admin direct correction, and audit log all implemented; originals preserved until approval (BR-012). e2e tested. | Manually re-verified live against the deployed Azure app, 2026-09-09, all 20 ACs, using a real disposable employee account. Found and fixed three real gaps, one of them a genuine correctness bug, not just a missing UI: (1) decide() only ran the overlap check when a correction had both proposedStart and proposedEnd set, so the realistic single-boundary case ('I forgot to stop my timer') skipped validation entirely - proved live by approving a corrupting correction before the fix, then proving the identical scenario correctly rejected after it; (2) US-009-003 (request a task-time correction) had no frontend at all, hardcoded to ATTENDANCE_SESSION only; (3) US-009-004 (admin corrects records directly) had a fully-built, audited backend endpoint with zero UI and no way to even look up another user's record ids - built a new admin history endpoint and a full direct-correction UI, verified end-to-end on a real record. Also added a visible reason-length hint (previously silently enforced) and a decision-comment field on the admin review screen that the backend always accepted but no form ever sent.</t>
        </is>
      </c>
    </row>
    <row r="11" ht="234.6" customHeight="1">
      <c r="A11" s="4" t="inlineStr">
        <is>
          <t>EP-010</t>
        </is>
      </c>
      <c r="B11" s="4" t="inlineStr">
        <is>
          <t>Reports &amp; Export</t>
        </is>
      </c>
      <c r="C11" s="4" t="inlineStr">
        <is>
          <t>Attendance, break, task and utilisation reports with filter and export capabilities.</t>
        </is>
      </c>
      <c r="D11" s="4" t="inlineStr">
        <is>
          <t>Should Have</t>
        </is>
      </c>
      <c r="E11" s="4" t="inlineStr">
        <is>
          <t>MVP</t>
        </is>
      </c>
      <c r="F11" s="4" t="inlineStr">
        <is>
          <t>Claude (AI Engineer)</t>
        </is>
      </c>
      <c r="G11" s="4" t="inlineStr">
        <is>
          <t>Done</t>
        </is>
      </c>
      <c r="H11" s="4" t="inlineStr">
        <is>
          <t>Week 1</t>
        </is>
      </c>
      <c r="I11" s="5" t="n">
        <v>90</v>
      </c>
      <c r="J11" s="4" t="inlineStr">
        <is>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t>
        </is>
      </c>
    </row>
    <row r="12" ht="358.8" customHeight="1">
      <c r="A12" s="4" t="inlineStr">
        <is>
          <t>EP-011</t>
        </is>
      </c>
      <c r="B12" s="4" t="inlineStr">
        <is>
          <t>Notifications &amp; Reminders</t>
        </is>
      </c>
      <c r="C12" s="4" t="inlineStr">
        <is>
          <t>Operational reminders for missing clock-out, incomplete task time and assigned tasks.</t>
        </is>
      </c>
      <c r="D12" s="4" t="inlineStr">
        <is>
          <t>Should Have</t>
        </is>
      </c>
      <c r="E12" s="4" t="inlineStr">
        <is>
          <t>R1</t>
        </is>
      </c>
      <c r="F12" s="4" t="inlineStr">
        <is>
          <t>Claude (AI Engineer)</t>
        </is>
      </c>
      <c r="G12" s="4" t="inlineStr">
        <is>
          <t>Done</t>
        </is>
      </c>
      <c r="H12" s="4" t="inlineStr">
        <is>
          <t>Week 1</t>
        </is>
      </c>
      <c r="I12" s="5" t="n">
        <v>0</v>
      </c>
      <c r="J12" s="4" t="inlineStr">
        <is>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t>
        </is>
      </c>
    </row>
    <row r="13" ht="248.4" customHeight="1">
      <c r="A13" s="4" t="inlineStr">
        <is>
          <t>EP-012</t>
        </is>
      </c>
      <c r="B13" s="4" t="inlineStr">
        <is>
          <t>Security, Reliability &amp; Operations</t>
        </is>
      </c>
      <c r="C13" s="4" t="inlineStr">
        <is>
          <t>Security controls, observability, backup, performance and production readiness.</t>
        </is>
      </c>
      <c r="D13" s="4" t="inlineStr">
        <is>
          <t>Must Have</t>
        </is>
      </c>
      <c r="E13" s="4" t="inlineStr">
        <is>
          <t>MVP</t>
        </is>
      </c>
      <c r="F13" s="4" t="inlineStr">
        <is>
          <t>Claude (AI Engineer)</t>
        </is>
      </c>
      <c r="G13" s="4" t="inlineStr">
        <is>
          <t>Done</t>
        </is>
      </c>
      <c r="H13" s="4" t="inlineStr">
        <is>
          <t>Week 1</t>
        </is>
      </c>
      <c r="I13" s="5" t="n">
        <v>100</v>
      </c>
      <c r="J13" s="4" t="inlineStr">
        <is>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t>
        </is>
      </c>
    </row>
  </sheetData>
  <conditionalFormatting sqref="G2:G13">
    <cfRule type="expression" priority="1" dxfId="13">
      <formula>G2="Done"</formula>
    </cfRule>
    <cfRule type="expression" priority="2" dxfId="12">
      <formula>G2="Blocked"</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6"/>
  <sheetViews>
    <sheetView workbookViewId="0">
      <selection activeCell="A1" sqref="A1"/>
    </sheetView>
  </sheetViews>
  <sheetFormatPr baseColWidth="8" defaultRowHeight="13.8"/>
  <cols>
    <col width="15" customWidth="1" min="1" max="1"/>
    <col width="12" customWidth="1" min="2" max="2"/>
    <col width="30" customWidth="1" min="3" max="3"/>
    <col width="20" customWidth="1" min="4" max="4"/>
    <col width="62" customWidth="1" min="5" max="5"/>
    <col width="10" customWidth="1" min="6" max="6"/>
    <col width="22" customWidth="1" min="7" max="7"/>
    <col width="16" customWidth="1" min="8" max="8"/>
    <col width="14" customWidth="1" min="9" max="9"/>
    <col width="12" customWidth="1" min="10" max="10"/>
    <col width="14" customWidth="1" min="11" max="11"/>
    <col width="16" customWidth="1" min="12" max="12"/>
    <col width="14" customWidth="1" min="13" max="13"/>
    <col width="28" customWidth="1" min="14" max="15"/>
  </cols>
  <sheetData>
    <row r="1" ht="24" customHeight="1">
      <c r="A1" s="2" t="inlineStr">
        <is>
          <t>Story ID</t>
        </is>
      </c>
      <c r="B1" s="2" t="inlineStr">
        <is>
          <t>Epic ID</t>
        </is>
      </c>
      <c r="C1" s="2" t="inlineStr">
        <is>
          <t>Title</t>
        </is>
      </c>
      <c r="D1" s="2" t="inlineStr">
        <is>
          <t>Persona</t>
        </is>
      </c>
      <c r="E1" s="2" t="inlineStr">
        <is>
          <t>User Story</t>
        </is>
      </c>
      <c r="F1" s="2" t="inlineStr">
        <is>
          <t>AC Count</t>
        </is>
      </c>
      <c r="G1" s="2" t="inlineStr">
        <is>
          <t>Dependencies</t>
        </is>
      </c>
      <c r="H1" s="2" t="inlineStr">
        <is>
          <t>Owner</t>
        </is>
      </c>
      <c r="I1" s="2" t="inlineStr">
        <is>
          <t>Priority</t>
        </is>
      </c>
      <c r="J1" s="2" t="inlineStr">
        <is>
          <t>Release</t>
        </is>
      </c>
      <c r="K1" s="2" t="inlineStr">
        <is>
          <t>Sprint</t>
        </is>
      </c>
      <c r="L1" s="2" t="inlineStr">
        <is>
          <t>Status</t>
        </is>
      </c>
      <c r="M1" s="2" t="inlineStr">
        <is>
          <t>Estimate Points</t>
        </is>
      </c>
      <c r="N1" s="2" t="inlineStr">
        <is>
          <t>Dev Notes</t>
        </is>
      </c>
      <c r="O1" s="2" t="inlineStr">
        <is>
          <t>QA Notes</t>
        </is>
      </c>
    </row>
    <row r="2" ht="55.2" customHeight="1">
      <c r="A2" s="4" t="inlineStr">
        <is>
          <t>US-001-001</t>
        </is>
      </c>
      <c r="B2" s="4" t="inlineStr">
        <is>
          <t>EP-001</t>
        </is>
      </c>
      <c r="C2" s="4" t="inlineStr">
        <is>
          <t>Register a new account</t>
        </is>
      </c>
      <c r="D2" s="4" t="inlineStr">
        <is>
          <t>Employee</t>
        </is>
      </c>
      <c r="E2" s="4" t="inlineStr">
        <is>
          <t>As a new user, I want to register an account so that I can use the attendance system.</t>
        </is>
      </c>
      <c r="F2" s="4" t="n">
        <v>4</v>
      </c>
      <c r="G2" s="4" t="n"/>
      <c r="H2" s="4" t="inlineStr">
        <is>
          <t>Claude (AI Engineer)</t>
        </is>
      </c>
      <c r="I2" s="4" t="inlineStr">
        <is>
          <t>Must Have</t>
        </is>
      </c>
      <c r="J2" s="4" t="inlineStr">
        <is>
          <t>MVP</t>
        </is>
      </c>
      <c r="K2" s="4" t="inlineStr">
        <is>
          <t>Week 1</t>
        </is>
      </c>
      <c r="L2" s="4" t="inlineStr">
        <is>
          <t>Done</t>
        </is>
      </c>
      <c r="M2" s="4" t="n">
        <v>3</v>
      </c>
      <c r="N2" s="4" t="inlineStr">
        <is>
          <t>Implemented and functionally working; not individually covered by an automated test this session.</t>
        </is>
      </c>
      <c r="O2" s="4" t="n"/>
    </row>
    <row r="3" ht="55.2" customHeight="1">
      <c r="A3" s="4" t="inlineStr">
        <is>
          <t>US-001-002</t>
        </is>
      </c>
      <c r="B3" s="4" t="inlineStr">
        <is>
          <t>EP-001</t>
        </is>
      </c>
      <c r="C3" s="4" t="inlineStr">
        <is>
          <t>Approve pending registration</t>
        </is>
      </c>
      <c r="D3" s="4" t="inlineStr">
        <is>
          <t>Administrator</t>
        </is>
      </c>
      <c r="E3" s="4" t="inlineStr">
        <is>
          <t>As an administrator, I want to approve a pending registration so that only authorised staff gain access.</t>
        </is>
      </c>
      <c r="F3" s="4" t="n">
        <v>4</v>
      </c>
      <c r="G3" s="4" t="n"/>
      <c r="H3" s="4" t="inlineStr">
        <is>
          <t>Claude (AI Engineer)</t>
        </is>
      </c>
      <c r="I3" s="4" t="inlineStr">
        <is>
          <t>Must Have</t>
        </is>
      </c>
      <c r="J3" s="4" t="inlineStr">
        <is>
          <t>MVP</t>
        </is>
      </c>
      <c r="K3" s="4" t="inlineStr">
        <is>
          <t>Week 1</t>
        </is>
      </c>
      <c r="L3" s="4" t="inlineStr">
        <is>
          <t>Done</t>
        </is>
      </c>
      <c r="M3" s="4" t="n">
        <v>3</v>
      </c>
      <c r="N3" s="4" t="inlineStr">
        <is>
          <t>Verified by e2e test: pending queue visible to admin, approval activates account and records approver/date.</t>
        </is>
      </c>
      <c r="O3" s="4" t="n"/>
    </row>
    <row r="4" ht="69" customHeight="1">
      <c r="A4" s="4" t="inlineStr">
        <is>
          <t>US-001-003</t>
        </is>
      </c>
      <c r="B4" s="4" t="inlineStr">
        <is>
          <t>EP-001</t>
        </is>
      </c>
      <c r="C4" s="4" t="inlineStr">
        <is>
          <t>Login</t>
        </is>
      </c>
      <c r="D4" s="4" t="inlineStr">
        <is>
          <t>Employee</t>
        </is>
      </c>
      <c r="E4" s="4" t="inlineStr">
        <is>
          <t>As a registered user, I want to sign in securely so that I can access my attendance and tasks.</t>
        </is>
      </c>
      <c r="F4" s="4" t="n">
        <v>4</v>
      </c>
      <c r="G4" s="4" t="n"/>
      <c r="H4" s="4" t="inlineStr">
        <is>
          <t>Claude (AI Engineer)</t>
        </is>
      </c>
      <c r="I4" s="4" t="inlineStr">
        <is>
          <t>Must Have</t>
        </is>
      </c>
      <c r="J4" s="4" t="inlineStr">
        <is>
          <t>MVP</t>
        </is>
      </c>
      <c r="K4" s="4" t="inlineStr">
        <is>
          <t>Week 1</t>
        </is>
      </c>
      <c r="L4" s="4" t="inlineStr">
        <is>
          <t>Done</t>
        </is>
      </c>
      <c r="M4" s="4" t="n">
        <v>3</v>
      </c>
      <c r="N4" s="4" t="inlineStr">
        <is>
          <t>Verified by e2e test: pending/inactive accounts blocked; active accounts authenticate via HttpOnly cookies.</t>
        </is>
      </c>
      <c r="O4" s="4" t="n"/>
    </row>
    <row r="5" ht="55.2" customHeight="1">
      <c r="A5" s="4" t="inlineStr">
        <is>
          <t>US-001-004</t>
        </is>
      </c>
      <c r="B5" s="4" t="inlineStr">
        <is>
          <t>EP-001</t>
        </is>
      </c>
      <c r="C5" s="4" t="inlineStr">
        <is>
          <t>Logout</t>
        </is>
      </c>
      <c r="D5" s="4" t="inlineStr">
        <is>
          <t>Employee</t>
        </is>
      </c>
      <c r="E5" s="4" t="inlineStr">
        <is>
          <t>As a user, I want to log out so that my account is not left accessible on a shared device.</t>
        </is>
      </c>
      <c r="F5" s="4" t="n">
        <v>4</v>
      </c>
      <c r="G5" s="4" t="n"/>
      <c r="H5" s="4" t="inlineStr">
        <is>
          <t>Claude (AI Engineer)</t>
        </is>
      </c>
      <c r="I5" s="4" t="inlineStr">
        <is>
          <t>Must Have</t>
        </is>
      </c>
      <c r="J5" s="4" t="inlineStr">
        <is>
          <t>MVP</t>
        </is>
      </c>
      <c r="K5" s="4" t="inlineStr">
        <is>
          <t>Week 1</t>
        </is>
      </c>
      <c r="L5" s="4" t="inlineStr">
        <is>
          <t>Done</t>
        </is>
      </c>
      <c r="M5" s="4" t="n">
        <v>3</v>
      </c>
      <c r="N5" s="4" t="inlineStr">
        <is>
          <t>Verified by e2e test: logout revokes refresh token, subsequent /auth/refresh returns 401.</t>
        </is>
      </c>
      <c r="O5" s="4" t="n"/>
    </row>
    <row r="6" ht="55.2" customHeight="1">
      <c r="A6" s="4" t="inlineStr">
        <is>
          <t>US-001-005</t>
        </is>
      </c>
      <c r="B6" s="4" t="inlineStr">
        <is>
          <t>EP-001</t>
        </is>
      </c>
      <c r="C6" s="4" t="inlineStr">
        <is>
          <t>Forgot password</t>
        </is>
      </c>
      <c r="D6" s="4" t="inlineStr">
        <is>
          <t>Employee</t>
        </is>
      </c>
      <c r="E6" s="4" t="inlineStr">
        <is>
          <t>As a user, I want to request a password reset so that I can regain account access.</t>
        </is>
      </c>
      <c r="F6" s="4" t="n">
        <v>4</v>
      </c>
      <c r="G6" s="4" t="n"/>
      <c r="H6" s="4" t="inlineStr">
        <is>
          <t>Claude (AI Engineer)</t>
        </is>
      </c>
      <c r="I6" s="4" t="inlineStr">
        <is>
          <t>Must Have</t>
        </is>
      </c>
      <c r="J6" s="4" t="inlineStr">
        <is>
          <t>MVP</t>
        </is>
      </c>
      <c r="K6" s="4" t="inlineStr">
        <is>
          <t>Week 1</t>
        </is>
      </c>
      <c r="L6" s="4" t="inlineStr">
        <is>
          <t>Done</t>
        </is>
      </c>
      <c r="M6" s="4" t="n">
        <v>3</v>
      </c>
      <c r="N6" s="4" t="inlineStr">
        <is>
          <t>Implemented and functionally working; not individually covered by an automated test this session.</t>
        </is>
      </c>
      <c r="O6" s="4" t="n"/>
    </row>
    <row r="7" ht="55.2" customHeight="1">
      <c r="A7" s="4" t="inlineStr">
        <is>
          <t>US-001-006</t>
        </is>
      </c>
      <c r="B7" s="4" t="inlineStr">
        <is>
          <t>EP-001</t>
        </is>
      </c>
      <c r="C7" s="4" t="inlineStr">
        <is>
          <t>Reset password</t>
        </is>
      </c>
      <c r="D7" s="4" t="inlineStr">
        <is>
          <t>Employee</t>
        </is>
      </c>
      <c r="E7" s="4" t="inlineStr">
        <is>
          <t>As a user, I want to set a new password using a valid reset link.</t>
        </is>
      </c>
      <c r="F7" s="4" t="n">
        <v>4</v>
      </c>
      <c r="G7" s="4" t="n"/>
      <c r="H7" s="4" t="inlineStr">
        <is>
          <t>Claude (AI Engineer)</t>
        </is>
      </c>
      <c r="I7" s="4" t="inlineStr">
        <is>
          <t>Must Have</t>
        </is>
      </c>
      <c r="J7" s="4" t="inlineStr">
        <is>
          <t>MVP</t>
        </is>
      </c>
      <c r="K7" s="4" t="inlineStr">
        <is>
          <t>Week 1</t>
        </is>
      </c>
      <c r="L7" s="4" t="inlineStr">
        <is>
          <t>Done</t>
        </is>
      </c>
      <c r="M7" s="4" t="n">
        <v>3</v>
      </c>
      <c r="N7" s="4" t="inlineStr">
        <is>
          <t>Implemented and functionally working; not individually covered by an automated test this session.</t>
        </is>
      </c>
      <c r="O7" s="4" t="n"/>
    </row>
    <row r="8" ht="124.2" customHeight="1">
      <c r="A8" s="4" t="inlineStr">
        <is>
          <t>US-001-007</t>
        </is>
      </c>
      <c r="B8" s="4" t="inlineStr">
        <is>
          <t>EP-001</t>
        </is>
      </c>
      <c r="C8" s="4" t="inlineStr">
        <is>
          <t>Session timeout</t>
        </is>
      </c>
      <c r="D8" s="4" t="inlineStr">
        <is>
          <t>Security Administrator</t>
        </is>
      </c>
      <c r="E8" s="4" t="inlineStr">
        <is>
          <t>As a security administrator, I want inactive sessions to expire so that unattended devices do not remain authenticated.</t>
        </is>
      </c>
      <c r="F8" s="4" t="n">
        <v>4</v>
      </c>
      <c r="G8" s="4" t="n"/>
      <c r="H8" s="4" t="inlineStr">
        <is>
          <t>Claude (AI Engineer)</t>
        </is>
      </c>
      <c r="I8" s="4" t="inlineStr">
        <is>
          <t>Must Have</t>
        </is>
      </c>
      <c r="J8" s="4" t="inlineStr">
        <is>
          <t>MVP</t>
        </is>
      </c>
      <c r="K8" s="4" t="inlineStr">
        <is>
          <t>Week 1</t>
        </is>
      </c>
      <c r="L8" s="4" t="inlineStr">
        <is>
          <t>Done</t>
        </is>
      </c>
      <c r="M8" s="4" t="n">
        <v>3</v>
      </c>
      <c r="N8" s="4" t="inlineStr">
        <is>
          <t>Backend session-timeout mechanism and frontend expired-session messaging both verified working live, 2026-09-08 (see AC-001-007-03/04 evidence). The frontend gap found during AC sign-off is now fixed and re-verified against the live deployment.</t>
        </is>
      </c>
      <c r="O8" s="4" t="n"/>
    </row>
    <row r="9" ht="55.2" customHeight="1">
      <c r="A9" s="4" t="inlineStr">
        <is>
          <t>US-002-001</t>
        </is>
      </c>
      <c r="B9" s="4" t="inlineStr">
        <is>
          <t>EP-002</t>
        </is>
      </c>
      <c r="C9" s="4" t="inlineStr">
        <is>
          <t>Create user administratively</t>
        </is>
      </c>
      <c r="D9" s="4" t="inlineStr">
        <is>
          <t>Administrator</t>
        </is>
      </c>
      <c r="E9" s="4" t="inlineStr">
        <is>
          <t>As an administrator, I want to create a user directly so that employees can be onboarded without self-registration.</t>
        </is>
      </c>
      <c r="F9" s="4" t="n">
        <v>4</v>
      </c>
      <c r="G9" s="4" t="n"/>
      <c r="H9" s="4" t="inlineStr">
        <is>
          <t>Claude (AI Engineer)</t>
        </is>
      </c>
      <c r="I9" s="4" t="inlineStr">
        <is>
          <t>Must Have</t>
        </is>
      </c>
      <c r="J9" s="4" t="inlineStr">
        <is>
          <t>MVP</t>
        </is>
      </c>
      <c r="K9" s="4" t="inlineStr">
        <is>
          <t>Week 1</t>
        </is>
      </c>
      <c r="L9" s="4" t="inlineStr">
        <is>
          <t>Done</t>
        </is>
      </c>
      <c r="M9" s="4" t="n">
        <v>3</v>
      </c>
      <c r="N9" s="4" t="inlineStr">
        <is>
          <t>Implemented and functionally working; not individually covered by an automated test this session.</t>
        </is>
      </c>
      <c r="O9" s="4" t="n"/>
    </row>
    <row r="10" ht="55.2" customHeight="1">
      <c r="A10" s="4" t="inlineStr">
        <is>
          <t>US-002-002</t>
        </is>
      </c>
      <c r="B10" s="4" t="inlineStr">
        <is>
          <t>EP-002</t>
        </is>
      </c>
      <c r="C10" s="4" t="inlineStr">
        <is>
          <t>Edit user profile</t>
        </is>
      </c>
      <c r="D10" s="4" t="inlineStr">
        <is>
          <t>Administrator</t>
        </is>
      </c>
      <c r="E10" s="4" t="inlineStr">
        <is>
          <t>As an administrator, I want to edit user details so that records remain accurate.</t>
        </is>
      </c>
      <c r="F10" s="4" t="n">
        <v>4</v>
      </c>
      <c r="G10" s="4" t="n"/>
      <c r="H10" s="4" t="inlineStr">
        <is>
          <t>Claude (AI Engineer)</t>
        </is>
      </c>
      <c r="I10" s="4" t="inlineStr">
        <is>
          <t>Must Have</t>
        </is>
      </c>
      <c r="J10" s="4" t="inlineStr">
        <is>
          <t>MVP</t>
        </is>
      </c>
      <c r="K10" s="4" t="inlineStr">
        <is>
          <t>Week 1</t>
        </is>
      </c>
      <c r="L10" s="4" t="inlineStr">
        <is>
          <t>Done</t>
        </is>
      </c>
      <c r="M10" s="4" t="n">
        <v>3</v>
      </c>
      <c r="N10" s="4" t="inlineStr">
        <is>
          <t>Implemented and functionally working; not individually covered by an automated test this session.</t>
        </is>
      </c>
      <c r="O10" s="4" t="n"/>
    </row>
    <row r="11" ht="55.2" customHeight="1">
      <c r="A11" s="4" t="inlineStr">
        <is>
          <t>US-002-003</t>
        </is>
      </c>
      <c r="B11" s="4" t="inlineStr">
        <is>
          <t>EP-002</t>
        </is>
      </c>
      <c r="C11" s="4" t="inlineStr">
        <is>
          <t>Manage my profile</t>
        </is>
      </c>
      <c r="D11" s="4" t="inlineStr">
        <is>
          <t>Employee</t>
        </is>
      </c>
      <c r="E11" s="4" t="inlineStr">
        <is>
          <t>As an employee, I want to update permitted profile information so that contact details remain current.</t>
        </is>
      </c>
      <c r="F11" s="4" t="n">
        <v>4</v>
      </c>
      <c r="G11" s="4" t="n"/>
      <c r="H11" s="4" t="inlineStr">
        <is>
          <t>Claude (AI Engineer)</t>
        </is>
      </c>
      <c r="I11" s="4" t="inlineStr">
        <is>
          <t>Must Have</t>
        </is>
      </c>
      <c r="J11" s="4" t="inlineStr">
        <is>
          <t>MVP</t>
        </is>
      </c>
      <c r="K11" s="4" t="inlineStr">
        <is>
          <t>Week 1</t>
        </is>
      </c>
      <c r="L11" s="4" t="inlineStr">
        <is>
          <t>Done</t>
        </is>
      </c>
      <c r="M11" s="4" t="n">
        <v>3</v>
      </c>
      <c r="N11" s="4" t="inlineStr">
        <is>
          <t>Implemented and functionally working; not individually covered by an automated test this session.</t>
        </is>
      </c>
      <c r="O11" s="4" t="n"/>
    </row>
    <row r="12" ht="55.2" customHeight="1">
      <c r="A12" s="4" t="inlineStr">
        <is>
          <t>US-002-004</t>
        </is>
      </c>
      <c r="B12" s="4" t="inlineStr">
        <is>
          <t>EP-002</t>
        </is>
      </c>
      <c r="C12" s="4" t="inlineStr">
        <is>
          <t>Assign role</t>
        </is>
      </c>
      <c r="D12" s="4" t="inlineStr">
        <is>
          <t>Administrator</t>
        </is>
      </c>
      <c r="E12" s="4" t="inlineStr">
        <is>
          <t>As an administrator, I want to assign Employee or Administrator roles so that permissions match responsibilities.</t>
        </is>
      </c>
      <c r="F12" s="4" t="n">
        <v>4</v>
      </c>
      <c r="G12" s="4" t="n"/>
      <c r="H12" s="4" t="inlineStr">
        <is>
          <t>Claude (AI Engineer)</t>
        </is>
      </c>
      <c r="I12" s="4" t="inlineStr">
        <is>
          <t>Must Have</t>
        </is>
      </c>
      <c r="J12" s="4" t="inlineStr">
        <is>
          <t>MVP</t>
        </is>
      </c>
      <c r="K12" s="4" t="inlineStr">
        <is>
          <t>Week 1</t>
        </is>
      </c>
      <c r="L12" s="4" t="inlineStr">
        <is>
          <t>Done</t>
        </is>
      </c>
      <c r="M12" s="4" t="n">
        <v>3</v>
      </c>
      <c r="N12" s="4" t="inlineStr">
        <is>
          <t>Implemented and functionally working; not individually covered by an automated test this session.</t>
        </is>
      </c>
      <c r="O12" s="4" t="n"/>
    </row>
    <row r="13" ht="55.2" customHeight="1">
      <c r="A13" s="4" t="inlineStr">
        <is>
          <t>US-002-005</t>
        </is>
      </c>
      <c r="B13" s="4" t="inlineStr">
        <is>
          <t>EP-002</t>
        </is>
      </c>
      <c r="C13" s="4" t="inlineStr">
        <is>
          <t>Activate suspend deactivate user</t>
        </is>
      </c>
      <c r="D13" s="4" t="inlineStr">
        <is>
          <t>Administrator</t>
        </is>
      </c>
      <c r="E13" s="4" t="inlineStr">
        <is>
          <t>As an administrator, I want to control account status so that access can be removed without deleting history.</t>
        </is>
      </c>
      <c r="F13" s="4" t="n">
        <v>4</v>
      </c>
      <c r="G13" s="4" t="n"/>
      <c r="H13" s="4" t="inlineStr">
        <is>
          <t>Claude (AI Engineer)</t>
        </is>
      </c>
      <c r="I13" s="4" t="inlineStr">
        <is>
          <t>Must Have</t>
        </is>
      </c>
      <c r="J13" s="4" t="inlineStr">
        <is>
          <t>MVP</t>
        </is>
      </c>
      <c r="K13" s="4" t="inlineStr">
        <is>
          <t>Week 1</t>
        </is>
      </c>
      <c r="L13" s="4" t="inlineStr">
        <is>
          <t>Done</t>
        </is>
      </c>
      <c r="M13" s="4" t="n">
        <v>3</v>
      </c>
      <c r="N13" s="4" t="inlineStr">
        <is>
          <t>Implemented and functionally working; not individually covered by an automated test this session.</t>
        </is>
      </c>
      <c r="O13" s="4" t="n"/>
    </row>
    <row r="14" ht="55.2" customHeight="1">
      <c r="A14" s="4" t="inlineStr">
        <is>
          <t>US-002-006</t>
        </is>
      </c>
      <c r="B14" s="4" t="inlineStr">
        <is>
          <t>EP-002</t>
        </is>
      </c>
      <c r="C14" s="4" t="inlineStr">
        <is>
          <t>Assign department and employee number</t>
        </is>
      </c>
      <c r="D14" s="4" t="inlineStr">
        <is>
          <t>Administrator</t>
        </is>
      </c>
      <c r="E14" s="4" t="inlineStr">
        <is>
          <t>As an administrator, I want optional employee number and department fields so that reports can be grouped.</t>
        </is>
      </c>
      <c r="F14" s="4" t="n">
        <v>4</v>
      </c>
      <c r="G14" s="4" t="n"/>
      <c r="H14" s="4" t="inlineStr">
        <is>
          <t>Claude (AI Engineer)</t>
        </is>
      </c>
      <c r="I14" s="4" t="inlineStr">
        <is>
          <t>Must Have</t>
        </is>
      </c>
      <c r="J14" s="4" t="inlineStr">
        <is>
          <t>MVP</t>
        </is>
      </c>
      <c r="K14" s="4" t="inlineStr">
        <is>
          <t>Week 1</t>
        </is>
      </c>
      <c r="L14" s="4" t="inlineStr">
        <is>
          <t>Done</t>
        </is>
      </c>
      <c r="M14" s="4" t="n">
        <v>3</v>
      </c>
      <c r="N14" s="4" t="inlineStr">
        <is>
          <t>Implemented and functionally working; not individually covered by an automated test this session.</t>
        </is>
      </c>
      <c r="O14" s="4" t="n"/>
    </row>
    <row r="15" ht="55.2" customHeight="1">
      <c r="A15" s="4" t="inlineStr">
        <is>
          <t>US-003-001</t>
        </is>
      </c>
      <c r="B15" s="4" t="inlineStr">
        <is>
          <t>EP-003</t>
        </is>
      </c>
      <c r="C15" s="4" t="inlineStr">
        <is>
          <t>Clock in</t>
        </is>
      </c>
      <c r="D15" s="4" t="inlineStr">
        <is>
          <t>Employee</t>
        </is>
      </c>
      <c r="E15" s="4" t="inlineStr">
        <is>
          <t>As an employee, I want to clock in so that the system records when my workday starts.</t>
        </is>
      </c>
      <c r="F15" s="4" t="n">
        <v>4</v>
      </c>
      <c r="G15" s="4" t="n"/>
      <c r="H15" s="4" t="inlineStr">
        <is>
          <t>Claude (AI Engineer)</t>
        </is>
      </c>
      <c r="I15" s="4" t="inlineStr">
        <is>
          <t>Must Have</t>
        </is>
      </c>
      <c r="J15" s="4" t="inlineStr">
        <is>
          <t>MVP</t>
        </is>
      </c>
      <c r="K15" s="4" t="inlineStr">
        <is>
          <t>Week 1</t>
        </is>
      </c>
      <c r="L15" s="4" t="inlineStr">
        <is>
          <t>Done</t>
        </is>
      </c>
      <c r="M15" s="4" t="n">
        <v>3</v>
      </c>
      <c r="N15" s="4" t="inlineStr">
        <is>
          <t>Verified by e2e test + browser: server-timestamped clock-in, duplicate clock-in rejected via DB partial unique index (BR-002).</t>
        </is>
      </c>
      <c r="O15" s="4" t="n"/>
    </row>
    <row r="16" ht="55.2" customHeight="1">
      <c r="A16" s="4" t="inlineStr">
        <is>
          <t>US-003-002</t>
        </is>
      </c>
      <c r="B16" s="4" t="inlineStr">
        <is>
          <t>EP-003</t>
        </is>
      </c>
      <c r="C16" s="4" t="inlineStr">
        <is>
          <t>Clock out</t>
        </is>
      </c>
      <c r="D16" s="4" t="inlineStr">
        <is>
          <t>Employee</t>
        </is>
      </c>
      <c r="E16" s="4" t="inlineStr">
        <is>
          <t>As an employee, I want to clock out so that my workday duration is finalised.</t>
        </is>
      </c>
      <c r="F16" s="4" t="n">
        <v>4</v>
      </c>
      <c r="G16" s="4" t="n"/>
      <c r="H16" s="4" t="inlineStr">
        <is>
          <t>Claude (AI Engineer)</t>
        </is>
      </c>
      <c r="I16" s="4" t="inlineStr">
        <is>
          <t>Must Have</t>
        </is>
      </c>
      <c r="J16" s="4" t="inlineStr">
        <is>
          <t>MVP</t>
        </is>
      </c>
      <c r="K16" s="4" t="inlineStr">
        <is>
          <t>Week 1</t>
        </is>
      </c>
      <c r="L16" s="4" t="inlineStr">
        <is>
          <t>Done</t>
        </is>
      </c>
      <c r="M16" s="4" t="n">
        <v>3</v>
      </c>
      <c r="N16" s="4" t="inlineStr">
        <is>
          <t>Verified by e2e test + browser: BR-007 confirmation flow for active break/timer before completing clock-out.</t>
        </is>
      </c>
      <c r="O16" s="4" t="n"/>
    </row>
    <row r="17" ht="55.2" customHeight="1">
      <c r="A17" s="4" t="inlineStr">
        <is>
          <t>US-003-003</t>
        </is>
      </c>
      <c r="B17" s="4" t="inlineStr">
        <is>
          <t>EP-003</t>
        </is>
      </c>
      <c r="C17" s="4" t="inlineStr">
        <is>
          <t>Show current attendance state</t>
        </is>
      </c>
      <c r="D17" s="4" t="inlineStr">
        <is>
          <t>Employee</t>
        </is>
      </c>
      <c r="E17" s="4" t="inlineStr">
        <is>
          <t>As an employee, I want to see whether I am clocked in, on break or clocked out.</t>
        </is>
      </c>
      <c r="F17" s="4" t="n">
        <v>4</v>
      </c>
      <c r="G17" s="4" t="n"/>
      <c r="H17" s="4" t="inlineStr">
        <is>
          <t>Claude (AI Engineer)</t>
        </is>
      </c>
      <c r="I17" s="4" t="inlineStr">
        <is>
          <t>Must Have</t>
        </is>
      </c>
      <c r="J17" s="4" t="inlineStr">
        <is>
          <t>MVP</t>
        </is>
      </c>
      <c r="K17" s="4" t="inlineStr">
        <is>
          <t>Week 1</t>
        </is>
      </c>
      <c r="L17" s="4" t="inlineStr">
        <is>
          <t>Done</t>
        </is>
      </c>
      <c r="M17" s="4" t="n">
        <v>3</v>
      </c>
      <c r="N17" s="4" t="inlineStr">
        <is>
          <t>Implemented and functionally working; not individually covered by an automated test this session.</t>
        </is>
      </c>
      <c r="O17" s="4" t="n"/>
    </row>
    <row r="18" ht="55.2" customHeight="1">
      <c r="A18" s="4" t="inlineStr">
        <is>
          <t>US-003-004</t>
        </is>
      </c>
      <c r="B18" s="4" t="inlineStr">
        <is>
          <t>EP-003</t>
        </is>
      </c>
      <c r="C18" s="4" t="inlineStr">
        <is>
          <t>Prevent duplicate clock in</t>
        </is>
      </c>
      <c r="D18" s="4" t="inlineStr">
        <is>
          <t>Employee</t>
        </is>
      </c>
      <c r="E18" s="4" t="inlineStr">
        <is>
          <t>As an employee, I want the system to prevent accidental duplicate clock-ins.</t>
        </is>
      </c>
      <c r="F18" s="4" t="n">
        <v>4</v>
      </c>
      <c r="G18" s="4" t="n"/>
      <c r="H18" s="4" t="inlineStr">
        <is>
          <t>Claude (AI Engineer)</t>
        </is>
      </c>
      <c r="I18" s="4" t="inlineStr">
        <is>
          <t>Must Have</t>
        </is>
      </c>
      <c r="J18" s="4" t="inlineStr">
        <is>
          <t>MVP</t>
        </is>
      </c>
      <c r="K18" s="4" t="inlineStr">
        <is>
          <t>Week 1</t>
        </is>
      </c>
      <c r="L18" s="4" t="inlineStr">
        <is>
          <t>Done</t>
        </is>
      </c>
      <c r="M18" s="4" t="n">
        <v>3</v>
      </c>
      <c r="N18" s="4" t="inlineStr">
        <is>
          <t>Implemented and functionally working; not individually covered by an automated test this session.</t>
        </is>
      </c>
      <c r="O18" s="4" t="n"/>
    </row>
    <row r="19" ht="69" customHeight="1">
      <c r="A19" s="4" t="inlineStr">
        <is>
          <t>US-003-005</t>
        </is>
      </c>
      <c r="B19" s="4" t="inlineStr">
        <is>
          <t>EP-003</t>
        </is>
      </c>
      <c r="C19" s="4" t="inlineStr">
        <is>
          <t>Warn before clock out with active task</t>
        </is>
      </c>
      <c r="D19" s="4" t="inlineStr">
        <is>
          <t>Employee</t>
        </is>
      </c>
      <c r="E19" s="4" t="inlineStr">
        <is>
          <t>As an employee, I want a warning if I try to clock out while a task timer is running.</t>
        </is>
      </c>
      <c r="F19" s="4" t="n">
        <v>4</v>
      </c>
      <c r="G19" s="4" t="n"/>
      <c r="H19" s="4" t="inlineStr">
        <is>
          <t>Claude (AI Engineer)</t>
        </is>
      </c>
      <c r="I19" s="4" t="inlineStr">
        <is>
          <t>Must Have</t>
        </is>
      </c>
      <c r="J19" s="4" t="inlineStr">
        <is>
          <t>MVP</t>
        </is>
      </c>
      <c r="K19" s="4" t="inlineStr">
        <is>
          <t>Week 1</t>
        </is>
      </c>
      <c r="L19" s="4" t="inlineStr">
        <is>
          <t>Done</t>
        </is>
      </c>
      <c r="M19" s="4" t="n">
        <v>3</v>
      </c>
      <c r="N19" s="4" t="inlineStr">
        <is>
          <t>Verified by e2e test: clock-out returns requiresConfirmation when a task timer is active; confirmed action stops both at one timestamp.</t>
        </is>
      </c>
      <c r="O19" s="4" t="n"/>
    </row>
    <row r="20" ht="55.2" customHeight="1">
      <c r="A20" s="4" t="inlineStr">
        <is>
          <t>US-003-006</t>
        </is>
      </c>
      <c r="B20" s="4" t="inlineStr">
        <is>
          <t>EP-003</t>
        </is>
      </c>
      <c r="C20" s="4" t="inlineStr">
        <is>
          <t>Warn before clock out while on break</t>
        </is>
      </c>
      <c r="D20" s="4" t="inlineStr">
        <is>
          <t>Employee</t>
        </is>
      </c>
      <c r="E20" s="4" t="inlineStr">
        <is>
          <t>As an employee, I want a warning if I try to clock out during an active break.</t>
        </is>
      </c>
      <c r="F20" s="4" t="n">
        <v>4</v>
      </c>
      <c r="G20" s="4" t="n"/>
      <c r="H20" s="4" t="inlineStr">
        <is>
          <t>Claude (AI Engineer)</t>
        </is>
      </c>
      <c r="I20" s="4" t="inlineStr">
        <is>
          <t>Must Have</t>
        </is>
      </c>
      <c r="J20" s="4" t="inlineStr">
        <is>
          <t>MVP</t>
        </is>
      </c>
      <c r="K20" s="4" t="inlineStr">
        <is>
          <t>Week 1</t>
        </is>
      </c>
      <c r="L20" s="4" t="inlineStr">
        <is>
          <t>Done</t>
        </is>
      </c>
      <c r="M20" s="4" t="n">
        <v>3</v>
      </c>
      <c r="N20" s="4" t="inlineStr">
        <is>
          <t>Implemented and functionally working; not individually covered by an automated test this session.</t>
        </is>
      </c>
      <c r="O20" s="4" t="n"/>
    </row>
    <row r="21" ht="55.2" customHeight="1">
      <c r="A21" s="4" t="inlineStr">
        <is>
          <t>US-003-007</t>
        </is>
      </c>
      <c r="B21" s="4" t="inlineStr">
        <is>
          <t>EP-003</t>
        </is>
      </c>
      <c r="C21" s="4" t="inlineStr">
        <is>
          <t>Attendance history</t>
        </is>
      </c>
      <c r="D21" s="4" t="inlineStr">
        <is>
          <t>Employee</t>
        </is>
      </c>
      <c r="E21" s="4" t="inlineStr">
        <is>
          <t>As an employee, I want to view my previous attendance records so that I can verify my working hours.</t>
        </is>
      </c>
      <c r="F21" s="4" t="n">
        <v>4</v>
      </c>
      <c r="G21" s="4" t="n"/>
      <c r="H21" s="4" t="inlineStr">
        <is>
          <t>Claude (AI Engineer)</t>
        </is>
      </c>
      <c r="I21" s="4" t="inlineStr">
        <is>
          <t>Must Have</t>
        </is>
      </c>
      <c r="J21" s="4" t="inlineStr">
        <is>
          <t>MVP</t>
        </is>
      </c>
      <c r="K21" s="4" t="inlineStr">
        <is>
          <t>Week 1</t>
        </is>
      </c>
      <c r="L21" s="4" t="inlineStr">
        <is>
          <t>Done</t>
        </is>
      </c>
      <c r="M21" s="4" t="n">
        <v>3</v>
      </c>
      <c r="N21" s="4" t="inlineStr">
        <is>
          <t>Implemented and functionally working; not individually covered by an automated test this session.</t>
        </is>
      </c>
      <c r="O21" s="4" t="n"/>
    </row>
    <row r="22" ht="55.2" customHeight="1">
      <c r="A22" s="4" t="inlineStr">
        <is>
          <t>US-003-008</t>
        </is>
      </c>
      <c r="B22" s="4" t="inlineStr">
        <is>
          <t>EP-003</t>
        </is>
      </c>
      <c r="C22" s="4" t="inlineStr">
        <is>
          <t>Administrator live attendance list</t>
        </is>
      </c>
      <c r="D22" s="4" t="inlineStr">
        <is>
          <t>Administrator</t>
        </is>
      </c>
      <c r="E22" s="4" t="inlineStr">
        <is>
          <t>As an administrator, I want to see who is currently clocked in so that I understand current staffing.</t>
        </is>
      </c>
      <c r="F22" s="4" t="n">
        <v>4</v>
      </c>
      <c r="G22" s="4" t="n"/>
      <c r="H22" s="4" t="inlineStr">
        <is>
          <t>Claude (AI Engineer)</t>
        </is>
      </c>
      <c r="I22" s="4" t="inlineStr">
        <is>
          <t>Must Have</t>
        </is>
      </c>
      <c r="J22" s="4" t="inlineStr">
        <is>
          <t>MVP</t>
        </is>
      </c>
      <c r="K22" s="4" t="inlineStr">
        <is>
          <t>Week 1</t>
        </is>
      </c>
      <c r="L22" s="4" t="inlineStr">
        <is>
          <t>Done</t>
        </is>
      </c>
      <c r="M22" s="4" t="n">
        <v>3</v>
      </c>
      <c r="N22" s="4" t="inlineStr">
        <is>
          <t>Implemented and functionally working; not individually covered by an automated test this session.</t>
        </is>
      </c>
      <c r="O22" s="4" t="n"/>
    </row>
    <row r="23" ht="55.2" customHeight="1">
      <c r="A23" s="4" t="inlineStr">
        <is>
          <t>US-004-001</t>
        </is>
      </c>
      <c r="B23" s="4" t="inlineStr">
        <is>
          <t>EP-004</t>
        </is>
      </c>
      <c r="C23" s="4" t="inlineStr">
        <is>
          <t>Start break</t>
        </is>
      </c>
      <c r="D23" s="4" t="inlineStr">
        <is>
          <t>Employee</t>
        </is>
      </c>
      <c r="E23" s="4" t="inlineStr">
        <is>
          <t>As an employee, I want to start a break so that non-working break time is tracked.</t>
        </is>
      </c>
      <c r="F23" s="4" t="n">
        <v>4</v>
      </c>
      <c r="G23" s="4" t="n"/>
      <c r="H23" s="4" t="inlineStr">
        <is>
          <t>Claude (AI Engineer)</t>
        </is>
      </c>
      <c r="I23" s="4" t="inlineStr">
        <is>
          <t>Must Have</t>
        </is>
      </c>
      <c r="J23" s="4" t="inlineStr">
        <is>
          <t>MVP</t>
        </is>
      </c>
      <c r="K23" s="4" t="inlineStr">
        <is>
          <t>Week 1</t>
        </is>
      </c>
      <c r="L23" s="4" t="inlineStr">
        <is>
          <t>Done</t>
        </is>
      </c>
      <c r="M23" s="4" t="n">
        <v>3</v>
      </c>
      <c r="N23" s="4" t="inlineStr">
        <is>
          <t>Verified by e2e test: starting a break pauses the active task timer at the same server boundary (BR-005).</t>
        </is>
      </c>
      <c r="O23" s="4" t="n"/>
    </row>
    <row r="24" ht="41.4" customHeight="1">
      <c r="A24" s="4" t="inlineStr">
        <is>
          <t>US-004-002</t>
        </is>
      </c>
      <c r="B24" s="4" t="inlineStr">
        <is>
          <t>EP-004</t>
        </is>
      </c>
      <c r="C24" s="4" t="inlineStr">
        <is>
          <t>End break</t>
        </is>
      </c>
      <c r="D24" s="4" t="inlineStr">
        <is>
          <t>Employee</t>
        </is>
      </c>
      <c r="E24" s="4" t="inlineStr">
        <is>
          <t>As an employee, I want to end my break so that working time resumes.</t>
        </is>
      </c>
      <c r="F24" s="4" t="n">
        <v>4</v>
      </c>
      <c r="G24" s="4" t="n"/>
      <c r="H24" s="4" t="inlineStr">
        <is>
          <t>Claude (AI Engineer)</t>
        </is>
      </c>
      <c r="I24" s="4" t="inlineStr">
        <is>
          <t>Must Have</t>
        </is>
      </c>
      <c r="J24" s="4" t="inlineStr">
        <is>
          <t>MVP</t>
        </is>
      </c>
      <c r="K24" s="4" t="inlineStr">
        <is>
          <t>Week 1</t>
        </is>
      </c>
      <c r="L24" s="4" t="inlineStr">
        <is>
          <t>Done</t>
        </is>
      </c>
      <c r="M24" s="4" t="n">
        <v>3</v>
      </c>
      <c r="N24" s="4" t="inlineStr">
        <is>
          <t>Verified by e2e test: ending a break does not auto-resume the task (BR-006).</t>
        </is>
      </c>
      <c r="O24" s="4" t="n"/>
    </row>
    <row r="25" ht="69" customHeight="1">
      <c r="A25" s="4" t="inlineStr">
        <is>
          <t>US-004-003</t>
        </is>
      </c>
      <c r="B25" s="4" t="inlineStr">
        <is>
          <t>EP-004</t>
        </is>
      </c>
      <c r="C25" s="4" t="inlineStr">
        <is>
          <t>Multiple breaks in one day</t>
        </is>
      </c>
      <c r="D25" s="4" t="inlineStr">
        <is>
          <t>Employee</t>
        </is>
      </c>
      <c r="E25" s="4" t="inlineStr">
        <is>
          <t>As an employee, I want to take more than one break during a workday so that all break periods are recorded.</t>
        </is>
      </c>
      <c r="F25" s="4" t="n">
        <v>4</v>
      </c>
      <c r="G25" s="4" t="n"/>
      <c r="H25" s="4" t="inlineStr">
        <is>
          <t>Claude (AI Engineer)</t>
        </is>
      </c>
      <c r="I25" s="4" t="inlineStr">
        <is>
          <t>Must Have</t>
        </is>
      </c>
      <c r="J25" s="4" t="inlineStr">
        <is>
          <t>MVP</t>
        </is>
      </c>
      <c r="K25" s="4" t="inlineStr">
        <is>
          <t>Week 1</t>
        </is>
      </c>
      <c r="L25" s="4" t="inlineStr">
        <is>
          <t>Done</t>
        </is>
      </c>
      <c r="M25" s="4" t="n">
        <v>3</v>
      </c>
      <c r="N25" s="4" t="inlineStr">
        <is>
          <t>Verified by e2e test: two sequential breaks in one day each create a separate, non-overlapping record linked to the same attendance session.</t>
        </is>
      </c>
      <c r="O25" s="4" t="n"/>
    </row>
    <row r="26" ht="55.2" customHeight="1">
      <c r="A26" s="4" t="inlineStr">
        <is>
          <t>US-004-004</t>
        </is>
      </c>
      <c r="B26" s="4" t="inlineStr">
        <is>
          <t>EP-004</t>
        </is>
      </c>
      <c r="C26" s="4" t="inlineStr">
        <is>
          <t>Pause active task when break starts</t>
        </is>
      </c>
      <c r="D26" s="4" t="inlineStr">
        <is>
          <t>Employee</t>
        </is>
      </c>
      <c r="E26" s="4" t="inlineStr">
        <is>
          <t>As an employee, I want an active task timer paused when I start a break so that task time does not include break time.</t>
        </is>
      </c>
      <c r="F26" s="4" t="n">
        <v>4</v>
      </c>
      <c r="G26" s="4" t="n"/>
      <c r="H26" s="4" t="inlineStr">
        <is>
          <t>Claude (AI Engineer)</t>
        </is>
      </c>
      <c r="I26" s="4" t="inlineStr">
        <is>
          <t>Must Have</t>
        </is>
      </c>
      <c r="J26" s="4" t="inlineStr">
        <is>
          <t>MVP</t>
        </is>
      </c>
      <c r="K26" s="4" t="inlineStr">
        <is>
          <t>Week 1</t>
        </is>
      </c>
      <c r="L26" s="4" t="inlineStr">
        <is>
          <t>Done</t>
        </is>
      </c>
      <c r="M26" s="4" t="n">
        <v>3</v>
      </c>
      <c r="N26" s="4" t="inlineStr">
        <is>
          <t>Verified by e2e test (BR-005): active timer closed atomically when break starts; caller is told which task paused.</t>
        </is>
      </c>
      <c r="O26" s="4" t="n"/>
    </row>
    <row r="27" ht="55.2" customHeight="1">
      <c r="A27" s="4" t="inlineStr">
        <is>
          <t>US-004-005</t>
        </is>
      </c>
      <c r="B27" s="4" t="inlineStr">
        <is>
          <t>EP-004</t>
        </is>
      </c>
      <c r="C27" s="4" t="inlineStr">
        <is>
          <t>Break history</t>
        </is>
      </c>
      <c r="D27" s="4" t="inlineStr">
        <is>
          <t>Employee</t>
        </is>
      </c>
      <c r="E27" s="4" t="inlineStr">
        <is>
          <t>As an employee, I want to view breaks within each attendance day.</t>
        </is>
      </c>
      <c r="F27" s="4" t="n">
        <v>4</v>
      </c>
      <c r="G27" s="4" t="n"/>
      <c r="H27" s="4" t="inlineStr">
        <is>
          <t>Claude (AI Engineer)</t>
        </is>
      </c>
      <c r="I27" s="4" t="inlineStr">
        <is>
          <t>Must Have</t>
        </is>
      </c>
      <c r="J27" s="4" t="inlineStr">
        <is>
          <t>MVP</t>
        </is>
      </c>
      <c r="K27" s="4" t="inlineStr">
        <is>
          <t>Week 1</t>
        </is>
      </c>
      <c r="L27" s="4" t="inlineStr">
        <is>
          <t>Done</t>
        </is>
      </c>
      <c r="M27" s="4" t="n">
        <v>3</v>
      </c>
      <c r="N27" s="4" t="inlineStr">
        <is>
          <t>Implemented and functionally working; not individually covered by an automated test this session.</t>
        </is>
      </c>
      <c r="O27" s="4" t="n"/>
    </row>
    <row r="28" ht="55.2" customHeight="1">
      <c r="A28" s="4" t="inlineStr">
        <is>
          <t>US-004-006</t>
        </is>
      </c>
      <c r="B28" s="4" t="inlineStr">
        <is>
          <t>EP-004</t>
        </is>
      </c>
      <c r="C28" s="4" t="inlineStr">
        <is>
          <t>Administrator break report</t>
        </is>
      </c>
      <c r="D28" s="4" t="inlineStr">
        <is>
          <t>Administrator</t>
        </is>
      </c>
      <c r="E28" s="4" t="inlineStr">
        <is>
          <t>As an administrator, I want break reporting so that I can review break usage.</t>
        </is>
      </c>
      <c r="F28" s="4" t="n">
        <v>4</v>
      </c>
      <c r="G28" s="4" t="n"/>
      <c r="H28" s="4" t="inlineStr">
        <is>
          <t>Claude (AI Engineer)</t>
        </is>
      </c>
      <c r="I28" s="4" t="inlineStr">
        <is>
          <t>Must Have</t>
        </is>
      </c>
      <c r="J28" s="4" t="inlineStr">
        <is>
          <t>MVP</t>
        </is>
      </c>
      <c r="K28" s="4" t="inlineStr">
        <is>
          <t>Week 1</t>
        </is>
      </c>
      <c r="L28" s="4" t="inlineStr">
        <is>
          <t>Done</t>
        </is>
      </c>
      <c r="M28" s="4" t="n">
        <v>3</v>
      </c>
      <c r="N28" s="4" t="inlineStr">
        <is>
          <t>Implemented and functionally working; not individually covered by an automated test this session.</t>
        </is>
      </c>
      <c r="O28" s="4" t="n"/>
    </row>
    <row r="29" ht="41.4" customHeight="1">
      <c r="A29" s="4" t="inlineStr">
        <is>
          <t>US-005-001</t>
        </is>
      </c>
      <c r="B29" s="4" t="inlineStr">
        <is>
          <t>EP-005</t>
        </is>
      </c>
      <c r="C29" s="4" t="inlineStr">
        <is>
          <t>Create task</t>
        </is>
      </c>
      <c r="D29" s="4" t="inlineStr">
        <is>
          <t>Administrator</t>
        </is>
      </c>
      <c r="E29" s="4" t="inlineStr">
        <is>
          <t>As an administrator, I want to create a task so that work can be assigned and timed.</t>
        </is>
      </c>
      <c r="F29" s="4" t="n">
        <v>4</v>
      </c>
      <c r="G29" s="4" t="n"/>
      <c r="H29" s="4" t="inlineStr">
        <is>
          <t>Claude (AI Engineer)</t>
        </is>
      </c>
      <c r="I29" s="4" t="inlineStr">
        <is>
          <t>Must Have</t>
        </is>
      </c>
      <c r="J29" s="4" t="inlineStr">
        <is>
          <t>MVP</t>
        </is>
      </c>
      <c r="K29" s="4" t="inlineStr">
        <is>
          <t>Week 1</t>
        </is>
      </c>
      <c r="L29" s="4" t="inlineStr">
        <is>
          <t>Done</t>
        </is>
      </c>
      <c r="M29" s="4" t="n">
        <v>3</v>
      </c>
      <c r="N29" s="4" t="inlineStr">
        <is>
          <t>Verified by e2e test: admin-created task receives a UUID and audit entry.</t>
        </is>
      </c>
      <c r="O29" s="4" t="n"/>
    </row>
    <row r="30" ht="55.2" customHeight="1">
      <c r="A30" s="4" t="inlineStr">
        <is>
          <t>US-005-002</t>
        </is>
      </c>
      <c r="B30" s="4" t="inlineStr">
        <is>
          <t>EP-005</t>
        </is>
      </c>
      <c r="C30" s="4" t="inlineStr">
        <is>
          <t>Employee creates own task</t>
        </is>
      </c>
      <c r="D30" s="4" t="inlineStr">
        <is>
          <t>Employee</t>
        </is>
      </c>
      <c r="E30" s="4" t="inlineStr">
        <is>
          <t>As an employee, I want to create a task when permitted so that unplanned work can still be tracked.</t>
        </is>
      </c>
      <c r="F30" s="4" t="n">
        <v>4</v>
      </c>
      <c r="G30" s="4" t="n"/>
      <c r="H30" s="4" t="inlineStr">
        <is>
          <t>Claude (AI Engineer)</t>
        </is>
      </c>
      <c r="I30" s="4" t="inlineStr">
        <is>
          <t>Must Have</t>
        </is>
      </c>
      <c r="J30" s="4" t="inlineStr">
        <is>
          <t>MVP</t>
        </is>
      </c>
      <c r="K30" s="4" t="inlineStr">
        <is>
          <t>Week 1</t>
        </is>
      </c>
      <c r="L30" s="4" t="inlineStr">
        <is>
          <t>Done</t>
        </is>
      </c>
      <c r="M30" s="4" t="n">
        <v>3</v>
      </c>
      <c r="N30" s="4" t="inlineStr">
        <is>
          <t>Implemented and functionally working; not individually covered by an automated test this session.</t>
        </is>
      </c>
      <c r="O30" s="4" t="n"/>
    </row>
    <row r="31" ht="27.6" customHeight="1">
      <c r="A31" s="4" t="inlineStr">
        <is>
          <t>US-005-003</t>
        </is>
      </c>
      <c r="B31" s="4" t="inlineStr">
        <is>
          <t>EP-005</t>
        </is>
      </c>
      <c r="C31" s="4" t="inlineStr">
        <is>
          <t>Assign task to user</t>
        </is>
      </c>
      <c r="D31" s="4" t="inlineStr">
        <is>
          <t>Administrator</t>
        </is>
      </c>
      <c r="E31" s="4" t="inlineStr">
        <is>
          <t>As an administrator, I want to assign a task to an employee so that responsibility is clear.</t>
        </is>
      </c>
      <c r="F31" s="4" t="n">
        <v>4</v>
      </c>
      <c r="G31" s="4" t="n"/>
      <c r="H31" s="4" t="inlineStr">
        <is>
          <t>Claude (AI Engineer)</t>
        </is>
      </c>
      <c r="I31" s="4" t="inlineStr">
        <is>
          <t>Must Have</t>
        </is>
      </c>
      <c r="J31" s="4" t="inlineStr">
        <is>
          <t>MVP</t>
        </is>
      </c>
      <c r="K31" s="4" t="inlineStr">
        <is>
          <t>Week 1</t>
        </is>
      </c>
      <c r="L31" s="4" t="inlineStr">
        <is>
          <t>Done</t>
        </is>
      </c>
      <c r="M31" s="4" t="n">
        <v>3</v>
      </c>
      <c r="N31" s="4" t="inlineStr">
        <is>
          <t>Verified by e2e test: task assignment visible to assignee.</t>
        </is>
      </c>
      <c r="O31" s="4" t="n"/>
    </row>
    <row r="32" ht="55.2" customHeight="1">
      <c r="A32" s="4" t="inlineStr">
        <is>
          <t>US-005-004</t>
        </is>
      </c>
      <c r="B32" s="4" t="inlineStr">
        <is>
          <t>EP-005</t>
        </is>
      </c>
      <c r="C32" s="4" t="inlineStr">
        <is>
          <t>Set task priority</t>
        </is>
      </c>
      <c r="D32" s="4" t="inlineStr">
        <is>
          <t>Administrator</t>
        </is>
      </c>
      <c r="E32" s="4" t="inlineStr">
        <is>
          <t>As an administrator, I want task priority so that employees can understand relative urgency.</t>
        </is>
      </c>
      <c r="F32" s="4" t="n">
        <v>4</v>
      </c>
      <c r="G32" s="4" t="n"/>
      <c r="H32" s="4" t="inlineStr">
        <is>
          <t>Claude (AI Engineer)</t>
        </is>
      </c>
      <c r="I32" s="4" t="inlineStr">
        <is>
          <t>Must Have</t>
        </is>
      </c>
      <c r="J32" s="4" t="inlineStr">
        <is>
          <t>MVP</t>
        </is>
      </c>
      <c r="K32" s="4" t="inlineStr">
        <is>
          <t>Week 1</t>
        </is>
      </c>
      <c r="L32" s="4" t="inlineStr">
        <is>
          <t>Done</t>
        </is>
      </c>
      <c r="M32" s="4" t="n">
        <v>3</v>
      </c>
      <c r="N32" s="4" t="inlineStr">
        <is>
          <t>Implemented and functionally working; not individually covered by an automated test this session.</t>
        </is>
      </c>
      <c r="O32" s="4" t="n"/>
    </row>
    <row r="33" ht="55.2" customHeight="1">
      <c r="A33" s="4" t="inlineStr">
        <is>
          <t>US-005-005</t>
        </is>
      </c>
      <c r="B33" s="4" t="inlineStr">
        <is>
          <t>EP-005</t>
        </is>
      </c>
      <c r="C33" s="4" t="inlineStr">
        <is>
          <t>Set estimated time</t>
        </is>
      </c>
      <c r="D33" s="4" t="inlineStr">
        <is>
          <t>Administrator</t>
        </is>
      </c>
      <c r="E33" s="4" t="inlineStr">
        <is>
          <t>As an administrator, I want an estimated task duration so that actual effort can be compared.</t>
        </is>
      </c>
      <c r="F33" s="4" t="n">
        <v>4</v>
      </c>
      <c r="G33" s="4" t="n"/>
      <c r="H33" s="4" t="inlineStr">
        <is>
          <t>Claude (AI Engineer)</t>
        </is>
      </c>
      <c r="I33" s="4" t="inlineStr">
        <is>
          <t>Must Have</t>
        </is>
      </c>
      <c r="J33" s="4" t="inlineStr">
        <is>
          <t>MVP</t>
        </is>
      </c>
      <c r="K33" s="4" t="inlineStr">
        <is>
          <t>Week 1</t>
        </is>
      </c>
      <c r="L33" s="4" t="inlineStr">
        <is>
          <t>Done</t>
        </is>
      </c>
      <c r="M33" s="4" t="n">
        <v>3</v>
      </c>
      <c r="N33" s="4" t="inlineStr">
        <is>
          <t>Implemented and functionally working; not individually covered by an automated test this session.</t>
        </is>
      </c>
      <c r="O33" s="4" t="n"/>
    </row>
    <row r="34" ht="55.2" customHeight="1">
      <c r="A34" s="4" t="inlineStr">
        <is>
          <t>US-005-006</t>
        </is>
      </c>
      <c r="B34" s="4" t="inlineStr">
        <is>
          <t>EP-005</t>
        </is>
      </c>
      <c r="C34" s="4" t="inlineStr">
        <is>
          <t>Update task status</t>
        </is>
      </c>
      <c r="D34" s="4" t="inlineStr">
        <is>
          <t>Employee</t>
        </is>
      </c>
      <c r="E34" s="4" t="inlineStr">
        <is>
          <t>As an employee, I want to update task status so that progress is visible.</t>
        </is>
      </c>
      <c r="F34" s="4" t="n">
        <v>4</v>
      </c>
      <c r="G34" s="4" t="n"/>
      <c r="H34" s="4" t="inlineStr">
        <is>
          <t>Claude (AI Engineer)</t>
        </is>
      </c>
      <c r="I34" s="4" t="inlineStr">
        <is>
          <t>Must Have</t>
        </is>
      </c>
      <c r="J34" s="4" t="inlineStr">
        <is>
          <t>MVP</t>
        </is>
      </c>
      <c r="K34" s="4" t="inlineStr">
        <is>
          <t>Week 1</t>
        </is>
      </c>
      <c r="L34" s="4" t="inlineStr">
        <is>
          <t>Done</t>
        </is>
      </c>
      <c r="M34" s="4" t="n">
        <v>3</v>
      </c>
      <c r="N34" s="4" t="inlineStr">
        <is>
          <t>Implemented and functionally working; not individually covered by an automated test this session.</t>
        </is>
      </c>
      <c r="O34" s="4" t="n"/>
    </row>
    <row r="35" ht="55.2" customHeight="1">
      <c r="A35" s="4" t="inlineStr">
        <is>
          <t>US-005-007</t>
        </is>
      </c>
      <c r="B35" s="4" t="inlineStr">
        <is>
          <t>EP-005</t>
        </is>
      </c>
      <c r="C35" s="4" t="inlineStr">
        <is>
          <t>Complete task</t>
        </is>
      </c>
      <c r="D35" s="4" t="inlineStr">
        <is>
          <t>Employee</t>
        </is>
      </c>
      <c r="E35" s="4" t="inlineStr">
        <is>
          <t>As an employee, I want to mark a task completed so that finished work is clearly identified.</t>
        </is>
      </c>
      <c r="F35" s="4" t="n">
        <v>4</v>
      </c>
      <c r="G35" s="4" t="n"/>
      <c r="H35" s="4" t="inlineStr">
        <is>
          <t>Claude (AI Engineer)</t>
        </is>
      </c>
      <c r="I35" s="4" t="inlineStr">
        <is>
          <t>Must Have</t>
        </is>
      </c>
      <c r="J35" s="4" t="inlineStr">
        <is>
          <t>MVP</t>
        </is>
      </c>
      <c r="K35" s="4" t="inlineStr">
        <is>
          <t>Week 1</t>
        </is>
      </c>
      <c r="L35" s="4" t="inlineStr">
        <is>
          <t>Done</t>
        </is>
      </c>
      <c r="M35" s="4" t="n">
        <v>3</v>
      </c>
      <c r="N35" s="4" t="inlineStr">
        <is>
          <t>Implemented and functionally working; not individually covered by an automated test this session.</t>
        </is>
      </c>
      <c r="O35" s="4" t="n"/>
    </row>
    <row r="36" ht="55.2" customHeight="1">
      <c r="A36" s="4" t="inlineStr">
        <is>
          <t>US-005-008</t>
        </is>
      </c>
      <c r="B36" s="4" t="inlineStr">
        <is>
          <t>EP-005</t>
        </is>
      </c>
      <c r="C36" s="4" t="inlineStr">
        <is>
          <t>My task list</t>
        </is>
      </c>
      <c r="D36" s="4" t="inlineStr">
        <is>
          <t>Employee</t>
        </is>
      </c>
      <c r="E36" s="4" t="inlineStr">
        <is>
          <t>As an employee, I want to see my assigned tasks so that I know what work is available.</t>
        </is>
      </c>
      <c r="F36" s="4" t="n">
        <v>4</v>
      </c>
      <c r="G36" s="4" t="n"/>
      <c r="H36" s="4" t="inlineStr">
        <is>
          <t>Claude (AI Engineer)</t>
        </is>
      </c>
      <c r="I36" s="4" t="inlineStr">
        <is>
          <t>Must Have</t>
        </is>
      </c>
      <c r="J36" s="4" t="inlineStr">
        <is>
          <t>MVP</t>
        </is>
      </c>
      <c r="K36" s="4" t="inlineStr">
        <is>
          <t>Week 1</t>
        </is>
      </c>
      <c r="L36" s="4" t="inlineStr">
        <is>
          <t>Done</t>
        </is>
      </c>
      <c r="M36" s="4" t="n">
        <v>3</v>
      </c>
      <c r="N36" s="4" t="inlineStr">
        <is>
          <t>Implemented and functionally working; not individually covered by an automated test this session.</t>
        </is>
      </c>
      <c r="O36" s="4" t="n"/>
    </row>
    <row r="37" ht="55.2" customHeight="1">
      <c r="A37" s="4" t="inlineStr">
        <is>
          <t>US-006-001</t>
        </is>
      </c>
      <c r="B37" s="4" t="inlineStr">
        <is>
          <t>EP-006</t>
        </is>
      </c>
      <c r="C37" s="4" t="inlineStr">
        <is>
          <t>Start task timer</t>
        </is>
      </c>
      <c r="D37" s="4" t="inlineStr">
        <is>
          <t>Employee</t>
        </is>
      </c>
      <c r="E37" s="4" t="inlineStr">
        <is>
          <t>As an employee, I want to start a timer on a task so that actual task effort is recorded.</t>
        </is>
      </c>
      <c r="F37" s="4" t="n">
        <v>4</v>
      </c>
      <c r="G37" s="4" t="n"/>
      <c r="H37" s="4" t="inlineStr">
        <is>
          <t>Claude (AI Engineer)</t>
        </is>
      </c>
      <c r="I37" s="4" t="inlineStr">
        <is>
          <t>Must Have</t>
        </is>
      </c>
      <c r="J37" s="4" t="inlineStr">
        <is>
          <t>MVP</t>
        </is>
      </c>
      <c r="K37" s="4" t="inlineStr">
        <is>
          <t>Week 1</t>
        </is>
      </c>
      <c r="L37" s="4" t="inlineStr">
        <is>
          <t>Done</t>
        </is>
      </c>
      <c r="M37" s="4" t="n">
        <v>3</v>
      </c>
      <c r="N37" s="4" t="inlineStr">
        <is>
          <t>Verified by e2e test: requires clocked-in/not-on-break, rejects when already running (BR-003 via DB partial unique index).</t>
        </is>
      </c>
      <c r="O37" s="4" t="n"/>
    </row>
    <row r="38" ht="55.2" customHeight="1">
      <c r="A38" s="4" t="inlineStr">
        <is>
          <t>US-006-002</t>
        </is>
      </c>
      <c r="B38" s="4" t="inlineStr">
        <is>
          <t>EP-006</t>
        </is>
      </c>
      <c r="C38" s="4" t="inlineStr">
        <is>
          <t>Global active timer display</t>
        </is>
      </c>
      <c r="D38" s="4" t="inlineStr">
        <is>
          <t>Employee</t>
        </is>
      </c>
      <c r="E38" s="4" t="inlineStr">
        <is>
          <t>As an employee, I want the running task timer visible throughout the application so that I always know what is being tracked.</t>
        </is>
      </c>
      <c r="F38" s="4" t="n">
        <v>4</v>
      </c>
      <c r="G38" s="4" t="n"/>
      <c r="H38" s="4" t="inlineStr">
        <is>
          <t>Claude (AI Engineer)</t>
        </is>
      </c>
      <c r="I38" s="4" t="inlineStr">
        <is>
          <t>Must Have</t>
        </is>
      </c>
      <c r="J38" s="4" t="inlineStr">
        <is>
          <t>MVP</t>
        </is>
      </c>
      <c r="K38" s="4" t="inlineStr">
        <is>
          <t>Week 1</t>
        </is>
      </c>
      <c r="L38" s="4" t="inlineStr">
        <is>
          <t>Done</t>
        </is>
      </c>
      <c r="M38" s="4" t="n">
        <v>3</v>
      </c>
      <c r="N38" s="4" t="inlineStr">
        <is>
          <t>Implemented and functionally working; not individually covered by an automated test this session.</t>
        </is>
      </c>
      <c r="O38" s="4" t="n"/>
    </row>
    <row r="39" ht="55.2" customHeight="1">
      <c r="A39" s="4" t="inlineStr">
        <is>
          <t>US-006-003</t>
        </is>
      </c>
      <c r="B39" s="4" t="inlineStr">
        <is>
          <t>EP-006</t>
        </is>
      </c>
      <c r="C39" s="4" t="inlineStr">
        <is>
          <t>Pause task timer</t>
        </is>
      </c>
      <c r="D39" s="4" t="inlineStr">
        <is>
          <t>Employee</t>
        </is>
      </c>
      <c r="E39" s="4" t="inlineStr">
        <is>
          <t>As an employee, I want to pause task tracking so that non-task time is not recorded.</t>
        </is>
      </c>
      <c r="F39" s="4" t="n">
        <v>4</v>
      </c>
      <c r="G39" s="4" t="n"/>
      <c r="H39" s="4" t="inlineStr">
        <is>
          <t>Claude (AI Engineer)</t>
        </is>
      </c>
      <c r="I39" s="4" t="inlineStr">
        <is>
          <t>Must Have</t>
        </is>
      </c>
      <c r="J39" s="4" t="inlineStr">
        <is>
          <t>MVP</t>
        </is>
      </c>
      <c r="K39" s="4" t="inlineStr">
        <is>
          <t>Week 1</t>
        </is>
      </c>
      <c r="L39" s="4" t="inlineStr">
        <is>
          <t>Done</t>
        </is>
      </c>
      <c r="M39" s="4" t="n">
        <v>3</v>
      </c>
      <c r="N39" s="4" t="inlineStr">
        <is>
          <t>Implemented; pause closes the current segment. Covered indirectly by switch/stop e2e assertions.</t>
        </is>
      </c>
      <c r="O39" s="4" t="n"/>
    </row>
    <row r="40" ht="41.4" customHeight="1">
      <c r="A40" s="4" t="inlineStr">
        <is>
          <t>US-006-004</t>
        </is>
      </c>
      <c r="B40" s="4" t="inlineStr">
        <is>
          <t>EP-006</t>
        </is>
      </c>
      <c r="C40" s="4" t="inlineStr">
        <is>
          <t>Resume task timer</t>
        </is>
      </c>
      <c r="D40" s="4" t="inlineStr">
        <is>
          <t>Employee</t>
        </is>
      </c>
      <c r="E40" s="4" t="inlineStr">
        <is>
          <t>As an employee, I want to resume a paused task so that tracking continues.</t>
        </is>
      </c>
      <c r="F40" s="4" t="n">
        <v>4</v>
      </c>
      <c r="G40" s="4" t="n"/>
      <c r="H40" s="4" t="inlineStr">
        <is>
          <t>Claude (AI Engineer)</t>
        </is>
      </c>
      <c r="I40" s="4" t="inlineStr">
        <is>
          <t>Must Have</t>
        </is>
      </c>
      <c r="J40" s="4" t="inlineStr">
        <is>
          <t>MVP</t>
        </is>
      </c>
      <c r="K40" s="4" t="inlineStr">
        <is>
          <t>Week 1</t>
        </is>
      </c>
      <c r="L40" s="4" t="inlineStr">
        <is>
          <t>Done</t>
        </is>
      </c>
      <c r="M40" s="4" t="n">
        <v>3</v>
      </c>
      <c r="N40" s="4" t="inlineStr">
        <is>
          <t>Verified by e2e test: resume after break creates a new segment; only one active timer afterward.</t>
        </is>
      </c>
      <c r="O40" s="4" t="n"/>
    </row>
    <row r="41" ht="55.2" customHeight="1">
      <c r="A41" s="4" t="inlineStr">
        <is>
          <t>US-006-005</t>
        </is>
      </c>
      <c r="B41" s="4" t="inlineStr">
        <is>
          <t>EP-006</t>
        </is>
      </c>
      <c r="C41" s="4" t="inlineStr">
        <is>
          <t>Stop task timer</t>
        </is>
      </c>
      <c r="D41" s="4" t="inlineStr">
        <is>
          <t>Employee</t>
        </is>
      </c>
      <c r="E41" s="4" t="inlineStr">
        <is>
          <t>As an employee, I want to stop task tracking so that the task time entry is finalised.</t>
        </is>
      </c>
      <c r="F41" s="4" t="n">
        <v>4</v>
      </c>
      <c r="G41" s="4" t="n"/>
      <c r="H41" s="4" t="inlineStr">
        <is>
          <t>Claude (AI Engineer)</t>
        </is>
      </c>
      <c r="I41" s="4" t="inlineStr">
        <is>
          <t>Must Have</t>
        </is>
      </c>
      <c r="J41" s="4" t="inlineStr">
        <is>
          <t>MVP</t>
        </is>
      </c>
      <c r="K41" s="4" t="inlineStr">
        <is>
          <t>Week 1</t>
        </is>
      </c>
      <c r="L41" s="4" t="inlineStr">
        <is>
          <t>Done</t>
        </is>
      </c>
      <c r="M41" s="4" t="n">
        <v>3</v>
      </c>
      <c r="N41" s="4" t="inlineStr">
        <is>
          <t>Implemented and functionally working; not individually covered by an automated test this session.</t>
        </is>
      </c>
      <c r="O41" s="4" t="n"/>
    </row>
    <row r="42" ht="41.4" customHeight="1">
      <c r="A42" s="4" t="inlineStr">
        <is>
          <t>US-006-006</t>
        </is>
      </c>
      <c r="B42" s="4" t="inlineStr">
        <is>
          <t>EP-006</t>
        </is>
      </c>
      <c r="C42" s="4" t="inlineStr">
        <is>
          <t>Switch task</t>
        </is>
      </c>
      <c r="D42" s="4" t="inlineStr">
        <is>
          <t>Employee</t>
        </is>
      </c>
      <c r="E42" s="4" t="inlineStr">
        <is>
          <t>As an employee, I want to switch directly to another task so that work transitions are captured accurately.</t>
        </is>
      </c>
      <c r="F42" s="4" t="n">
        <v>4</v>
      </c>
      <c r="G42" s="4" t="n"/>
      <c r="H42" s="4" t="inlineStr">
        <is>
          <t>Claude (AI Engineer)</t>
        </is>
      </c>
      <c r="I42" s="4" t="inlineStr">
        <is>
          <t>Must Have</t>
        </is>
      </c>
      <c r="J42" s="4" t="inlineStr">
        <is>
          <t>MVP</t>
        </is>
      </c>
      <c r="K42" s="4" t="inlineStr">
        <is>
          <t>Week 1</t>
        </is>
      </c>
      <c r="L42" s="4" t="inlineStr">
        <is>
          <t>Done</t>
        </is>
      </c>
      <c r="M42" s="4" t="n">
        <v>3</v>
      </c>
      <c r="N42" s="4" t="inlineStr">
        <is>
          <t>Implemented and manually browser-tested: stop+start at one consistent boundary, no overlap.</t>
        </is>
      </c>
      <c r="O42" s="4" t="n"/>
    </row>
    <row r="43" ht="55.2" customHeight="1">
      <c r="A43" s="4" t="inlineStr">
        <is>
          <t>US-006-007</t>
        </is>
      </c>
      <c r="B43" s="4" t="inlineStr">
        <is>
          <t>EP-006</t>
        </is>
      </c>
      <c r="C43" s="4" t="inlineStr">
        <is>
          <t>Prevent concurrent task timers</t>
        </is>
      </c>
      <c r="D43" s="4" t="inlineStr">
        <is>
          <t>System Administrator</t>
        </is>
      </c>
      <c r="E43" s="4" t="inlineStr">
        <is>
          <t>As a system administrator, I want concurrent task timers prevented so that time is not double counted.</t>
        </is>
      </c>
      <c r="F43" s="4" t="n">
        <v>4</v>
      </c>
      <c r="G43" s="4" t="n"/>
      <c r="H43" s="4" t="inlineStr">
        <is>
          <t>Claude (AI Engineer)</t>
        </is>
      </c>
      <c r="I43" s="4" t="inlineStr">
        <is>
          <t>Must Have</t>
        </is>
      </c>
      <c r="J43" s="4" t="inlineStr">
        <is>
          <t>MVP</t>
        </is>
      </c>
      <c r="K43" s="4" t="inlineStr">
        <is>
          <t>Week 1</t>
        </is>
      </c>
      <c r="L43" s="4" t="inlineStr">
        <is>
          <t>Done</t>
        </is>
      </c>
      <c r="M43" s="4" t="n">
        <v>3</v>
      </c>
      <c r="N43" s="4" t="inlineStr">
        <is>
          <t>Verified by e2e test: second concurrent timer rejected with existing-timer info in the response body.</t>
        </is>
      </c>
      <c r="O43" s="4" t="n"/>
    </row>
    <row r="44" ht="82.8" customHeight="1">
      <c r="A44" s="4" t="inlineStr">
        <is>
          <t>US-006-008</t>
        </is>
      </c>
      <c r="B44" s="4" t="inlineStr">
        <is>
          <t>EP-006</t>
        </is>
      </c>
      <c r="C44" s="4" t="inlineStr">
        <is>
          <t>Timer survives browser refresh</t>
        </is>
      </c>
      <c r="D44" s="4" t="inlineStr">
        <is>
          <t>Employee</t>
        </is>
      </c>
      <c r="E44" s="4" t="inlineStr">
        <is>
          <t>As an employee, I want the timer to continue if I refresh or close the page so that time is not lost.</t>
        </is>
      </c>
      <c r="F44" s="4" t="n">
        <v>4</v>
      </c>
      <c r="G44" s="4" t="n"/>
      <c r="H44" s="4" t="inlineStr">
        <is>
          <t>Claude (AI Engineer)</t>
        </is>
      </c>
      <c r="I44" s="4" t="inlineStr">
        <is>
          <t>Must Have</t>
        </is>
      </c>
      <c r="J44" s="4" t="inlineStr">
        <is>
          <t>MVP</t>
        </is>
      </c>
      <c r="K44" s="4" t="inlineStr">
        <is>
          <t>Week 1</t>
        </is>
      </c>
      <c r="L44" s="4" t="inlineStr">
        <is>
          <t>Done</t>
        </is>
      </c>
      <c r="M44" s="4" t="n">
        <v>3</v>
      </c>
      <c r="N44" s="4" t="inlineStr">
        <is>
          <t>Architecturally guaranteed — no per-second writes, elapsed time is always recomputed client-side from the stored start timestamp. Not explicitly browser-refresh-tested this session.</t>
        </is>
      </c>
      <c r="O44" s="4" t="n"/>
    </row>
    <row r="45" ht="55.2" customHeight="1">
      <c r="A45" s="4" t="inlineStr">
        <is>
          <t>US-006-009</t>
        </is>
      </c>
      <c r="B45" s="4" t="inlineStr">
        <is>
          <t>EP-006</t>
        </is>
      </c>
      <c r="C45" s="4" t="inlineStr">
        <is>
          <t>Daily task time log</t>
        </is>
      </c>
      <c r="D45" s="4" t="inlineStr">
        <is>
          <t>Employee</t>
        </is>
      </c>
      <c r="E45" s="4" t="inlineStr">
        <is>
          <t>As an employee, I want to see task time intervals for a day so that I can verify what I worked on.</t>
        </is>
      </c>
      <c r="F45" s="4" t="n">
        <v>4</v>
      </c>
      <c r="G45" s="4" t="n"/>
      <c r="H45" s="4" t="inlineStr">
        <is>
          <t>Claude (AI Engineer)</t>
        </is>
      </c>
      <c r="I45" s="4" t="inlineStr">
        <is>
          <t>Must Have</t>
        </is>
      </c>
      <c r="J45" s="4" t="inlineStr">
        <is>
          <t>MVP</t>
        </is>
      </c>
      <c r="K45" s="4" t="inlineStr">
        <is>
          <t>Week 1</t>
        </is>
      </c>
      <c r="L45" s="4" t="inlineStr">
        <is>
          <t>Done</t>
        </is>
      </c>
      <c r="M45" s="4" t="n">
        <v>3</v>
      </c>
      <c r="N45" s="4" t="inlineStr">
        <is>
          <t>Implemented and functionally working; not individually covered by an automated test this session.</t>
        </is>
      </c>
      <c r="O45" s="4" t="n"/>
    </row>
    <row r="46" ht="55.2" customHeight="1">
      <c r="A46" s="4" t="inlineStr">
        <is>
          <t>US-006-010</t>
        </is>
      </c>
      <c r="B46" s="4" t="inlineStr">
        <is>
          <t>EP-006</t>
        </is>
      </c>
      <c r="C46" s="4" t="inlineStr">
        <is>
          <t>Task estimate versus actual</t>
        </is>
      </c>
      <c r="D46" s="4" t="inlineStr">
        <is>
          <t>Employee</t>
        </is>
      </c>
      <c r="E46" s="4" t="inlineStr">
        <is>
          <t>As an employee, I want to compare estimated and actual task time so that I can understand overruns.</t>
        </is>
      </c>
      <c r="F46" s="4" t="n">
        <v>4</v>
      </c>
      <c r="G46" s="4" t="n"/>
      <c r="H46" s="4" t="inlineStr">
        <is>
          <t>Claude (AI Engineer)</t>
        </is>
      </c>
      <c r="I46" s="4" t="inlineStr">
        <is>
          <t>Must Have</t>
        </is>
      </c>
      <c r="J46" s="4" t="inlineStr">
        <is>
          <t>MVP</t>
        </is>
      </c>
      <c r="K46" s="4" t="inlineStr">
        <is>
          <t>Week 1</t>
        </is>
      </c>
      <c r="L46" s="4" t="inlineStr">
        <is>
          <t>Done</t>
        </is>
      </c>
      <c r="M46" s="4" t="n">
        <v>3</v>
      </c>
      <c r="N46" s="4" t="inlineStr">
        <is>
          <t>Implemented and functionally working; not individually covered by an automated test this session.</t>
        </is>
      </c>
      <c r="O46" s="4" t="n"/>
    </row>
    <row r="47" ht="55.2" customHeight="1">
      <c r="A47" s="4" t="inlineStr">
        <is>
          <t>US-007-001</t>
        </is>
      </c>
      <c r="B47" s="4" t="inlineStr">
        <is>
          <t>EP-007</t>
        </is>
      </c>
      <c r="C47" s="4" t="inlineStr">
        <is>
          <t>Calculate net working time</t>
        </is>
      </c>
      <c r="D47" s="4" t="inlineStr">
        <is>
          <t>System</t>
        </is>
      </c>
      <c r="E47" s="4" t="inlineStr">
        <is>
          <t>As the system, I want to calculate net working time so that attendance is accurate.</t>
        </is>
      </c>
      <c r="F47" s="4" t="n">
        <v>4</v>
      </c>
      <c r="G47" s="4" t="n"/>
      <c r="H47" s="4" t="inlineStr">
        <is>
          <t>Claude (AI Engineer)</t>
        </is>
      </c>
      <c r="I47" s="4" t="inlineStr">
        <is>
          <t>Must Have</t>
        </is>
      </c>
      <c r="J47" s="4" t="inlineStr">
        <is>
          <t>MVP</t>
        </is>
      </c>
      <c r="K47" s="4" t="inlineStr">
        <is>
          <t>Week 1</t>
        </is>
      </c>
      <c r="L47" s="4" t="inlineStr">
        <is>
          <t>Done</t>
        </is>
      </c>
      <c r="M47" s="4" t="n">
        <v>3</v>
      </c>
      <c r="N47" s="4" t="inlineStr">
        <is>
          <t>Verified by unit test (exact SRS worked example: 7h30m worked, 6h45m tasked, 45m unallocated) and e2e test.</t>
        </is>
      </c>
      <c r="O47" s="4" t="n"/>
    </row>
    <row r="48" ht="27.6" customHeight="1">
      <c r="A48" s="4" t="inlineStr">
        <is>
          <t>US-007-002</t>
        </is>
      </c>
      <c r="B48" s="4" t="inlineStr">
        <is>
          <t>EP-007</t>
        </is>
      </c>
      <c r="C48" s="4" t="inlineStr">
        <is>
          <t>Calculate task time</t>
        </is>
      </c>
      <c r="D48" s="4" t="inlineStr">
        <is>
          <t>System</t>
        </is>
      </c>
      <c r="E48" s="4" t="inlineStr">
        <is>
          <t>As the system, I want to calculate total task time for a day so that recorded activity is measurable.</t>
        </is>
      </c>
      <c r="F48" s="4" t="n">
        <v>4</v>
      </c>
      <c r="G48" s="4" t="n"/>
      <c r="H48" s="4" t="inlineStr">
        <is>
          <t>Claude (AI Engineer)</t>
        </is>
      </c>
      <c r="I48" s="4" t="inlineStr">
        <is>
          <t>Must Have</t>
        </is>
      </c>
      <c r="J48" s="4" t="inlineStr">
        <is>
          <t>MVP</t>
        </is>
      </c>
      <c r="K48" s="4" t="inlineStr">
        <is>
          <t>Week 1</t>
        </is>
      </c>
      <c r="L48" s="4" t="inlineStr">
        <is>
          <t>Done</t>
        </is>
      </c>
      <c r="M48" s="4" t="n">
        <v>3</v>
      </c>
      <c r="N48" s="4" t="inlineStr">
        <is>
          <t>Verified by unit test and e2e test.</t>
        </is>
      </c>
      <c r="O48" s="4" t="n"/>
    </row>
    <row r="49" ht="27.6" customHeight="1">
      <c r="A49" s="4" t="inlineStr">
        <is>
          <t>US-007-003</t>
        </is>
      </c>
      <c r="B49" s="4" t="inlineStr">
        <is>
          <t>EP-007</t>
        </is>
      </c>
      <c r="C49" s="4" t="inlineStr">
        <is>
          <t>Calculate unallocated time</t>
        </is>
      </c>
      <c r="D49" s="4" t="inlineStr">
        <is>
          <t>Employee</t>
        </is>
      </c>
      <c r="E49" s="4" t="inlineStr">
        <is>
          <t>As an employee, I want to see unallocated working time so that I can identify missing task tracking.</t>
        </is>
      </c>
      <c r="F49" s="4" t="n">
        <v>4</v>
      </c>
      <c r="G49" s="4" t="n"/>
      <c r="H49" s="4" t="inlineStr">
        <is>
          <t>Claude (AI Engineer)</t>
        </is>
      </c>
      <c r="I49" s="4" t="inlineStr">
        <is>
          <t>Must Have</t>
        </is>
      </c>
      <c r="J49" s="4" t="inlineStr">
        <is>
          <t>MVP</t>
        </is>
      </c>
      <c r="K49" s="4" t="inlineStr">
        <is>
          <t>Week 1</t>
        </is>
      </c>
      <c r="L49" s="4" t="inlineStr">
        <is>
          <t>Done</t>
        </is>
      </c>
      <c r="M49" s="4" t="n">
        <v>3</v>
      </c>
      <c r="N49" s="4" t="inlineStr">
        <is>
          <t>Verified by unit test (never negative) and e2e test.</t>
        </is>
      </c>
      <c r="O49" s="4" t="n"/>
    </row>
    <row r="50" ht="110.4" customHeight="1">
      <c r="A50" s="4" t="inlineStr">
        <is>
          <t>US-007-004</t>
        </is>
      </c>
      <c r="B50" s="4" t="inlineStr">
        <is>
          <t>EP-007</t>
        </is>
      </c>
      <c r="C50" s="4" t="inlineStr">
        <is>
          <t>Flag task time exceeding attendance</t>
        </is>
      </c>
      <c r="D50" s="4" t="inlineStr">
        <is>
          <t>Administrator</t>
        </is>
      </c>
      <c r="E50" s="4" t="inlineStr">
        <is>
          <t>As an administrator, I want impossible time relationships flagged so that data quality issues are corrected.</t>
        </is>
      </c>
      <c r="F50" s="4" t="n">
        <v>4</v>
      </c>
      <c r="G50" s="4" t="n"/>
      <c r="H50" s="4" t="inlineStr">
        <is>
          <t>Claude (AI Engineer)</t>
        </is>
      </c>
      <c r="I50" s="4" t="inlineStr">
        <is>
          <t>Must Have</t>
        </is>
      </c>
      <c r="J50" s="4" t="inlineStr">
        <is>
          <t>MVP</t>
        </is>
      </c>
      <c r="K50" s="4" t="inlineStr">
        <is>
          <t>Week 1</t>
        </is>
      </c>
      <c r="L50" s="4" t="inlineStr">
        <is>
          <t>Done</t>
        </is>
      </c>
      <c r="M50" s="4" t="n">
        <v>3</v>
      </c>
      <c r="N50" s="4" t="inlineStr">
        <is>
          <t>Verified by unit test: task time exceeding attendance flags hasDataQualityException without altering original records. No dedicated admin exception-review screen yet — surfaced via My Day badge and reconciliation payload only.</t>
        </is>
      </c>
      <c r="O50" s="4" t="n"/>
    </row>
    <row r="51" ht="55.2" customHeight="1">
      <c r="A51" s="4" t="inlineStr">
        <is>
          <t>US-007-005</t>
        </is>
      </c>
      <c r="B51" s="4" t="inlineStr">
        <is>
          <t>EP-007</t>
        </is>
      </c>
      <c r="C51" s="4" t="inlineStr">
        <is>
          <t>Daily activity timeline</t>
        </is>
      </c>
      <c r="D51" s="4" t="inlineStr">
        <is>
          <t>Employee</t>
        </is>
      </c>
      <c r="E51" s="4" t="inlineStr">
        <is>
          <t>As an employee, I want one timeline of attendance, breaks and task activity so that my workday is understandable.</t>
        </is>
      </c>
      <c r="F51" s="4" t="n">
        <v>4</v>
      </c>
      <c r="G51" s="4" t="n"/>
      <c r="H51" s="4" t="inlineStr">
        <is>
          <t>Claude (AI Engineer)</t>
        </is>
      </c>
      <c r="I51" s="4" t="inlineStr">
        <is>
          <t>Must Have</t>
        </is>
      </c>
      <c r="J51" s="4" t="inlineStr">
        <is>
          <t>MVP</t>
        </is>
      </c>
      <c r="K51" s="4" t="inlineStr">
        <is>
          <t>Week 1</t>
        </is>
      </c>
      <c r="L51" s="4" t="inlineStr">
        <is>
          <t>Done</t>
        </is>
      </c>
      <c r="M51" s="4" t="n">
        <v>3</v>
      </c>
      <c r="N51" s="4" t="inlineStr">
        <is>
          <t>Implemented and functionally working; not individually covered by an automated test this session.</t>
        </is>
      </c>
      <c r="O51" s="4" t="n"/>
    </row>
    <row r="52" ht="55.2" customHeight="1">
      <c r="A52" s="4" t="inlineStr">
        <is>
          <t>US-008-001</t>
        </is>
      </c>
      <c r="B52" s="4" t="inlineStr">
        <is>
          <t>EP-008</t>
        </is>
      </c>
      <c r="C52" s="4" t="inlineStr">
        <is>
          <t>Employee My Day dashboard</t>
        </is>
      </c>
      <c r="D52" s="4" t="inlineStr">
        <is>
          <t>Employee</t>
        </is>
      </c>
      <c r="E52" s="4" t="inlineStr">
        <is>
          <t>As an employee, I want a single dashboard for attendance, break status, current task and totals so that daily actions are simple.</t>
        </is>
      </c>
      <c r="F52" s="4" t="n">
        <v>4</v>
      </c>
      <c r="G52" s="4" t="n"/>
      <c r="H52" s="4" t="inlineStr">
        <is>
          <t>Claude (AI Engineer)</t>
        </is>
      </c>
      <c r="I52" s="4" t="inlineStr">
        <is>
          <t>Must Have</t>
        </is>
      </c>
      <c r="J52" s="4" t="inlineStr">
        <is>
          <t>MVP</t>
        </is>
      </c>
      <c r="K52" s="4" t="inlineStr">
        <is>
          <t>Week 1</t>
        </is>
      </c>
      <c r="L52" s="4" t="inlineStr">
        <is>
          <t>Done</t>
        </is>
      </c>
      <c r="M52" s="4" t="n">
        <v>3</v>
      </c>
      <c r="N52" s="4" t="inlineStr">
        <is>
          <t>Implemented and functionally working; not individually covered by an automated test this session.</t>
        </is>
      </c>
      <c r="O52" s="4" t="n"/>
    </row>
    <row r="53" ht="55.2" customHeight="1">
      <c r="A53" s="4" t="inlineStr">
        <is>
          <t>US-008-002</t>
        </is>
      </c>
      <c r="B53" s="4" t="inlineStr">
        <is>
          <t>EP-008</t>
        </is>
      </c>
      <c r="C53" s="4" t="inlineStr">
        <is>
          <t>Administrator dashboard KPIs</t>
        </is>
      </c>
      <c r="D53" s="4" t="inlineStr">
        <is>
          <t>Administrator</t>
        </is>
      </c>
      <c r="E53" s="4" t="inlineStr">
        <is>
          <t>As an administrator, I want high-level daily KPIs so that I can understand current workforce activity.</t>
        </is>
      </c>
      <c r="F53" s="4" t="n">
        <v>4</v>
      </c>
      <c r="G53" s="4" t="n"/>
      <c r="H53" s="4" t="inlineStr">
        <is>
          <t>Claude (AI Engineer)</t>
        </is>
      </c>
      <c r="I53" s="4" t="inlineStr">
        <is>
          <t>Must Have</t>
        </is>
      </c>
      <c r="J53" s="4" t="inlineStr">
        <is>
          <t>MVP</t>
        </is>
      </c>
      <c r="K53" s="4" t="inlineStr">
        <is>
          <t>Week 1</t>
        </is>
      </c>
      <c r="L53" s="4" t="inlineStr">
        <is>
          <t>Done</t>
        </is>
      </c>
      <c r="M53" s="4" t="n">
        <v>3</v>
      </c>
      <c r="N53" s="4" t="inlineStr">
        <is>
          <t>Implemented and functionally working; not individually covered by an automated test this session.</t>
        </is>
      </c>
      <c r="O53" s="4" t="n"/>
    </row>
    <row r="54" ht="55.2" customHeight="1">
      <c r="A54" s="4" t="inlineStr">
        <is>
          <t>US-008-003</t>
        </is>
      </c>
      <c r="B54" s="4" t="inlineStr">
        <is>
          <t>EP-008</t>
        </is>
      </c>
      <c r="C54" s="4" t="inlineStr">
        <is>
          <t>Live user activity table</t>
        </is>
      </c>
      <c r="D54" s="4" t="inlineStr">
        <is>
          <t>Administrator</t>
        </is>
      </c>
      <c r="E54" s="4" t="inlineStr">
        <is>
          <t>As an administrator, I want a live table of user status so that I can see current attendance and task activity.</t>
        </is>
      </c>
      <c r="F54" s="4" t="n">
        <v>4</v>
      </c>
      <c r="G54" s="4" t="n"/>
      <c r="H54" s="4" t="inlineStr">
        <is>
          <t>Claude (AI Engineer)</t>
        </is>
      </c>
      <c r="I54" s="4" t="inlineStr">
        <is>
          <t>Must Have</t>
        </is>
      </c>
      <c r="J54" s="4" t="inlineStr">
        <is>
          <t>MVP</t>
        </is>
      </c>
      <c r="K54" s="4" t="inlineStr">
        <is>
          <t>Week 1</t>
        </is>
      </c>
      <c r="L54" s="4" t="inlineStr">
        <is>
          <t>Done</t>
        </is>
      </c>
      <c r="M54" s="4" t="n">
        <v>3</v>
      </c>
      <c r="N54" s="4" t="inlineStr">
        <is>
          <t>Implemented and functionally working; not individually covered by an automated test this session.</t>
        </is>
      </c>
      <c r="O54" s="4" t="n"/>
    </row>
    <row r="55" ht="55.2" customHeight="1">
      <c r="A55" s="4" t="inlineStr">
        <is>
          <t>US-008-004</t>
        </is>
      </c>
      <c r="B55" s="4" t="inlineStr">
        <is>
          <t>EP-008</t>
        </is>
      </c>
      <c r="C55" s="4" t="inlineStr">
        <is>
          <t>Task dashboard</t>
        </is>
      </c>
      <c r="D55" s="4" t="inlineStr">
        <is>
          <t>Administrator</t>
        </is>
      </c>
      <c r="E55" s="4" t="inlineStr">
        <is>
          <t>As an administrator, I want task status summaries so that I can identify active, overdue and completed work.</t>
        </is>
      </c>
      <c r="F55" s="4" t="n">
        <v>4</v>
      </c>
      <c r="G55" s="4" t="n"/>
      <c r="H55" s="4" t="inlineStr">
        <is>
          <t>Claude (AI Engineer)</t>
        </is>
      </c>
      <c r="I55" s="4" t="inlineStr">
        <is>
          <t>Must Have</t>
        </is>
      </c>
      <c r="J55" s="4" t="inlineStr">
        <is>
          <t>MVP</t>
        </is>
      </c>
      <c r="K55" s="4" t="inlineStr">
        <is>
          <t>Week 1</t>
        </is>
      </c>
      <c r="L55" s="4" t="inlineStr">
        <is>
          <t>Done</t>
        </is>
      </c>
      <c r="M55" s="4" t="n">
        <v>3</v>
      </c>
      <c r="N55" s="4" t="inlineStr">
        <is>
          <t>Implemented and functionally working; not individually covered by an automated test this session.</t>
        </is>
      </c>
      <c r="O55" s="4" t="n"/>
    </row>
    <row r="56" ht="220.8" customHeight="1">
      <c r="A56" s="4" t="inlineStr">
        <is>
          <t>US-008-005</t>
        </is>
      </c>
      <c r="B56" s="4" t="inlineStr">
        <is>
          <t>EP-008</t>
        </is>
      </c>
      <c r="C56" s="4" t="inlineStr">
        <is>
          <t>Responsive dashboard</t>
        </is>
      </c>
      <c r="D56" s="4" t="inlineStr">
        <is>
          <t>Employee</t>
        </is>
      </c>
      <c r="E56" s="4" t="inlineStr">
        <is>
          <t>As a user, I want dashboards usable on phone and desktop so that I can clock and track tasks from different devices.</t>
        </is>
      </c>
      <c r="F56" s="4" t="n">
        <v>4</v>
      </c>
      <c r="G56" s="4" t="n"/>
      <c r="H56" s="4" t="inlineStr">
        <is>
          <t>Claude (AI Engineer)</t>
        </is>
      </c>
      <c r="I56" s="4" t="inlineStr">
        <is>
          <t>Must Have</t>
        </is>
      </c>
      <c r="J56" s="4" t="inlineStr">
        <is>
          <t>MVP</t>
        </is>
      </c>
      <c r="K56" s="4" t="inlineStr">
        <is>
          <t>Week 1</t>
        </is>
      </c>
      <c r="L56" s="4" t="inlineStr">
        <is>
          <t>Done</t>
        </is>
      </c>
      <c r="M56" s="4" t="n">
        <v>3</v>
      </c>
      <c r="N56" s="4" t="inlineStr">
        <is>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is>
      </c>
      <c r="O56" s="4" t="n"/>
    </row>
    <row r="57" ht="41.4" customHeight="1">
      <c r="A57" s="4" t="inlineStr">
        <is>
          <t>US-009-001</t>
        </is>
      </c>
      <c r="B57" s="4" t="inlineStr">
        <is>
          <t>EP-009</t>
        </is>
      </c>
      <c r="C57" s="4" t="inlineStr">
        <is>
          <t>Request attendance correction</t>
        </is>
      </c>
      <c r="D57" s="4" t="inlineStr">
        <is>
          <t>Employee</t>
        </is>
      </c>
      <c r="E57" s="4" t="inlineStr">
        <is>
          <t>As an employee, I want to request correction of an attendance mistake so that records can be fixed without hidden edits.</t>
        </is>
      </c>
      <c r="F57" s="4" t="n">
        <v>4</v>
      </c>
      <c r="G57" s="4" t="n"/>
      <c r="H57" s="4" t="inlineStr">
        <is>
          <t>Claude (AI Engineer)</t>
        </is>
      </c>
      <c r="I57" s="4" t="inlineStr">
        <is>
          <t>Must Have</t>
        </is>
      </c>
      <c r="J57" s="4" t="inlineStr">
        <is>
          <t>MVP</t>
        </is>
      </c>
      <c r="K57" s="4" t="inlineStr">
        <is>
          <t>Week 1</t>
        </is>
      </c>
      <c r="L57" s="4" t="inlineStr">
        <is>
          <t>Done</t>
        </is>
      </c>
      <c r="M57" s="4" t="n">
        <v>3</v>
      </c>
      <c r="N57" s="4" t="inlineStr">
        <is>
          <t>Verified by e2e test: request does not overwrite the original record; visible to the requester.</t>
        </is>
      </c>
      <c r="O57" s="4" t="n"/>
    </row>
    <row r="58" ht="55.2" customHeight="1">
      <c r="A58" s="4" t="inlineStr">
        <is>
          <t>US-009-002</t>
        </is>
      </c>
      <c r="B58" s="4" t="inlineStr">
        <is>
          <t>EP-009</t>
        </is>
      </c>
      <c r="C58" s="4" t="inlineStr">
        <is>
          <t>Approve attendance correction</t>
        </is>
      </c>
      <c r="D58" s="4" t="inlineStr">
        <is>
          <t>Administrator</t>
        </is>
      </c>
      <c r="E58" s="4" t="inlineStr">
        <is>
          <t>As an administrator, I want to approve or reject attendance corrections so that changes are controlled.</t>
        </is>
      </c>
      <c r="F58" s="4" t="n">
        <v>4</v>
      </c>
      <c r="G58" s="4" t="n"/>
      <c r="H58" s="4" t="inlineStr">
        <is>
          <t>Claude (AI Engineer)</t>
        </is>
      </c>
      <c r="I58" s="4" t="inlineStr">
        <is>
          <t>Must Have</t>
        </is>
      </c>
      <c r="J58" s="4" t="inlineStr">
        <is>
          <t>MVP</t>
        </is>
      </c>
      <c r="K58" s="4" t="inlineStr">
        <is>
          <t>Week 1</t>
        </is>
      </c>
      <c r="L58" s="4" t="inlineStr">
        <is>
          <t>Done</t>
        </is>
      </c>
      <c r="M58" s="4" t="n">
        <v>3</v>
      </c>
      <c r="N58" s="4" t="inlineStr">
        <is>
          <t>Verified by e2e test: approval applies the corrected values and preserves the original in the audit log (before/after).</t>
        </is>
      </c>
      <c r="O58" s="4" t="n"/>
    </row>
    <row r="59" ht="55.2" customHeight="1">
      <c r="A59" s="4" t="inlineStr">
        <is>
          <t>US-009-003</t>
        </is>
      </c>
      <c r="B59" s="4" t="inlineStr">
        <is>
          <t>EP-009</t>
        </is>
      </c>
      <c r="C59" s="4" t="inlineStr">
        <is>
          <t>Request task time correction</t>
        </is>
      </c>
      <c r="D59" s="4" t="inlineStr">
        <is>
          <t>Employee</t>
        </is>
      </c>
      <c r="E59" s="4" t="inlineStr">
        <is>
          <t>As an employee, I want to request correction of task time so that forgotten/incorrect timer events can be resolved.</t>
        </is>
      </c>
      <c r="F59" s="4" t="n">
        <v>4</v>
      </c>
      <c r="G59" s="4" t="n"/>
      <c r="H59" s="4" t="inlineStr">
        <is>
          <t>Claude (AI Engineer)</t>
        </is>
      </c>
      <c r="I59" s="4" t="inlineStr">
        <is>
          <t>Must Have</t>
        </is>
      </c>
      <c r="J59" s="4" t="inlineStr">
        <is>
          <t>MVP</t>
        </is>
      </c>
      <c r="K59" s="4" t="inlineStr">
        <is>
          <t>Week 1</t>
        </is>
      </c>
      <c r="L59" s="4" t="inlineStr">
        <is>
          <t>Done</t>
        </is>
      </c>
      <c r="M59" s="4" t="n">
        <v>3</v>
      </c>
      <c r="N59" s="4" t="inlineStr">
        <is>
          <t>Implemented and functionally working; not individually covered by an automated test this session.</t>
        </is>
      </c>
      <c r="O59" s="4" t="n"/>
    </row>
    <row r="60" ht="55.2" customHeight="1">
      <c r="A60" s="4" t="inlineStr">
        <is>
          <t>US-009-004</t>
        </is>
      </c>
      <c r="B60" s="4" t="inlineStr">
        <is>
          <t>EP-009</t>
        </is>
      </c>
      <c r="C60" s="4" t="inlineStr">
        <is>
          <t>Administrator direct correction</t>
        </is>
      </c>
      <c r="D60" s="4" t="inlineStr">
        <is>
          <t>Administrator</t>
        </is>
      </c>
      <c r="E60" s="4" t="inlineStr">
        <is>
          <t>As an administrator, I want to correct authorised records directly so that operational errors can be resolved quickly.</t>
        </is>
      </c>
      <c r="F60" s="4" t="n">
        <v>4</v>
      </c>
      <c r="G60" s="4" t="n"/>
      <c r="H60" s="4" t="inlineStr">
        <is>
          <t>Claude (AI Engineer)</t>
        </is>
      </c>
      <c r="I60" s="4" t="inlineStr">
        <is>
          <t>Must Have</t>
        </is>
      </c>
      <c r="J60" s="4" t="inlineStr">
        <is>
          <t>MVP</t>
        </is>
      </c>
      <c r="K60" s="4" t="inlineStr">
        <is>
          <t>Week 1</t>
        </is>
      </c>
      <c r="L60" s="4" t="inlineStr">
        <is>
          <t>Done</t>
        </is>
      </c>
      <c r="M60" s="4" t="n">
        <v>3</v>
      </c>
      <c r="N60" s="4" t="inlineStr">
        <is>
          <t>Implemented and functionally working; not individually covered by an automated test this session.</t>
        </is>
      </c>
      <c r="O60" s="4" t="n"/>
    </row>
    <row r="61" ht="55.2" customHeight="1">
      <c r="A61" s="4" t="inlineStr">
        <is>
          <t>US-009-005</t>
        </is>
      </c>
      <c r="B61" s="4" t="inlineStr">
        <is>
          <t>EP-009</t>
        </is>
      </c>
      <c r="C61" s="4" t="inlineStr">
        <is>
          <t>Audit log</t>
        </is>
      </c>
      <c r="D61" s="4" t="inlineStr">
        <is>
          <t>Auditor</t>
        </is>
      </c>
      <c r="E61" s="4" t="inlineStr">
        <is>
          <t>As an auditor, I want a tamper-resistant audit view so that sensitive changes are traceable.</t>
        </is>
      </c>
      <c r="F61" s="4" t="n">
        <v>4</v>
      </c>
      <c r="G61" s="4" t="n"/>
      <c r="H61" s="4" t="inlineStr">
        <is>
          <t>Claude (AI Engineer)</t>
        </is>
      </c>
      <c r="I61" s="4" t="inlineStr">
        <is>
          <t>Must Have</t>
        </is>
      </c>
      <c r="J61" s="4" t="inlineStr">
        <is>
          <t>MVP</t>
        </is>
      </c>
      <c r="K61" s="4" t="inlineStr">
        <is>
          <t>Week 1</t>
        </is>
      </c>
      <c r="L61" s="4" t="inlineStr">
        <is>
          <t>Done</t>
        </is>
      </c>
      <c r="M61" s="4" t="n">
        <v>3</v>
      </c>
      <c r="N61" s="4" t="inlineStr">
        <is>
          <t>Verified by e2e test: audit entries carry actor/action/target/before/after and are filterable by action.</t>
        </is>
      </c>
      <c r="O61" s="4" t="n"/>
    </row>
    <row r="62" ht="55.2" customHeight="1">
      <c r="A62" s="4" t="inlineStr">
        <is>
          <t>US-010-001</t>
        </is>
      </c>
      <c r="B62" s="4" t="inlineStr">
        <is>
          <t>EP-010</t>
        </is>
      </c>
      <c r="C62" s="4" t="inlineStr">
        <is>
          <t>Daily attendance report</t>
        </is>
      </c>
      <c r="D62" s="4" t="inlineStr">
        <is>
          <t>Administrator</t>
        </is>
      </c>
      <c r="E62" s="4" t="inlineStr">
        <is>
          <t>As an administrator, I want a daily attendance report so that I can review who worked and for how long.</t>
        </is>
      </c>
      <c r="F62" s="4" t="n">
        <v>4</v>
      </c>
      <c r="G62" s="4" t="n"/>
      <c r="H62" s="4" t="inlineStr">
        <is>
          <t>Claude (AI Engineer)</t>
        </is>
      </c>
      <c r="I62" s="4" t="inlineStr">
        <is>
          <t>Must Have</t>
        </is>
      </c>
      <c r="J62" s="4" t="inlineStr">
        <is>
          <t>MVP</t>
        </is>
      </c>
      <c r="K62" s="4" t="inlineStr">
        <is>
          <t>Week 1</t>
        </is>
      </c>
      <c r="L62" s="4" t="inlineStr">
        <is>
          <t>Done</t>
        </is>
      </c>
      <c r="M62" s="4" t="n">
        <v>3</v>
      </c>
      <c r="N62" s="4" t="inlineStr">
        <is>
          <t>Implemented and functionally working; not individually covered by an automated test this session.</t>
        </is>
      </c>
      <c r="O62" s="4" t="n"/>
    </row>
    <row r="63" ht="55.2" customHeight="1">
      <c r="A63" s="4" t="inlineStr">
        <is>
          <t>US-010-002</t>
        </is>
      </c>
      <c r="B63" s="4" t="inlineStr">
        <is>
          <t>EP-010</t>
        </is>
      </c>
      <c r="C63" s="4" t="inlineStr">
        <is>
          <t>Weekly monthly attendance report</t>
        </is>
      </c>
      <c r="D63" s="4" t="inlineStr">
        <is>
          <t>Administrator</t>
        </is>
      </c>
      <c r="E63" s="4" t="inlineStr">
        <is>
          <t>As an administrator, I want weekly/monthly attendance summaries so that working patterns are visible.</t>
        </is>
      </c>
      <c r="F63" s="4" t="n">
        <v>4</v>
      </c>
      <c r="G63" s="4" t="n"/>
      <c r="H63" s="4" t="inlineStr">
        <is>
          <t>Claude (AI Engineer)</t>
        </is>
      </c>
      <c r="I63" s="4" t="inlineStr">
        <is>
          <t>Must Have</t>
        </is>
      </c>
      <c r="J63" s="4" t="inlineStr">
        <is>
          <t>MVP</t>
        </is>
      </c>
      <c r="K63" s="4" t="inlineStr">
        <is>
          <t>Week 1</t>
        </is>
      </c>
      <c r="L63" s="4" t="inlineStr">
        <is>
          <t>Done</t>
        </is>
      </c>
      <c r="M63" s="4" t="n">
        <v>3</v>
      </c>
      <c r="N63" s="4" t="inlineStr">
        <is>
          <t>Implemented and functionally working; not individually covered by an automated test this session.</t>
        </is>
      </c>
      <c r="O63" s="4" t="n"/>
    </row>
    <row r="64" ht="55.2" customHeight="1">
      <c r="A64" s="4" t="inlineStr">
        <is>
          <t>US-010-003</t>
        </is>
      </c>
      <c r="B64" s="4" t="inlineStr">
        <is>
          <t>EP-010</t>
        </is>
      </c>
      <c r="C64" s="4" t="inlineStr">
        <is>
          <t>Task time report</t>
        </is>
      </c>
      <c r="D64" s="4" t="inlineStr">
        <is>
          <t>Administrator</t>
        </is>
      </c>
      <c r="E64" s="4" t="inlineStr">
        <is>
          <t>As an administrator, I want task-time reporting so that I can see actual time spent on work.</t>
        </is>
      </c>
      <c r="F64" s="4" t="n">
        <v>4</v>
      </c>
      <c r="G64" s="4" t="n"/>
      <c r="H64" s="4" t="inlineStr">
        <is>
          <t>Claude (AI Engineer)</t>
        </is>
      </c>
      <c r="I64" s="4" t="inlineStr">
        <is>
          <t>Must Have</t>
        </is>
      </c>
      <c r="J64" s="4" t="inlineStr">
        <is>
          <t>MVP</t>
        </is>
      </c>
      <c r="K64" s="4" t="inlineStr">
        <is>
          <t>Week 1</t>
        </is>
      </c>
      <c r="L64" s="4" t="inlineStr">
        <is>
          <t>Done</t>
        </is>
      </c>
      <c r="M64" s="4" t="n">
        <v>3</v>
      </c>
      <c r="N64" s="4" t="inlineStr">
        <is>
          <t>Implemented and functionally working; not individually covered by an automated test this session.</t>
        </is>
      </c>
      <c r="O64" s="4" t="n"/>
    </row>
    <row r="65" ht="55.2" customHeight="1">
      <c r="A65" s="4" t="inlineStr">
        <is>
          <t>US-010-004</t>
        </is>
      </c>
      <c r="B65" s="4" t="inlineStr">
        <is>
          <t>EP-010</t>
        </is>
      </c>
      <c r="C65" s="4" t="inlineStr">
        <is>
          <t>Unallocated time report</t>
        </is>
      </c>
      <c r="D65" s="4" t="inlineStr">
        <is>
          <t>Administrator</t>
        </is>
      </c>
      <c r="E65" s="4" t="inlineStr">
        <is>
          <t>As an administrator, I want unallocated-time reporting so that missing task tracking can be identified.</t>
        </is>
      </c>
      <c r="F65" s="4" t="n">
        <v>4</v>
      </c>
      <c r="G65" s="4" t="n"/>
      <c r="H65" s="4" t="inlineStr">
        <is>
          <t>Claude (AI Engineer)</t>
        </is>
      </c>
      <c r="I65" s="4" t="inlineStr">
        <is>
          <t>Must Have</t>
        </is>
      </c>
      <c r="J65" s="4" t="inlineStr">
        <is>
          <t>MVP</t>
        </is>
      </c>
      <c r="K65" s="4" t="inlineStr">
        <is>
          <t>Week 1</t>
        </is>
      </c>
      <c r="L65" s="4" t="inlineStr">
        <is>
          <t>Done</t>
        </is>
      </c>
      <c r="M65" s="4" t="n">
        <v>3</v>
      </c>
      <c r="N65" s="4" t="inlineStr">
        <is>
          <t>Implemented and functionally working; not individually covered by an automated test this session.</t>
        </is>
      </c>
      <c r="O65" s="4" t="n"/>
    </row>
    <row r="66" ht="55.2" customHeight="1">
      <c r="A66" s="4" t="inlineStr">
        <is>
          <t>US-010-005</t>
        </is>
      </c>
      <c r="B66" s="4" t="inlineStr">
        <is>
          <t>EP-010</t>
        </is>
      </c>
      <c r="C66" s="4" t="inlineStr">
        <is>
          <t>Export report</t>
        </is>
      </c>
      <c r="D66" s="4" t="inlineStr">
        <is>
          <t>Administrator</t>
        </is>
      </c>
      <c r="E66" s="4" t="inlineStr">
        <is>
          <t>As an administrator, I want to export filtered reports so that data can be used outside the application.</t>
        </is>
      </c>
      <c r="F66" s="4" t="n">
        <v>4</v>
      </c>
      <c r="G66" s="4" t="n"/>
      <c r="H66" s="4" t="inlineStr">
        <is>
          <t>Claude (AI Engineer)</t>
        </is>
      </c>
      <c r="I66" s="4" t="inlineStr">
        <is>
          <t>Must Have</t>
        </is>
      </c>
      <c r="J66" s="4" t="inlineStr">
        <is>
          <t>MVP</t>
        </is>
      </c>
      <c r="K66" s="4" t="inlineStr">
        <is>
          <t>Week 1</t>
        </is>
      </c>
      <c r="L66" s="4" t="inlineStr">
        <is>
          <t>Done</t>
        </is>
      </c>
      <c r="M66" s="4" t="n">
        <v>3</v>
      </c>
      <c r="N66" s="4" t="inlineStr">
        <is>
          <t>Implemented and functionally working; not individually covered by an automated test this session.</t>
        </is>
      </c>
      <c r="O66" s="4" t="n"/>
    </row>
    <row r="67" ht="55.2" customHeight="1">
      <c r="A67" s="4" t="inlineStr">
        <is>
          <t>US-011-001</t>
        </is>
      </c>
      <c r="B67" s="4" t="inlineStr">
        <is>
          <t>EP-011</t>
        </is>
      </c>
      <c r="C67" s="4" t="inlineStr">
        <is>
          <t>Task assignment notification</t>
        </is>
      </c>
      <c r="D67" s="4" t="inlineStr">
        <is>
          <t>Employee</t>
        </is>
      </c>
      <c r="E67" s="4" t="inlineStr">
        <is>
          <t>As an employee, I want to be notified when a task is assigned so that I know new work exists.</t>
        </is>
      </c>
      <c r="F67" s="4" t="n">
        <v>4</v>
      </c>
      <c r="G67" s="4" t="n"/>
      <c r="H67" s="4" t="inlineStr">
        <is>
          <t>Claude (AI Engineer)</t>
        </is>
      </c>
      <c r="I67" s="4" t="inlineStr">
        <is>
          <t>Should Have</t>
        </is>
      </c>
      <c r="J67" s="4" t="inlineStr">
        <is>
          <t>R1</t>
        </is>
      </c>
      <c r="K67" s="4" t="inlineStr">
        <is>
          <t>Week 1</t>
        </is>
      </c>
      <c r="L67" s="4" t="inlineStr">
        <is>
          <t>Done</t>
        </is>
      </c>
      <c r="M67" s="4" t="n">
        <v>3</v>
      </c>
      <c r="N67" s="4" t="inlineStr">
        <is>
          <t>All 4 ACs verified live against the deployed Azure app, including waiting for the real production cron to fire on seeded data.</t>
        </is>
      </c>
      <c r="O67" s="4" t="n"/>
    </row>
    <row r="68" ht="55.2" customHeight="1">
      <c r="A68" s="4" t="inlineStr">
        <is>
          <t>US-011-002</t>
        </is>
      </c>
      <c r="B68" s="4" t="inlineStr">
        <is>
          <t>EP-011</t>
        </is>
      </c>
      <c r="C68" s="4" t="inlineStr">
        <is>
          <t>Missing clock-out reminder</t>
        </is>
      </c>
      <c r="D68" s="4" t="inlineStr">
        <is>
          <t>Employee</t>
        </is>
      </c>
      <c r="E68" s="4" t="inlineStr">
        <is>
          <t>As an employee, I want a reminder if I appear to have forgotten to clock out so that incomplete attendance is reduced.</t>
        </is>
      </c>
      <c r="F68" s="4" t="n">
        <v>4</v>
      </c>
      <c r="G68" s="4" t="n"/>
      <c r="H68" s="4" t="inlineStr">
        <is>
          <t>Claude (AI Engineer)</t>
        </is>
      </c>
      <c r="I68" s="4" t="inlineStr">
        <is>
          <t>Should Have</t>
        </is>
      </c>
      <c r="J68" s="4" t="inlineStr">
        <is>
          <t>R1</t>
        </is>
      </c>
      <c r="K68" s="4" t="inlineStr">
        <is>
          <t>Week 1</t>
        </is>
      </c>
      <c r="L68" s="4" t="inlineStr">
        <is>
          <t>Done</t>
        </is>
      </c>
      <c r="M68" s="4" t="n">
        <v>3</v>
      </c>
      <c r="N68" s="4" t="inlineStr">
        <is>
          <t>All 4 ACs verified live against the deployed Azure app, including waiting for the real production cron to fire on seeded data.</t>
        </is>
      </c>
      <c r="O68" s="4" t="n"/>
    </row>
    <row r="69" ht="55.2" customHeight="1">
      <c r="A69" s="4" t="inlineStr">
        <is>
          <t>US-011-003</t>
        </is>
      </c>
      <c r="B69" s="4" t="inlineStr">
        <is>
          <t>EP-011</t>
        </is>
      </c>
      <c r="C69" s="4" t="inlineStr">
        <is>
          <t>Long-running task timer reminder</t>
        </is>
      </c>
      <c r="D69" s="4" t="inlineStr">
        <is>
          <t>Employee</t>
        </is>
      </c>
      <c r="E69" s="4" t="inlineStr">
        <is>
          <t>As an employee, I want a reminder when a task timer has been running unusually long so that accidental over-recording can be corrected.</t>
        </is>
      </c>
      <c r="F69" s="4" t="n">
        <v>4</v>
      </c>
      <c r="G69" s="4" t="n"/>
      <c r="H69" s="4" t="inlineStr">
        <is>
          <t>Claude (AI Engineer)</t>
        </is>
      </c>
      <c r="I69" s="4" t="inlineStr">
        <is>
          <t>Should Have</t>
        </is>
      </c>
      <c r="J69" s="4" t="inlineStr">
        <is>
          <t>R1</t>
        </is>
      </c>
      <c r="K69" s="4" t="inlineStr">
        <is>
          <t>Week 1</t>
        </is>
      </c>
      <c r="L69" s="4" t="inlineStr">
        <is>
          <t>Done</t>
        </is>
      </c>
      <c r="M69" s="4" t="n">
        <v>3</v>
      </c>
      <c r="N69" s="4" t="inlineStr">
        <is>
          <t>All 4 ACs verified live against the deployed Azure app, including waiting for the real production cron to fire on seeded data.</t>
        </is>
      </c>
      <c r="O69" s="4" t="n"/>
    </row>
    <row r="70" ht="55.2" customHeight="1">
      <c r="A70" s="4" t="inlineStr">
        <is>
          <t>US-011-004</t>
        </is>
      </c>
      <c r="B70" s="4" t="inlineStr">
        <is>
          <t>EP-011</t>
        </is>
      </c>
      <c r="C70" s="4" t="inlineStr">
        <is>
          <t>Unallocated time reminder</t>
        </is>
      </c>
      <c r="D70" s="4" t="inlineStr">
        <is>
          <t>Employee</t>
        </is>
      </c>
      <c r="E70" s="4" t="inlineStr">
        <is>
          <t>As an employee, I want a reminder when my completed workday has unallocated time so that missing task tracking can be reviewed.</t>
        </is>
      </c>
      <c r="F70" s="4" t="n">
        <v>4</v>
      </c>
      <c r="G70" s="4" t="n"/>
      <c r="H70" s="4" t="inlineStr">
        <is>
          <t>Claude (AI Engineer)</t>
        </is>
      </c>
      <c r="I70" s="4" t="inlineStr">
        <is>
          <t>Should Have</t>
        </is>
      </c>
      <c r="J70" s="4" t="inlineStr">
        <is>
          <t>R1</t>
        </is>
      </c>
      <c r="K70" s="4" t="inlineStr">
        <is>
          <t>Week 1</t>
        </is>
      </c>
      <c r="L70" s="4" t="inlineStr">
        <is>
          <t>Done</t>
        </is>
      </c>
      <c r="M70" s="4" t="n">
        <v>3</v>
      </c>
      <c r="N70" s="4" t="inlineStr">
        <is>
          <t>All 4 ACs verified live against the deployed Azure app, including waiting for the real production cron to fire on seeded data.</t>
        </is>
      </c>
      <c r="O70" s="4" t="n"/>
    </row>
    <row r="71" ht="41.4" customHeight="1">
      <c r="A71" s="4" t="inlineStr">
        <is>
          <t>US-012-001</t>
        </is>
      </c>
      <c r="B71" s="4" t="inlineStr">
        <is>
          <t>EP-012</t>
        </is>
      </c>
      <c r="C71" s="4" t="inlineStr">
        <is>
          <t>Secure password storage</t>
        </is>
      </c>
      <c r="D71" s="4" t="inlineStr">
        <is>
          <t>Security Administrator</t>
        </is>
      </c>
      <c r="E71" s="4" t="inlineStr">
        <is>
          <t>As a security administrator, I want passwords securely hashed so that credential exposure risk is minimised.</t>
        </is>
      </c>
      <c r="F71" s="4" t="n">
        <v>4</v>
      </c>
      <c r="G71" s="4" t="n"/>
      <c r="H71" s="4" t="inlineStr">
        <is>
          <t>Claude (AI Engineer)</t>
        </is>
      </c>
      <c r="I71" s="4" t="inlineStr">
        <is>
          <t>Must Have</t>
        </is>
      </c>
      <c r="J71" s="4" t="inlineStr">
        <is>
          <t>MVP</t>
        </is>
      </c>
      <c r="K71" s="4" t="inlineStr">
        <is>
          <t>Week 1</t>
        </is>
      </c>
      <c r="L71" s="4" t="inlineStr">
        <is>
          <t>Done</t>
        </is>
      </c>
      <c r="M71" s="4" t="n">
        <v>3</v>
      </c>
      <c r="N71" s="4" t="inlineStr">
        <is>
          <t>Argon2id via the `argon2` package; verified indirectly by every e2e login.</t>
        </is>
      </c>
      <c r="O71" s="4" t="n"/>
    </row>
    <row r="72" ht="55.2" customHeight="1">
      <c r="A72" s="4" t="inlineStr">
        <is>
          <t>US-012-002</t>
        </is>
      </c>
      <c r="B72" s="4" t="inlineStr">
        <is>
          <t>EP-012</t>
        </is>
      </c>
      <c r="C72" s="4" t="inlineStr">
        <is>
          <t>Authorisation enforcement</t>
        </is>
      </c>
      <c r="D72" s="4" t="inlineStr">
        <is>
          <t>Security Administrator</t>
        </is>
      </c>
      <c r="E72" s="4" t="inlineStr">
        <is>
          <t>As a security administrator, I want server-side role checks so that employees cannot access administrator functions.</t>
        </is>
      </c>
      <c r="F72" s="4" t="n">
        <v>4</v>
      </c>
      <c r="G72" s="4" t="n"/>
      <c r="H72" s="4" t="inlineStr">
        <is>
          <t>Claude (AI Engineer)</t>
        </is>
      </c>
      <c r="I72" s="4" t="inlineStr">
        <is>
          <t>Must Have</t>
        </is>
      </c>
      <c r="J72" s="4" t="inlineStr">
        <is>
          <t>MVP</t>
        </is>
      </c>
      <c r="K72" s="4" t="inlineStr">
        <is>
          <t>Week 1</t>
        </is>
      </c>
      <c r="L72" s="4" t="inlineStr">
        <is>
          <t>Done</t>
        </is>
      </c>
      <c r="M72" s="4" t="n">
        <v>3</v>
      </c>
      <c r="N72" s="4" t="inlineStr">
        <is>
          <t>Verified by e2e test: employee blocked (403) from an admin-only endpoint; unauthenticated requests blocked (401).</t>
        </is>
      </c>
      <c r="O72" s="4" t="n"/>
    </row>
    <row r="73" ht="82.8" customHeight="1">
      <c r="A73" s="4" t="inlineStr">
        <is>
          <t>US-012-003</t>
        </is>
      </c>
      <c r="B73" s="4" t="inlineStr">
        <is>
          <t>EP-012</t>
        </is>
      </c>
      <c r="C73" s="4" t="inlineStr">
        <is>
          <t>Time integrity</t>
        </is>
      </c>
      <c r="D73" s="4" t="inlineStr">
        <is>
          <t>System Administrator</t>
        </is>
      </c>
      <c r="E73" s="4" t="inlineStr">
        <is>
          <t>As a system administrator, I want server-authoritative time and concurrency safeguards so that attendance/task duration is trustworthy.</t>
        </is>
      </c>
      <c r="F73" s="4" t="n">
        <v>4</v>
      </c>
      <c r="G73" s="4" t="n"/>
      <c r="H73" s="4" t="inlineStr">
        <is>
          <t>Claude (AI Engineer)</t>
        </is>
      </c>
      <c r="I73" s="4" t="inlineStr">
        <is>
          <t>Must Have</t>
        </is>
      </c>
      <c r="J73" s="4" t="inlineStr">
        <is>
          <t>MVP</t>
        </is>
      </c>
      <c r="K73" s="4" t="inlineStr">
        <is>
          <t>Week 1</t>
        </is>
      </c>
      <c r="L73" s="4" t="inlineStr">
        <is>
          <t>Done</t>
        </is>
      </c>
      <c r="M73" s="4" t="n">
        <v>3</v>
      </c>
      <c r="N73" s="4" t="inlineStr">
        <is>
          <t>Verified by e2e test: all official timestamps are server-generated; BR-002/BR-003 enforced by Postgres partial unique indexes, not just application logic.</t>
        </is>
      </c>
      <c r="O73" s="4" t="n"/>
    </row>
    <row r="74" ht="96.59999999999999" customHeight="1">
      <c r="A74" s="4" t="inlineStr">
        <is>
          <t>US-012-004</t>
        </is>
      </c>
      <c r="B74" s="4" t="inlineStr">
        <is>
          <t>EP-012</t>
        </is>
      </c>
      <c r="C74" s="4" t="inlineStr">
        <is>
          <t>Application logging and monitoring</t>
        </is>
      </c>
      <c r="D74" s="4" t="inlineStr">
        <is>
          <t>Operations Engineer</t>
        </is>
      </c>
      <c r="E74" s="4" t="inlineStr">
        <is>
          <t>As an operations engineer, I want structured logs and health monitoring so that incidents can be diagnosed.</t>
        </is>
      </c>
      <c r="F74" s="4" t="n">
        <v>4</v>
      </c>
      <c r="G74" s="4" t="n"/>
      <c r="H74" s="4" t="inlineStr">
        <is>
          <t>Claude (AI Engineer)</t>
        </is>
      </c>
      <c r="I74" s="4" t="inlineStr">
        <is>
          <t>Must Have</t>
        </is>
      </c>
      <c r="J74" s="4" t="inlineStr">
        <is>
          <t>MVP</t>
        </is>
      </c>
      <c r="K74" s="4" t="inlineStr">
        <is>
          <t>Week 1</t>
        </is>
      </c>
      <c r="L74" s="4" t="inlineStr">
        <is>
          <t>Done</t>
        </is>
      </c>
      <c r="M74" s="4" t="n">
        <v>3</v>
      </c>
      <c r="N74" s="4" t="inlineStr">
        <is>
          <t>Structured JSON request logging (pino-http) with correlation IDs wired in and manually verified: id round-trips via x-request-id header, passwords/cookies never appear in logs, /health and /ready produce zero log noise.</t>
        </is>
      </c>
      <c r="O74" s="4" t="n"/>
    </row>
    <row r="75" ht="220.8" customHeight="1">
      <c r="A75" s="4" t="inlineStr">
        <is>
          <t>US-012-005</t>
        </is>
      </c>
      <c r="B75" s="4" t="inlineStr">
        <is>
          <t>EP-012</t>
        </is>
      </c>
      <c r="C75" s="4" t="inlineStr">
        <is>
          <t>Backup and restore</t>
        </is>
      </c>
      <c r="D75" s="4" t="inlineStr">
        <is>
          <t>Operations Engineer</t>
        </is>
      </c>
      <c r="E75" s="4" t="inlineStr">
        <is>
          <t>As an operations engineer, I want database backups and a tested restore process so that data can be recovered.</t>
        </is>
      </c>
      <c r="F75" s="4" t="n">
        <v>4</v>
      </c>
      <c r="G75" s="4" t="n"/>
      <c r="H75" s="4" t="inlineStr">
        <is>
          <t>Claude (AI Engineer)</t>
        </is>
      </c>
      <c r="I75" s="4" t="inlineStr">
        <is>
          <t>Must Have</t>
        </is>
      </c>
      <c r="J75" s="4" t="inlineStr">
        <is>
          <t>MVP</t>
        </is>
      </c>
      <c r="K75" s="4" t="inlineStr">
        <is>
          <t>Week 1</t>
        </is>
      </c>
      <c r="L75" s="4" t="inlineStr">
        <is>
          <t>Done</t>
        </is>
      </c>
      <c r="M75" s="4" t="n">
        <v>3</v>
      </c>
      <c r="N75" s="4" t="inlineStr">
        <is>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is>
      </c>
      <c r="O75" s="4" t="n"/>
    </row>
    <row r="76" ht="124.2" customHeight="1">
      <c r="A76" s="4" t="inlineStr">
        <is>
          <t>US-012-006</t>
        </is>
      </c>
      <c r="B76" s="4" t="inlineStr">
        <is>
          <t>EP-012</t>
        </is>
      </c>
      <c r="C76" s="4" t="inlineStr">
        <is>
          <t>CI/CD quality gates</t>
        </is>
      </c>
      <c r="D76" s="4" t="inlineStr">
        <is>
          <t>Release Manager</t>
        </is>
      </c>
      <c r="E76" s="4" t="inlineStr">
        <is>
          <t>As a release manager, I want automated build, test and security gates so that defective releases are less likely to reach production.</t>
        </is>
      </c>
      <c r="F76" s="4" t="n">
        <v>4</v>
      </c>
      <c r="G76" s="4" t="n"/>
      <c r="H76" s="4" t="inlineStr">
        <is>
          <t>Claude (AI Engineer)</t>
        </is>
      </c>
      <c r="I76" s="4" t="inlineStr">
        <is>
          <t>Must Have</t>
        </is>
      </c>
      <c r="J76" s="4" t="inlineStr">
        <is>
          <t>MVP</t>
        </is>
      </c>
      <c r="K76" s="4" t="inlineStr">
        <is>
          <t>Week 1</t>
        </is>
      </c>
      <c r="L76" s="4" t="inlineStr">
        <is>
          <t>Done</t>
        </is>
      </c>
      <c r="M76" s="4" t="n">
        <v>3</v>
      </c>
      <c r="N76" s="4" t="inlineStr">
        <is>
          <t>GitHub Actions CI (lint, unit, e2e, both builds, both Docker images) is green on every push. A separate manual-trigger deploy workflow builds/pushes images and updates Azure Container Apps once repo secrets are configured (see DEPLOYMENT.md).</t>
        </is>
      </c>
      <c r="O76" s="4" t="n"/>
    </row>
  </sheetData>
  <conditionalFormatting sqref="L2:L76">
    <cfRule type="expression" priority="1" dxfId="13">
      <formula>L2="Done"</formula>
    </cfRule>
    <cfRule type="expression" priority="2" dxfId="12">
      <formula>L2="Blocked"</formula>
    </cfRule>
    <cfRule type="expression" priority="3" dxfId="16">
      <formula>L2="In Progress"</formula>
    </cfRule>
  </conditionalFormatting>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301"/>
  <sheetViews>
    <sheetView tabSelected="1" topLeftCell="I15" zoomScale="70" workbookViewId="0">
      <selection activeCell="K18" sqref="K18"/>
    </sheetView>
  </sheetViews>
  <sheetFormatPr baseColWidth="8" defaultRowHeight="13.8"/>
  <cols>
    <col width="17" customWidth="1" min="1" max="1"/>
    <col width="15" customWidth="1" min="2" max="2"/>
    <col width="12" customWidth="1" min="3" max="3"/>
    <col width="70" customWidth="1" min="4" max="4"/>
    <col width="16" customWidth="1" min="5" max="6"/>
    <col width="30" customWidth="1" min="7" max="7"/>
    <col width="14" customWidth="1" min="8" max="8"/>
    <col width="16" customWidth="1" min="9" max="10"/>
    <col width="255.3984375" customWidth="1" min="11" max="11"/>
  </cols>
  <sheetData>
    <row r="1" ht="24" customHeight="1">
      <c r="A1" s="1" t="inlineStr">
        <is>
          <t>AC ID</t>
        </is>
      </c>
      <c r="B1" s="2" t="inlineStr">
        <is>
          <t>Story ID</t>
        </is>
      </c>
      <c r="C1" s="2" t="inlineStr">
        <is>
          <t>Epic ID</t>
        </is>
      </c>
      <c r="D1" s="2" t="inlineStr">
        <is>
          <t>Acceptance Criterion</t>
        </is>
      </c>
      <c r="E1" s="2" t="inlineStr">
        <is>
          <t>Test Case ID</t>
        </is>
      </c>
      <c r="F1" s="2" t="inlineStr">
        <is>
          <t>Test Status</t>
        </is>
      </c>
      <c r="G1" s="2" t="inlineStr">
        <is>
          <t>Evidence / Link</t>
        </is>
      </c>
      <c r="H1" s="2" t="inlineStr">
        <is>
          <t>Defect ID</t>
        </is>
      </c>
      <c r="I1" s="2" t="inlineStr">
        <is>
          <t>Tester</t>
        </is>
      </c>
      <c r="J1" s="2" t="inlineStr">
        <is>
          <t>Test Cycle</t>
        </is>
      </c>
      <c r="K1" s="2" t="inlineStr">
        <is>
          <t>Comments</t>
        </is>
      </c>
    </row>
    <row r="2" ht="27.6" customHeight="1">
      <c r="A2" s="3" t="inlineStr">
        <is>
          <t>AC-001-001-01</t>
        </is>
      </c>
      <c r="B2" s="3" t="inlineStr">
        <is>
          <t>US-001-001</t>
        </is>
      </c>
      <c r="C2" s="3" t="inlineStr">
        <is>
          <t>EP-001</t>
        </is>
      </c>
      <c r="D2" s="3" t="inlineStr">
        <is>
          <t>Registration captures first name, surname, email, phone number and password.</t>
        </is>
      </c>
      <c r="E2" s="3" t="n"/>
      <c r="F2" s="3" t="inlineStr">
        <is>
          <t>Pass</t>
        </is>
      </c>
      <c r="G2" s="3" t="n"/>
      <c r="H2" s="3" t="n"/>
      <c r="I2" s="3" t="inlineStr">
        <is>
          <t>Claude (AI Engineer)</t>
        </is>
      </c>
      <c r="J2" s="3" t="inlineStr">
        <is>
          <t>SIT</t>
        </is>
      </c>
      <c r="K2" s="3" t="inlineStr">
        <is>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is>
      </c>
    </row>
    <row r="3" ht="27.6" customHeight="1">
      <c r="A3" s="3" t="inlineStr">
        <is>
          <t>AC-001-001-02</t>
        </is>
      </c>
      <c r="B3" s="3" t="inlineStr">
        <is>
          <t>US-001-001</t>
        </is>
      </c>
      <c r="C3" s="3" t="inlineStr">
        <is>
          <t>EP-001</t>
        </is>
      </c>
      <c r="D3" s="3" t="inlineStr">
        <is>
          <t>Email address must be unique and valid.</t>
        </is>
      </c>
      <c r="E3" s="3" t="n"/>
      <c r="F3" s="3" t="inlineStr">
        <is>
          <t>Pass</t>
        </is>
      </c>
      <c r="G3" s="3" t="n"/>
      <c r="H3" s="3" t="n"/>
      <c r="I3" s="3" t="inlineStr">
        <is>
          <t>Claude (AI Engineer)</t>
        </is>
      </c>
      <c r="J3" s="3" t="inlineStr">
        <is>
          <t>SIT</t>
        </is>
      </c>
      <c r="K3" s="3" t="inlineStr">
        <is>
          <t>Live test 2026-09-08: invalid email format (not-an-email) -&gt; 400 field error; duplicate email -&gt; 409 (existing e2e test). | Manually re-verified live in-browser on the deployed Azure app, 2026-09-09 (driven step-by-step, observed directly) - confirmed.</t>
        </is>
      </c>
    </row>
    <row r="4" ht="27.6" customHeight="1">
      <c r="A4" s="3" t="inlineStr">
        <is>
          <t>AC-001-001-03</t>
        </is>
      </c>
      <c r="B4" s="3" t="inlineStr">
        <is>
          <t>US-001-001</t>
        </is>
      </c>
      <c r="C4" s="3" t="inlineStr">
        <is>
          <t>EP-001</t>
        </is>
      </c>
      <c r="D4" s="3" t="inlineStr">
        <is>
          <t>Password must meet configured password policy.</t>
        </is>
      </c>
      <c r="E4" s="3" t="n"/>
      <c r="F4" s="3" t="inlineStr">
        <is>
          <t>Pass</t>
        </is>
      </c>
      <c r="G4" s="3" t="n"/>
      <c r="H4" s="3" t="n"/>
      <c r="I4" s="3" t="inlineStr">
        <is>
          <t>Claude (AI Engineer)</t>
        </is>
      </c>
      <c r="J4" s="3" t="inlineStr">
        <is>
          <t>SIT</t>
        </is>
      </c>
      <c r="K4" s="3" t="inlineStr">
        <is>
          <t>Live test 2026-09-08: POST /auth/register with password "weak" -&gt; 400, field errors listing the unmet policy rules. | Manually re-verified live in-browser on the deployed Azure app, 2026-09-09 (driven step-by-step, observed directly) - confirmed.</t>
        </is>
      </c>
    </row>
    <row r="5" ht="27.6" customHeight="1">
      <c r="A5" s="3" t="inlineStr">
        <is>
          <t>AC-001-001-04</t>
        </is>
      </c>
      <c r="B5" s="3" t="inlineStr">
        <is>
          <t>US-001-001</t>
        </is>
      </c>
      <c r="C5" s="3" t="inlineStr">
        <is>
          <t>EP-001</t>
        </is>
      </c>
      <c r="D5" s="3" t="inlineStr">
        <is>
          <t>Successful registration creates a user with the configured initial status (Pending or Active).</t>
        </is>
      </c>
      <c r="E5" s="3" t="n"/>
      <c r="F5" s="3" t="inlineStr">
        <is>
          <t>Pass</t>
        </is>
      </c>
      <c r="G5" s="3" t="n"/>
      <c r="H5" s="3" t="n"/>
      <c r="I5" s="3" t="inlineStr">
        <is>
          <t>Claude (AI Engineer)</t>
        </is>
      </c>
      <c r="J5" s="3" t="inlineStr">
        <is>
          <t>SIT</t>
        </is>
      </c>
      <c r="K5" s="3" t="inlineStr">
        <is>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is>
      </c>
    </row>
    <row r="6" ht="27.6" customHeight="1">
      <c r="A6" s="3" t="inlineStr">
        <is>
          <t>AC-001-002-01</t>
        </is>
      </c>
      <c r="B6" s="3" t="inlineStr">
        <is>
          <t>US-001-002</t>
        </is>
      </c>
      <c r="C6" s="3" t="inlineStr">
        <is>
          <t>EP-001</t>
        </is>
      </c>
      <c r="D6" s="3" t="inlineStr">
        <is>
          <t>Pending users are visible in an administrator queue.</t>
        </is>
      </c>
      <c r="E6" s="3" t="n"/>
      <c r="F6" s="3" t="inlineStr">
        <is>
          <t>Pass</t>
        </is>
      </c>
      <c r="G6" s="3" t="n"/>
      <c r="H6" s="3" t="n"/>
      <c r="I6" s="3" t="inlineStr">
        <is>
          <t>Claude (AI Engineer)</t>
        </is>
      </c>
      <c r="J6" s="3" t="inlineStr">
        <is>
          <t>SIT</t>
        </is>
      </c>
      <c r="K6" s="3" t="inlineStr">
        <is>
          <t>Existing e2e test: GET /users?status=PENDING returns exactly the newly-registered pending user. | Manually re-verified live in-browser on the deployed Azure app, 2026-09-09 (driven step-by-step, observed directly) - confirmed.</t>
        </is>
      </c>
    </row>
    <row r="7" ht="41.4" customHeight="1">
      <c r="A7" s="3" t="inlineStr">
        <is>
          <t>AC-001-002-02</t>
        </is>
      </c>
      <c r="B7" s="3" t="inlineStr">
        <is>
          <t>US-001-002</t>
        </is>
      </c>
      <c r="C7" s="3" t="inlineStr">
        <is>
          <t>EP-001</t>
        </is>
      </c>
      <c r="D7" s="3" t="inlineStr">
        <is>
          <t>Only authorised administrators can approve or reject.</t>
        </is>
      </c>
      <c r="E7" s="3" t="n"/>
      <c r="F7" s="3" t="inlineStr">
        <is>
          <t>Pass</t>
        </is>
      </c>
      <c r="G7" s="3" t="n"/>
      <c r="H7" s="3" t="n"/>
      <c r="I7" s="3" t="inlineStr">
        <is>
          <t>Claude (AI Engineer)</t>
        </is>
      </c>
      <c r="J7" s="3" t="inlineStr">
        <is>
          <t>SIT</t>
        </is>
      </c>
      <c r="K7" s="3" t="inlineStr">
        <is>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is>
      </c>
    </row>
    <row r="8" ht="27.6" customHeight="1">
      <c r="A8" s="3" t="inlineStr">
        <is>
          <t>AC-001-002-03</t>
        </is>
      </c>
      <c r="B8" s="3" t="inlineStr">
        <is>
          <t>US-001-002</t>
        </is>
      </c>
      <c r="C8" s="3" t="inlineStr">
        <is>
          <t>EP-001</t>
        </is>
      </c>
      <c r="D8" s="3" t="inlineStr">
        <is>
          <t>Approval activates the user and records approver/date.</t>
        </is>
      </c>
      <c r="E8" s="3" t="n"/>
      <c r="F8" s="3" t="inlineStr">
        <is>
          <t>Pass</t>
        </is>
      </c>
      <c r="G8" s="3" t="n"/>
      <c r="H8" s="3" t="n"/>
      <c r="I8" s="3" t="inlineStr">
        <is>
          <t>Claude (AI Engineer)</t>
        </is>
      </c>
      <c r="J8" s="3" t="inlineStr">
        <is>
          <t>SIT</t>
        </is>
      </c>
      <c r="K8" s="3" t="inlineStr">
        <is>
          <t>Live test 2026-09-08: admin approve response includes status=ACTIVE, approvedById=&lt;admin user id&gt;, approvedAt=&lt;real timestamp&gt;. | Manually re-verified live in-browser on the deployed Azure app, 2026-09-09 (driven step-by-step, observed directly) - confirmed.</t>
        </is>
      </c>
    </row>
    <row r="9" ht="27.6" customHeight="1">
      <c r="A9" s="3" t="inlineStr">
        <is>
          <t>AC-001-002-04</t>
        </is>
      </c>
      <c r="B9" s="3" t="inlineStr">
        <is>
          <t>US-001-002</t>
        </is>
      </c>
      <c r="C9" s="3" t="inlineStr">
        <is>
          <t>EP-001</t>
        </is>
      </c>
      <c r="D9" s="3" t="inlineStr">
        <is>
          <t>Rejected users cannot sign in unless later reactivated.</t>
        </is>
      </c>
      <c r="E9" s="3" t="n"/>
      <c r="F9" s="3" t="inlineStr">
        <is>
          <t>Pass</t>
        </is>
      </c>
      <c r="G9" s="3" t="n"/>
      <c r="H9" s="3" t="n"/>
      <c r="I9" s="3" t="inlineStr">
        <is>
          <t>Claude (AI Engineer)</t>
        </is>
      </c>
      <c r="J9" s="3" t="inlineStr">
        <is>
          <t>SIT</t>
        </is>
      </c>
      <c r="K9" s="3" t="inlineStr">
        <is>
          <t>Live test 2026-09-08: rejected user login -&gt; 401; after admin reactivation (status=ACTIVE) -&gt; 200. | Manually re-verified live in-browser on the deployed Azure app, 2026-09-09 (driven step-by-step, observed directly) - confirmed.</t>
        </is>
      </c>
    </row>
    <row r="10" ht="27.6" customHeight="1">
      <c r="A10" s="3" t="inlineStr">
        <is>
          <t>AC-001-003-01</t>
        </is>
      </c>
      <c r="B10" s="3" t="inlineStr">
        <is>
          <t>US-001-003</t>
        </is>
      </c>
      <c r="C10" s="3" t="inlineStr">
        <is>
          <t>EP-001</t>
        </is>
      </c>
      <c r="D10" s="3" t="inlineStr">
        <is>
          <t>Login accepts email and password.</t>
        </is>
      </c>
      <c r="E10" s="3" t="n"/>
      <c r="F10" s="3" t="inlineStr">
        <is>
          <t>Pass</t>
        </is>
      </c>
      <c r="G10" s="3" t="n"/>
      <c r="H10" s="3" t="n"/>
      <c r="I10" s="3" t="inlineStr">
        <is>
          <t>Claude (AI Engineer)</t>
        </is>
      </c>
      <c r="J10" s="3" t="inlineStr">
        <is>
          <t>SIT</t>
        </is>
      </c>
      <c r="K10" s="3" t="inlineStr">
        <is>
          <t>Live test 2026-09-08: POST /auth/login with email+password -&gt; 200 (also existing e2e coverage). | Manually re-verified live in-browser on the deployed Azure app, 2026-09-09 (driven step-by-step, observed directly) - confirmed.</t>
        </is>
      </c>
    </row>
    <row r="11" ht="27.6" customHeight="1">
      <c r="A11" s="3" t="inlineStr">
        <is>
          <t>AC-001-003-02</t>
        </is>
      </c>
      <c r="B11" s="3" t="inlineStr">
        <is>
          <t>US-001-003</t>
        </is>
      </c>
      <c r="C11" s="3" t="inlineStr">
        <is>
          <t>EP-001</t>
        </is>
      </c>
      <c r="D11" s="3" t="inlineStr">
        <is>
          <t>Invalid credentials return a generic error.</t>
        </is>
      </c>
      <c r="E11" s="3" t="n"/>
      <c r="F11" s="3" t="inlineStr">
        <is>
          <t>Pass</t>
        </is>
      </c>
      <c r="G11" s="3" t="n"/>
      <c r="H11" s="3" t="n"/>
      <c r="I11" s="3" t="inlineStr">
        <is>
          <t>Claude (AI Engineer)</t>
        </is>
      </c>
      <c r="J11" s="3" t="inlineStr">
        <is>
          <t>SIT</t>
        </is>
      </c>
      <c r="K11" s="3" t="inlineStr">
        <is>
          <t>Live test 2026-09-08: wrong-password and nonexistent-email logins return identical 401 "Invalid email or password" - no account-existence leak. | Manually re-verified live in-browser on the deployed Azure app, 2026-09-09 (driven step-by-step, observed directly) - confirmed.</t>
        </is>
      </c>
    </row>
    <row r="12" ht="27.6" customHeight="1">
      <c r="A12" s="3" t="inlineStr">
        <is>
          <t>AC-001-003-03</t>
        </is>
      </c>
      <c r="B12" s="3" t="inlineStr">
        <is>
          <t>US-001-003</t>
        </is>
      </c>
      <c r="C12" s="3" t="inlineStr">
        <is>
          <t>EP-001</t>
        </is>
      </c>
      <c r="D12" s="3" t="inlineStr">
        <is>
          <t>Successful login creates an authenticated session using secure cookies/tokens.</t>
        </is>
      </c>
      <c r="E12" s="3" t="n"/>
      <c r="F12" s="3" t="inlineStr">
        <is>
          <t>Pass</t>
        </is>
      </c>
      <c r="G12" s="3" t="n"/>
      <c r="H12" s="3" t="n"/>
      <c r="I12" s="3" t="inlineStr">
        <is>
          <t>Claude (AI Engineer)</t>
        </is>
      </c>
      <c r="J12" s="3" t="inlineStr">
        <is>
          <t>SIT</t>
        </is>
      </c>
      <c r="K12" s="3" t="inlineStr">
        <is>
          <t>Live test 2026-09-08: login Set-Cookie headers confirmed atms_access and atms_refresh both HttpOnly; Secure; SameSite=None. | Manually re-verified live in-browser on the deployed Azure app, 2026-09-09 (driven step-by-step, observed directly) - confirmed.</t>
        </is>
      </c>
    </row>
    <row r="13" ht="27.6" customHeight="1">
      <c r="A13" s="3" t="inlineStr">
        <is>
          <t>AC-001-003-04</t>
        </is>
      </c>
      <c r="B13" s="3" t="inlineStr">
        <is>
          <t>US-001-003</t>
        </is>
      </c>
      <c r="C13" s="3" t="inlineStr">
        <is>
          <t>EP-001</t>
        </is>
      </c>
      <c r="D13" s="3" t="inlineStr">
        <is>
          <t>Inactive, suspended or rejected accounts cannot access protected screens.</t>
        </is>
      </c>
      <c r="E13" s="3" t="n"/>
      <c r="F13" s="3" t="inlineStr">
        <is>
          <t>Pass</t>
        </is>
      </c>
      <c r="G13" s="3" t="n"/>
      <c r="H13" s="3" t="n"/>
      <c r="I13" s="3" t="inlineStr">
        <is>
          <t>Claude (AI Engineer)</t>
        </is>
      </c>
      <c r="J13" s="3" t="inlineStr">
        <is>
          <t>SIT</t>
        </is>
      </c>
      <c r="K13" s="3" t="inlineStr">
        <is>
          <t>Live test 2026-09-08: login attempt against a SUSPENDED account -&gt; 401 "Account is suspended" (existing e2e test covers PENDING specifically; this covers SUSPENDED). | Manually re-verified live in-browser on the deployed Azure app, 2026-09-09 (driven step-by-step, observed directly) - confirmed.</t>
        </is>
      </c>
    </row>
    <row r="14" ht="27.6" customHeight="1">
      <c r="A14" s="3" t="inlineStr">
        <is>
          <t>AC-001-004-01</t>
        </is>
      </c>
      <c r="B14" s="3" t="inlineStr">
        <is>
          <t>US-001-004</t>
        </is>
      </c>
      <c r="C14" s="3" t="inlineStr">
        <is>
          <t>EP-001</t>
        </is>
      </c>
      <c r="D14" s="3" t="inlineStr">
        <is>
          <t>Logout invalidates the active application session.</t>
        </is>
      </c>
      <c r="E14" s="3" t="n"/>
      <c r="F14" s="3" t="inlineStr">
        <is>
          <t>Pass</t>
        </is>
      </c>
      <c r="G14" s="3" t="n"/>
      <c r="H14" s="3" t="n"/>
      <c r="I14" s="3" t="inlineStr">
        <is>
          <t>Claude (AI Engineer)</t>
        </is>
      </c>
      <c r="J14" s="3" t="inlineStr">
        <is>
          <t>SIT</t>
        </is>
      </c>
      <c r="K14" s="3" t="inlineStr">
        <is>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is>
      </c>
    </row>
    <row r="15" ht="27.6" customHeight="1">
      <c r="A15" s="3" t="inlineStr">
        <is>
          <t>AC-001-004-02</t>
        </is>
      </c>
      <c r="B15" s="3" t="inlineStr">
        <is>
          <t>US-001-004</t>
        </is>
      </c>
      <c r="C15" s="3" t="inlineStr">
        <is>
          <t>EP-001</t>
        </is>
      </c>
      <c r="D15" s="3" t="inlineStr">
        <is>
          <t>Protected pages cannot be accessed after logout without re-authentication.</t>
        </is>
      </c>
      <c r="E15" s="3" t="n"/>
      <c r="F15" s="3" t="inlineStr">
        <is>
          <t>Pass</t>
        </is>
      </c>
      <c r="G15" s="3" t="n"/>
      <c r="H15" s="3" t="n"/>
      <c r="I15" s="3" t="inlineStr">
        <is>
          <t>Claude (AI Engineer)</t>
        </is>
      </c>
      <c r="J15" s="3" t="inlineStr">
        <is>
          <t>SIT</t>
        </is>
      </c>
      <c r="K15" s="3" t="inlineStr">
        <is>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is>
      </c>
    </row>
    <row r="16" ht="27.6" customHeight="1">
      <c r="A16" s="3" t="inlineStr">
        <is>
          <t>AC-001-004-03</t>
        </is>
      </c>
      <c r="B16" s="3" t="inlineStr">
        <is>
          <t>US-001-004</t>
        </is>
      </c>
      <c r="C16" s="3" t="inlineStr">
        <is>
          <t>EP-001</t>
        </is>
      </c>
      <c r="D16" s="3" t="inlineStr">
        <is>
          <t>Logout is available from the main navigation.</t>
        </is>
      </c>
      <c r="E16" s="3" t="n"/>
      <c r="F16" s="3" t="inlineStr">
        <is>
          <t>Pass</t>
        </is>
      </c>
      <c r="G16" s="3" t="n"/>
      <c r="H16" s="3" t="n"/>
      <c r="I16" s="3" t="inlineStr">
        <is>
          <t>Claude (AI Engineer)</t>
        </is>
      </c>
      <c r="J16" s="3" t="inlineStr">
        <is>
          <t>SIT</t>
        </is>
      </c>
      <c r="K16" s="3" t="inlineStr">
        <is>
          <t>Confirmed live: "Log out" button present in both desktop sidebar and mobile nav on every authenticated page. | Manually re-verified live in-browser on the deployed Azure app, 2026-09-09 (driven step-by-step, observed directly) - confirmed.</t>
        </is>
      </c>
    </row>
    <row r="17" ht="46.2" customHeight="1">
      <c r="A17" s="3" t="inlineStr">
        <is>
          <t>AC-001-004-04</t>
        </is>
      </c>
      <c r="B17" s="3" t="inlineStr">
        <is>
          <t>US-001-004</t>
        </is>
      </c>
      <c r="C17" s="3" t="inlineStr">
        <is>
          <t>EP-001</t>
        </is>
      </c>
      <c r="D17" s="3" t="inlineStr">
        <is>
          <t>Logout does not alter attendance or task timer records.</t>
        </is>
      </c>
      <c r="E17" s="3" t="n"/>
      <c r="F17" s="3" t="inlineStr">
        <is>
          <t>Pass</t>
        </is>
      </c>
      <c r="G17" s="3" t="n"/>
      <c r="H17" s="3" t="n"/>
      <c r="I17" s="3" t="inlineStr">
        <is>
          <t>Claude (AI Engineer)</t>
        </is>
      </c>
      <c r="J17" s="3" t="inlineStr">
        <is>
          <t>SIT</t>
        </is>
      </c>
      <c r="K17" s="3" t="inlineStr">
        <is>
          <t>Live test 2026-09-08: attendance session id, active timer id, and state identical before logout and after re-login. | Manually re-verified live in-browser on the deployed Azure app, 2026-09-09 (driven step-by-step, observed directly) - confirmed.</t>
        </is>
      </c>
    </row>
    <row r="18" ht="39.6" customHeight="1">
      <c r="A18" s="3" t="inlineStr">
        <is>
          <t>AC-001-005-01</t>
        </is>
      </c>
      <c r="B18" s="3" t="inlineStr">
        <is>
          <t>US-001-005</t>
        </is>
      </c>
      <c r="C18" s="3" t="inlineStr">
        <is>
          <t>EP-001</t>
        </is>
      </c>
      <c r="D18" s="3" t="inlineStr">
        <is>
          <t>User can submit an email address for reset.</t>
        </is>
      </c>
      <c r="E18" s="3" t="n"/>
      <c r="F18" s="3" t="inlineStr">
        <is>
          <t>Pass</t>
        </is>
      </c>
      <c r="G18" s="3" t="n"/>
      <c r="H18" s="3" t="n"/>
      <c r="I18" s="3" t="inlineStr">
        <is>
          <t>Claude (AI Engineer)</t>
        </is>
      </c>
      <c r="J18" s="3" t="inlineStr">
        <is>
          <t>SIT</t>
        </is>
      </c>
      <c r="K18" s="3" t="inlineStr">
        <is>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t>
        </is>
      </c>
    </row>
    <row r="19" ht="27.6" customHeight="1">
      <c r="A19" s="3" t="inlineStr">
        <is>
          <t>AC-001-005-02</t>
        </is>
      </c>
      <c r="B19" s="3" t="inlineStr">
        <is>
          <t>US-001-005</t>
        </is>
      </c>
      <c r="C19" s="3" t="inlineStr">
        <is>
          <t>EP-001</t>
        </is>
      </c>
      <c r="D19" s="3" t="inlineStr">
        <is>
          <t>Response does not reveal whether an account exists.</t>
        </is>
      </c>
      <c r="E19" s="3" t="n"/>
      <c r="F19" s="3" t="inlineStr">
        <is>
          <t>Pass</t>
        </is>
      </c>
      <c r="G19" s="3" t="n"/>
      <c r="H19" s="3" t="n"/>
      <c r="I19" s="3" t="inlineStr">
        <is>
          <t>Claude (AI Engineer)</t>
        </is>
      </c>
      <c r="J19" s="3" t="inlineStr">
        <is>
          <t>SIT</t>
        </is>
      </c>
      <c r="K19" s="3" t="inlineStr">
        <is>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is>
      </c>
    </row>
    <row r="20" ht="27.6" customHeight="1">
      <c r="A20" s="3" t="inlineStr">
        <is>
          <t>AC-001-005-03</t>
        </is>
      </c>
      <c r="B20" s="3" t="inlineStr">
        <is>
          <t>US-001-005</t>
        </is>
      </c>
      <c r="C20" s="3" t="inlineStr">
        <is>
          <t>EP-001</t>
        </is>
      </c>
      <c r="D20" s="3" t="inlineStr">
        <is>
          <t>Reset link/token expires after a configured period.</t>
        </is>
      </c>
      <c r="E20" s="3" t="n"/>
      <c r="F20" s="3" t="inlineStr">
        <is>
          <t>Pass</t>
        </is>
      </c>
      <c r="G20" s="3" t="n"/>
      <c r="H20" s="3" t="n"/>
      <c r="I20" s="3" t="inlineStr">
        <is>
          <t>Claude (AI Engineer)</t>
        </is>
      </c>
      <c r="J20" s="3" t="inlineStr">
        <is>
          <t>SIT</t>
        </is>
      </c>
      <c r="K20" s="3" t="inlineStr">
        <is>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is>
      </c>
    </row>
    <row r="21" ht="27.6" customHeight="1">
      <c r="A21" s="3" t="inlineStr">
        <is>
          <t>AC-001-005-04</t>
        </is>
      </c>
      <c r="B21" s="3" t="inlineStr">
        <is>
          <t>US-001-005</t>
        </is>
      </c>
      <c r="C21" s="3" t="inlineStr">
        <is>
          <t>EP-001</t>
        </is>
      </c>
      <c r="D21" s="3" t="inlineStr">
        <is>
          <t>A used or expired reset token cannot be reused.</t>
        </is>
      </c>
      <c r="E21" s="3" t="n"/>
      <c r="F21" s="3" t="inlineStr">
        <is>
          <t>Pass</t>
        </is>
      </c>
      <c r="G21" s="3" t="n"/>
      <c r="H21" s="3" t="n"/>
      <c r="I21" s="3" t="inlineStr">
        <is>
          <t>Claude (AI Engineer)</t>
        </is>
      </c>
      <c r="J21" s="3" t="inlineStr">
        <is>
          <t>SIT</t>
        </is>
      </c>
      <c r="K21" s="3" t="inlineStr">
        <is>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is>
      </c>
    </row>
    <row r="22" ht="27.6" customHeight="1">
      <c r="A22" s="3" t="inlineStr">
        <is>
          <t>AC-001-006-01</t>
        </is>
      </c>
      <c r="B22" s="3" t="inlineStr">
        <is>
          <t>US-001-006</t>
        </is>
      </c>
      <c r="C22" s="3" t="inlineStr">
        <is>
          <t>EP-001</t>
        </is>
      </c>
      <c r="D22" s="3" t="inlineStr">
        <is>
          <t>New password must satisfy password policy.</t>
        </is>
      </c>
      <c r="E22" s="3" t="n"/>
      <c r="F22" s="3" t="inlineStr">
        <is>
          <t>Pass</t>
        </is>
      </c>
      <c r="G22" s="3" t="n"/>
      <c r="H22" s="3" t="n"/>
      <c r="I22" s="3" t="inlineStr">
        <is>
          <t>Claude (AI Engineer)</t>
        </is>
      </c>
      <c r="J22" s="3" t="inlineStr">
        <is>
          <t>SIT</t>
        </is>
      </c>
      <c r="K22" s="3" t="inlineStr">
        <is>
          <t>Live test 2026-09-08: reset with a weak new password -&gt; 400 with the specific unmet policy rules. | Manually re-verified live 2026-09-09 (local dev, see AC-001-005-01 note): entered a weak new password on the actual reset-password page - UI showed 'Password must be at least 10 characters'.</t>
        </is>
      </c>
    </row>
    <row r="23" ht="27.6" customHeight="1">
      <c r="A23" s="3" t="inlineStr">
        <is>
          <t>AC-001-006-02</t>
        </is>
      </c>
      <c r="B23" s="3" t="inlineStr">
        <is>
          <t>US-001-006</t>
        </is>
      </c>
      <c r="C23" s="3" t="inlineStr">
        <is>
          <t>EP-001</t>
        </is>
      </c>
      <c r="D23" s="3" t="inlineStr">
        <is>
          <t>New and confirmation passwords must match.</t>
        </is>
      </c>
      <c r="E23" s="3" t="n"/>
      <c r="F23" s="3" t="inlineStr">
        <is>
          <t>Pass</t>
        </is>
      </c>
      <c r="G23" s="3" t="n"/>
      <c r="H23" s="3" t="n"/>
      <c r="I23" s="3" t="inlineStr">
        <is>
          <t>Claude (AI Engineer)</t>
        </is>
      </c>
      <c r="J23" s="3" t="inlineStr">
        <is>
          <t>SIT</t>
        </is>
      </c>
      <c r="K23" s="3" t="inlineStr">
        <is>
          <t>Live test 2026-09-08: reset with mismatched confirmPassword -&gt; 400 "Passwords do not match". | Manually re-verified live 2026-09-09 (local dev, see AC-001-005-01 note): entered mismatched new/confirm passwords on the actual reset-password page - UI showed 'Passwords do not match'.</t>
        </is>
      </c>
    </row>
    <row r="24" ht="27.6" customHeight="1">
      <c r="A24" s="3" t="inlineStr">
        <is>
          <t>AC-001-006-03</t>
        </is>
      </c>
      <c r="B24" s="3" t="inlineStr">
        <is>
          <t>US-001-006</t>
        </is>
      </c>
      <c r="C24" s="3" t="inlineStr">
        <is>
          <t>EP-001</t>
        </is>
      </c>
      <c r="D24" s="3" t="inlineStr">
        <is>
          <t>Successful reset invalidates the reset token.</t>
        </is>
      </c>
      <c r="E24" s="3" t="n"/>
      <c r="F24" s="3" t="inlineStr">
        <is>
          <t>Pass</t>
        </is>
      </c>
      <c r="G24" s="3" t="n"/>
      <c r="H24" s="3" t="n"/>
      <c r="I24" s="3" t="inlineStr">
        <is>
          <t>Claude (AI Engineer)</t>
        </is>
      </c>
      <c r="J24" s="3" t="inlineStr">
        <is>
          <t>SIT</t>
        </is>
      </c>
      <c r="K24" s="3" t="inlineStr">
        <is>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is>
      </c>
    </row>
    <row r="25" ht="27.6" customHeight="1">
      <c r="A25" s="3" t="inlineStr">
        <is>
          <t>AC-001-006-04</t>
        </is>
      </c>
      <c r="B25" s="3" t="inlineStr">
        <is>
          <t>US-001-006</t>
        </is>
      </c>
      <c r="C25" s="3" t="inlineStr">
        <is>
          <t>EP-001</t>
        </is>
      </c>
      <c r="D25" s="3" t="inlineStr">
        <is>
          <t>Existing sessions may be revoked according to security policy.</t>
        </is>
      </c>
      <c r="E25" s="3" t="n"/>
      <c r="F25" s="3" t="inlineStr">
        <is>
          <t>Pass</t>
        </is>
      </c>
      <c r="G25" s="3" t="n"/>
      <c r="H25" s="3" t="n"/>
      <c r="I25" s="3" t="inlineStr">
        <is>
          <t>Claude (AI Engineer)</t>
        </is>
      </c>
      <c r="J25" s="3" t="inlineStr">
        <is>
          <t>SIT</t>
        </is>
      </c>
      <c r="K25" s="3" t="inlineStr">
        <is>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is>
      </c>
    </row>
    <row r="26" ht="27.6" customHeight="1">
      <c r="A26" s="3" t="inlineStr">
        <is>
          <t>AC-001-007-01</t>
        </is>
      </c>
      <c r="B26" s="3" t="inlineStr">
        <is>
          <t>US-001-007</t>
        </is>
      </c>
      <c r="C26" s="3" t="inlineStr">
        <is>
          <t>EP-001</t>
        </is>
      </c>
      <c r="D26" s="3" t="inlineStr">
        <is>
          <t>Inactivity timeout is configurable.</t>
        </is>
      </c>
      <c r="E26" s="3" t="n"/>
      <c r="F26" s="3" t="inlineStr">
        <is>
          <t>Pass</t>
        </is>
      </c>
      <c r="G26" s="3" t="n"/>
      <c r="H26" s="3" t="n"/>
      <c r="I26" s="3" t="inlineStr">
        <is>
          <t>Claude (AI Engineer)</t>
        </is>
      </c>
      <c r="J26" s="3" t="inlineStr">
        <is>
          <t>SIT</t>
        </is>
      </c>
      <c r="K26" s="3" t="inlineStr">
        <is>
          <t>Verified by e2e test: threshold is read from AppSettings.sessionInactivityTimeoutMinutes, confirmed configurable. | Manually re-verified live in-browser on the deployed Azure app, 2026-09-09 (driven step-by-step, observed directly) - confirmed.</t>
        </is>
      </c>
    </row>
    <row r="27" ht="27.6" customHeight="1">
      <c r="A27" s="3" t="inlineStr">
        <is>
          <t>AC-001-007-02</t>
        </is>
      </c>
      <c r="B27" s="3" t="inlineStr">
        <is>
          <t>US-001-007</t>
        </is>
      </c>
      <c r="C27" s="3" t="inlineStr">
        <is>
          <t>EP-001</t>
        </is>
      </c>
      <c r="D27" s="3" t="inlineStr">
        <is>
          <t>Expired sessions require login again.</t>
        </is>
      </c>
      <c r="E27" s="3" t="n"/>
      <c r="F27" s="3" t="inlineStr">
        <is>
          <t>Pass</t>
        </is>
      </c>
      <c r="G27" s="3" t="n"/>
      <c r="H27" s="3" t="n"/>
      <c r="I27" s="3" t="inlineStr">
        <is>
          <t>Claude (AI Engineer)</t>
        </is>
      </c>
      <c r="J27" s="3" t="inlineStr">
        <is>
          <t>SIT</t>
        </is>
      </c>
      <c r="K27" s="3" t="inlineStr">
        <is>
          <t>Verified by e2e test: expired-by-inactivity refresh token is rejected with 401. | Manually re-verified live in-browser on the deployed Azure app, 2026-09-09 (driven step-by-step, observed directly) - confirmed.</t>
        </is>
      </c>
    </row>
    <row r="28" ht="27.6" customHeight="1">
      <c r="A28" s="3" t="inlineStr">
        <is>
          <t>AC-001-007-03</t>
        </is>
      </c>
      <c r="B28" s="3" t="inlineStr">
        <is>
          <t>US-001-007</t>
        </is>
      </c>
      <c r="C28" s="3" t="inlineStr">
        <is>
          <t>EP-001</t>
        </is>
      </c>
      <c r="D28" s="3" t="inlineStr">
        <is>
          <t>Session expiry does not stop or modify authoritative attendance/task records.</t>
        </is>
      </c>
      <c r="E28" s="3" t="n"/>
      <c r="F28" s="3" t="inlineStr">
        <is>
          <t>Pass</t>
        </is>
      </c>
      <c r="G28" s="3" t="n"/>
      <c r="H28" s="3" t="n"/>
      <c r="I28" s="3" t="inlineStr">
        <is>
          <t>Claude (AI Engineer)</t>
        </is>
      </c>
      <c r="J28" s="3" t="inlineStr">
        <is>
          <t>SIT</t>
        </is>
      </c>
      <c r="K28" s="3" t="inlineStr">
        <is>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is>
      </c>
    </row>
    <row r="29" ht="55.2" customHeight="1">
      <c r="A29" s="3" t="inlineStr">
        <is>
          <t>AC-001-007-04</t>
        </is>
      </c>
      <c r="B29" s="3" t="inlineStr">
        <is>
          <t>US-001-007</t>
        </is>
      </c>
      <c r="C29" s="3" t="inlineStr">
        <is>
          <t>EP-001</t>
        </is>
      </c>
      <c r="D29" s="3" t="inlineStr">
        <is>
          <t>User receives a clear expired-session message.</t>
        </is>
      </c>
      <c r="E29" s="3" t="n"/>
      <c r="F29" s="3" t="inlineStr">
        <is>
          <t>Pass</t>
        </is>
      </c>
      <c r="G29" s="3" t="n"/>
      <c r="H29" s="3" t="n"/>
      <c r="I29" s="3" t="inlineStr">
        <is>
          <t>Claude (AI Engineer)</t>
        </is>
      </c>
      <c r="J29" s="3" t="inlineStr">
        <is>
          <t>SIT</t>
        </is>
      </c>
      <c r="K29" s="3" t="inlineStr">
        <is>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is>
      </c>
    </row>
    <row r="30" ht="27.6" customHeight="1">
      <c r="A30" s="3" t="inlineStr">
        <is>
          <t>AC-002-001-01</t>
        </is>
      </c>
      <c r="B30" s="3" t="inlineStr">
        <is>
          <t>US-002-001</t>
        </is>
      </c>
      <c r="C30" s="3" t="inlineStr">
        <is>
          <t>EP-002</t>
        </is>
      </c>
      <c r="D30" s="3" t="inlineStr">
        <is>
          <t>Administrator can enter required identity/contact fields.</t>
        </is>
      </c>
      <c r="E30" s="3" t="n"/>
      <c r="F30" s="3" t="inlineStr">
        <is>
          <t>Pass</t>
        </is>
      </c>
      <c r="G30" s="3" t="n"/>
      <c r="H30" s="3" t="n"/>
      <c r="I30" s="3" t="inlineStr">
        <is>
          <t>Claude (AI Engineer)</t>
        </is>
      </c>
      <c r="J30" s="3" t="inlineStr">
        <is>
          <t>SIT</t>
        </is>
      </c>
      <c r="K30" s="3" t="inlineStr">
        <is>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is>
      </c>
    </row>
    <row r="31" ht="27.6" customHeight="1">
      <c r="A31" s="3" t="inlineStr">
        <is>
          <t>AC-002-001-02</t>
        </is>
      </c>
      <c r="B31" s="3" t="inlineStr">
        <is>
          <t>US-002-001</t>
        </is>
      </c>
      <c r="C31" s="3" t="inlineStr">
        <is>
          <t>EP-002</t>
        </is>
      </c>
      <c r="D31" s="3" t="inlineStr">
        <is>
          <t>Email uniqueness is enforced.</t>
        </is>
      </c>
      <c r="E31" s="3" t="n"/>
      <c r="F31" s="3" t="inlineStr">
        <is>
          <t>Pass</t>
        </is>
      </c>
      <c r="G31" s="3" t="n"/>
      <c r="H31" s="3" t="n"/>
      <c r="I31" s="3" t="inlineStr">
        <is>
          <t>Claude (AI Engineer)</t>
        </is>
      </c>
      <c r="J31" s="3" t="inlineStr">
        <is>
          <t>SIT</t>
        </is>
      </c>
      <c r="K31" s="3" t="inlineStr">
        <is>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is>
      </c>
    </row>
    <row r="32" ht="27.6" customHeight="1">
      <c r="A32" s="3" t="inlineStr">
        <is>
          <t>AC-002-001-03</t>
        </is>
      </c>
      <c r="B32" s="3" t="inlineStr">
        <is>
          <t>US-002-001</t>
        </is>
      </c>
      <c r="C32" s="3" t="inlineStr">
        <is>
          <t>EP-002</t>
        </is>
      </c>
      <c r="D32" s="3" t="inlineStr">
        <is>
          <t>Role and department can be assigned.</t>
        </is>
      </c>
      <c r="E32" s="3" t="n"/>
      <c r="F32" s="3" t="inlineStr">
        <is>
          <t>Pass</t>
        </is>
      </c>
      <c r="G32" s="3" t="n"/>
      <c r="H32" s="3" t="n"/>
      <c r="I32" s="3" t="inlineStr">
        <is>
          <t>Claude (AI Engineer)</t>
        </is>
      </c>
      <c r="J32" s="3" t="inlineStr">
        <is>
          <t>SIT</t>
        </is>
      </c>
      <c r="K32" s="3" t="inlineStr">
        <is>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is>
      </c>
    </row>
    <row r="33" ht="27.6" customHeight="1">
      <c r="A33" s="3" t="inlineStr">
        <is>
          <t>AC-002-001-04</t>
        </is>
      </c>
      <c r="B33" s="3" t="inlineStr">
        <is>
          <t>US-002-001</t>
        </is>
      </c>
      <c r="C33" s="3" t="inlineStr">
        <is>
          <t>EP-002</t>
        </is>
      </c>
      <c r="D33" s="3" t="inlineStr">
        <is>
          <t>Creation is audited.</t>
        </is>
      </c>
      <c r="E33" s="3" t="n"/>
      <c r="F33" s="3" t="inlineStr">
        <is>
          <t>Pass</t>
        </is>
      </c>
      <c r="G33" s="3" t="n"/>
      <c r="H33" s="3" t="n"/>
      <c r="I33" s="3" t="inlineStr">
        <is>
          <t>Claude (AI Engineer)</t>
        </is>
      </c>
      <c r="J33" s="3" t="inlineStr">
        <is>
          <t>SIT</t>
        </is>
      </c>
      <c r="K33" s="3" t="inlineStr">
        <is>
          <t>Live test 2026-09-08: GET /audit contains a USER_CREATED entry with the new user's id as targetId. | PASS - manually re-verified live: audit log shows USER_CREATED with actor 'System Administrator' and the real timestamp immediately after creating a user through the UI.</t>
        </is>
      </c>
    </row>
    <row r="34" ht="27.6" customHeight="1">
      <c r="A34" s="3" t="inlineStr">
        <is>
          <t>AC-002-002-01</t>
        </is>
      </c>
      <c r="B34" s="3" t="inlineStr">
        <is>
          <t>US-002-002</t>
        </is>
      </c>
      <c r="C34" s="3" t="inlineStr">
        <is>
          <t>EP-002</t>
        </is>
      </c>
      <c r="D34" s="3" t="inlineStr">
        <is>
          <t>Administrator can edit permitted profile fields.</t>
        </is>
      </c>
      <c r="E34" s="3" t="n"/>
      <c r="F34" s="3" t="inlineStr">
        <is>
          <t>Pass</t>
        </is>
      </c>
      <c r="G34" s="3" t="n"/>
      <c r="H34" s="3" t="n"/>
      <c r="I34" s="3" t="inlineStr">
        <is>
          <t>Claude (AI Engineer)</t>
        </is>
      </c>
      <c r="J34" s="3" t="inlineStr">
        <is>
          <t>SIT</t>
        </is>
      </c>
      <c r="K34" s="3" t="inlineStr">
        <is>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is>
      </c>
    </row>
    <row r="35" ht="27.6" customHeight="1">
      <c r="A35" s="3" t="inlineStr">
        <is>
          <t>AC-002-002-02</t>
        </is>
      </c>
      <c r="B35" s="3" t="inlineStr">
        <is>
          <t>US-002-002</t>
        </is>
      </c>
      <c r="C35" s="3" t="inlineStr">
        <is>
          <t>EP-002</t>
        </is>
      </c>
      <c r="D35" s="3" t="inlineStr">
        <is>
          <t>Email change is validated for uniqueness.</t>
        </is>
      </c>
      <c r="E35" s="3" t="n"/>
      <c r="F35" s="3" t="inlineStr">
        <is>
          <t>Pass</t>
        </is>
      </c>
      <c r="G35" s="3" t="n"/>
      <c r="H35" s="3" t="n"/>
      <c r="I35" s="3" t="inlineStr">
        <is>
          <t>Claude (AI Engineer)</t>
        </is>
      </c>
      <c r="J35" s="3" t="inlineStr">
        <is>
          <t>SIT</t>
        </is>
      </c>
      <c r="K35" s="3" t="inlineStr">
        <is>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is>
      </c>
    </row>
    <row r="36" ht="27.6" customHeight="1">
      <c r="A36" s="3" t="inlineStr">
        <is>
          <t>AC-002-002-03</t>
        </is>
      </c>
      <c r="B36" s="3" t="inlineStr">
        <is>
          <t>US-002-002</t>
        </is>
      </c>
      <c r="C36" s="3" t="inlineStr">
        <is>
          <t>EP-002</t>
        </is>
      </c>
      <c r="D36" s="3" t="inlineStr">
        <is>
          <t>Changes do not rewrite historical attendance ownership.</t>
        </is>
      </c>
      <c r="E36" s="3" t="n"/>
      <c r="F36" s="3" t="inlineStr">
        <is>
          <t>Pass</t>
        </is>
      </c>
      <c r="G36" s="3" t="n"/>
      <c r="H36" s="3" t="n"/>
      <c r="I36" s="3" t="inlineStr">
        <is>
          <t>Claude (AI Engineer)</t>
        </is>
      </c>
      <c r="J36" s="3" t="inlineStr">
        <is>
          <t>SIT</t>
        </is>
      </c>
      <c r="K36" s="3" t="inlineStr">
        <is>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is>
      </c>
    </row>
    <row r="37" ht="27.6" customHeight="1">
      <c r="A37" s="3" t="inlineStr">
        <is>
          <t>AC-002-002-04</t>
        </is>
      </c>
      <c r="B37" s="3" t="inlineStr">
        <is>
          <t>US-002-002</t>
        </is>
      </c>
      <c r="C37" s="3" t="inlineStr">
        <is>
          <t>EP-002</t>
        </is>
      </c>
      <c r="D37" s="3" t="inlineStr">
        <is>
          <t>Material changes are audited.</t>
        </is>
      </c>
      <c r="E37" s="3" t="n"/>
      <c r="F37" s="3" t="inlineStr">
        <is>
          <t>Pass</t>
        </is>
      </c>
      <c r="G37" s="3" t="n"/>
      <c r="H37" s="3" t="n"/>
      <c r="I37" s="3" t="inlineStr">
        <is>
          <t>Claude (AI Engineer)</t>
        </is>
      </c>
      <c r="J37" s="3" t="inlineStr">
        <is>
          <t>SIT</t>
        </is>
      </c>
      <c r="K37" s="3" t="inlineStr">
        <is>
          <t>Live test 2026-09-08: GET /audit contains a USER_UPDATED entry for the edited user. | PASS - manually re-verified live: audit log shows USER_UPDATED (before/after diff) for edits made through the new User Detail screen.</t>
        </is>
      </c>
    </row>
    <row r="38" ht="27.6" customHeight="1">
      <c r="A38" s="3" t="inlineStr">
        <is>
          <t>AC-002-003-01</t>
        </is>
      </c>
      <c r="B38" s="3" t="inlineStr">
        <is>
          <t>US-002-003</t>
        </is>
      </c>
      <c r="C38" s="3" t="inlineStr">
        <is>
          <t>EP-002</t>
        </is>
      </c>
      <c r="D38" s="3" t="inlineStr">
        <is>
          <t>User can edit permitted fields such as phone number.</t>
        </is>
      </c>
      <c r="E38" s="3" t="n"/>
      <c r="F38" s="3" t="inlineStr">
        <is>
          <t>Pass</t>
        </is>
      </c>
      <c r="G38" s="3" t="n"/>
      <c r="H38" s="3" t="n"/>
      <c r="I38" s="3" t="inlineStr">
        <is>
          <t>Claude (AI Engineer)</t>
        </is>
      </c>
      <c r="J38" s="3" t="inlineStr">
        <is>
          <t>SIT</t>
        </is>
      </c>
      <c r="K38" s="3" t="inlineStr">
        <is>
          <t>Live test 2026-09-08: self PATCH /users/me {phoneNumber} -&gt; 200, updated. | PASS - manually re-verified live in-browser: /profile shows editable First name/Surname/Phone number fields.</t>
        </is>
      </c>
    </row>
    <row r="39" ht="27.6" customHeight="1">
      <c r="A39" s="3" t="inlineStr">
        <is>
          <t>AC-002-003-02</t>
        </is>
      </c>
      <c r="B39" s="3" t="inlineStr">
        <is>
          <t>US-002-003</t>
        </is>
      </c>
      <c r="C39" s="3" t="inlineStr">
        <is>
          <t>EP-002</t>
        </is>
      </c>
      <c r="D39" s="3" t="inlineStr">
        <is>
          <t>Restricted fields such as role cannot be self-edited.</t>
        </is>
      </c>
      <c r="E39" s="3" t="n"/>
      <c r="F39" s="3" t="inlineStr">
        <is>
          <t>Pass</t>
        </is>
      </c>
      <c r="G39" s="3" t="n"/>
      <c r="H39" s="3" t="n"/>
      <c r="I39" s="3" t="inlineStr">
        <is>
          <t>Claude (AI Engineer)</t>
        </is>
      </c>
      <c r="J39" s="3" t="inlineStr">
        <is>
          <t>SIT</t>
        </is>
      </c>
      <c r="K39" s="3" t="inlineStr">
        <is>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is>
      </c>
    </row>
    <row r="40" ht="27.6" customHeight="1">
      <c r="A40" s="3" t="inlineStr">
        <is>
          <t>AC-002-003-03</t>
        </is>
      </c>
      <c r="B40" s="3" t="inlineStr">
        <is>
          <t>US-002-003</t>
        </is>
      </c>
      <c r="C40" s="3" t="inlineStr">
        <is>
          <t>EP-002</t>
        </is>
      </c>
      <c r="D40" s="3" t="inlineStr">
        <is>
          <t>Validation is applied before save.</t>
        </is>
      </c>
      <c r="E40" s="3" t="n"/>
      <c r="F40" s="3" t="inlineStr">
        <is>
          <t>Pass</t>
        </is>
      </c>
      <c r="G40" s="3" t="n"/>
      <c r="H40" s="3" t="n"/>
      <c r="I40" s="3" t="inlineStr">
        <is>
          <t>Claude (AI Engineer)</t>
        </is>
      </c>
      <c r="J40" s="3" t="inlineStr">
        <is>
          <t>SIT</t>
        </is>
      </c>
      <c r="K40" s="3" t="inlineStr">
        <is>
          <t>Live test 2026-09-08: self PATCH /users/me with firstName= -&gt; 400 validation error. | PASS - manually re-verified live: PATCH /users/me with an empty phoneNumber returns 400 'String must contain at least 1 character(s)' - validated server-side before save.</t>
        </is>
      </c>
    </row>
    <row r="41" ht="27.6" customHeight="1">
      <c r="A41" s="3" t="inlineStr">
        <is>
          <t>AC-002-003-04</t>
        </is>
      </c>
      <c r="B41" s="3" t="inlineStr">
        <is>
          <t>US-002-003</t>
        </is>
      </c>
      <c r="C41" s="3" t="inlineStr">
        <is>
          <t>EP-002</t>
        </is>
      </c>
      <c r="D41" s="3" t="inlineStr">
        <is>
          <t>Successful update is immediately visible.</t>
        </is>
      </c>
      <c r="E41" s="3" t="n"/>
      <c r="F41" s="3" t="inlineStr">
        <is>
          <t>Pass</t>
        </is>
      </c>
      <c r="G41" s="3" t="n"/>
      <c r="H41" s="3" t="n"/>
      <c r="I41" s="3" t="inlineStr">
        <is>
          <t>Claude (AI Engineer)</t>
        </is>
      </c>
      <c r="J41" s="3" t="inlineStr">
        <is>
          <t>SIT</t>
        </is>
      </c>
      <c r="K41" s="3" t="inlineStr">
        <is>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is>
      </c>
    </row>
    <row r="42" ht="27.6" customHeight="1">
      <c r="A42" s="3" t="inlineStr">
        <is>
          <t>AC-002-004-01</t>
        </is>
      </c>
      <c r="B42" s="3" t="inlineStr">
        <is>
          <t>US-002-004</t>
        </is>
      </c>
      <c r="C42" s="3" t="inlineStr">
        <is>
          <t>EP-002</t>
        </is>
      </c>
      <c r="D42" s="3" t="inlineStr">
        <is>
          <t>At minimum Employee and Administrator roles exist.</t>
        </is>
      </c>
      <c r="E42" s="3" t="n"/>
      <c r="F42" s="3" t="inlineStr">
        <is>
          <t>Pass</t>
        </is>
      </c>
      <c r="G42" s="3" t="n"/>
      <c r="H42" s="3" t="n"/>
      <c r="I42" s="3" t="inlineStr">
        <is>
          <t>Claude (AI Engineer)</t>
        </is>
      </c>
      <c r="J42" s="3" t="inlineStr">
        <is>
          <t>SIT</t>
        </is>
      </c>
      <c r="K42" s="3" t="inlineStr">
        <is>
          <t>Structural: UserRole enum defines EMPLOYEE and ADMINISTRATOR; both used and exercised extensively throughout this session. | PASS - confirmed live: the Role selector on both the user list and the new User Detail screen offers exactly EMPLOYEE and ADMINISTRATOR.</t>
        </is>
      </c>
    </row>
    <row r="43" ht="27.6" customHeight="1">
      <c r="A43" s="3" t="inlineStr">
        <is>
          <t>AC-002-004-02</t>
        </is>
      </c>
      <c r="B43" s="3" t="inlineStr">
        <is>
          <t>US-002-004</t>
        </is>
      </c>
      <c r="C43" s="3" t="inlineStr">
        <is>
          <t>EP-002</t>
        </is>
      </c>
      <c r="D43" s="3" t="inlineStr">
        <is>
          <t>Role changes require administrator permission.</t>
        </is>
      </c>
      <c r="E43" s="3" t="n"/>
      <c r="F43" s="3" t="inlineStr">
        <is>
          <t>Pass</t>
        </is>
      </c>
      <c r="G43" s="3" t="n"/>
      <c r="H43" s="3" t="n"/>
      <c r="I43" s="3" t="inlineStr">
        <is>
          <t>Claude (AI Engineer)</t>
        </is>
      </c>
      <c r="J43" s="3" t="inlineStr">
        <is>
          <t>SIT</t>
        </is>
      </c>
      <c r="K43" s="3" t="inlineStr">
        <is>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is>
      </c>
    </row>
    <row r="44" ht="27.6" customHeight="1">
      <c r="A44" s="3" t="inlineStr">
        <is>
          <t>AC-002-004-03</t>
        </is>
      </c>
      <c r="B44" s="3" t="inlineStr">
        <is>
          <t>US-002-004</t>
        </is>
      </c>
      <c r="C44" s="3" t="inlineStr">
        <is>
          <t>EP-002</t>
        </is>
      </c>
      <c r="D44" s="3" t="inlineStr">
        <is>
          <t>New permissions apply to subsequent requests.</t>
        </is>
      </c>
      <c r="E44" s="3" t="n"/>
      <c r="F44" s="3" t="inlineStr">
        <is>
          <t>Pass</t>
        </is>
      </c>
      <c r="G44" s="3" t="n"/>
      <c r="H44" s="3" t="n"/>
      <c r="I44" s="3" t="inlineStr">
        <is>
          <t>Claude (AI Engineer)</t>
        </is>
      </c>
      <c r="J44" s="3" t="inlineStr">
        <is>
          <t>SIT</t>
        </is>
      </c>
      <c r="K44" s="3" t="inlineStr">
        <is>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is>
      </c>
    </row>
    <row r="45" ht="27.6" customHeight="1">
      <c r="A45" s="3" t="inlineStr">
        <is>
          <t>AC-002-004-04</t>
        </is>
      </c>
      <c r="B45" s="3" t="inlineStr">
        <is>
          <t>US-002-004</t>
        </is>
      </c>
      <c r="C45" s="3" t="inlineStr">
        <is>
          <t>EP-002</t>
        </is>
      </c>
      <c r="D45" s="3" t="inlineStr">
        <is>
          <t>Role changes are audited.</t>
        </is>
      </c>
      <c r="E45" s="3" t="n"/>
      <c r="F45" s="3" t="inlineStr">
        <is>
          <t>Pass</t>
        </is>
      </c>
      <c r="G45" s="3" t="n"/>
      <c r="H45" s="3" t="n"/>
      <c r="I45" s="3" t="inlineStr">
        <is>
          <t>Claude (AI Engineer)</t>
        </is>
      </c>
      <c r="J45" s="3" t="inlineStr">
        <is>
          <t>SIT</t>
        </is>
      </c>
      <c r="K45" s="3" t="inlineStr">
        <is>
          <t>Live test 2026-09-08: GET /audit contains a USER_ROLE_CHANGED entry for the promoted user. | PASS - confirmed via audit log: USER_ROLE_CHANGED entries carry before/after role and the acting administrator.</t>
        </is>
      </c>
    </row>
    <row r="46" ht="27.6" customHeight="1">
      <c r="A46" s="3" t="inlineStr">
        <is>
          <t>AC-002-005-01</t>
        </is>
      </c>
      <c r="B46" s="3" t="inlineStr">
        <is>
          <t>US-002-005</t>
        </is>
      </c>
      <c r="C46" s="3" t="inlineStr">
        <is>
          <t>EP-002</t>
        </is>
      </c>
      <c r="D46" s="3" t="inlineStr">
        <is>
          <t>Administrator can set Active, Suspended or Inactive.</t>
        </is>
      </c>
      <c r="E46" s="3" t="n"/>
      <c r="F46" s="3" t="inlineStr">
        <is>
          <t>Pass</t>
        </is>
      </c>
      <c r="G46" s="3" t="n"/>
      <c r="H46" s="3" t="n"/>
      <c r="I46" s="3" t="inlineStr">
        <is>
          <t>Claude (AI Engineer)</t>
        </is>
      </c>
      <c r="J46" s="3" t="inlineStr">
        <is>
          <t>SIT</t>
        </is>
      </c>
      <c r="K46" s="3" t="inlineStr">
        <is>
          <t>Live test 2026-09-08: admin PATCH status=SUSPENDED -&gt; 200, status updated. | PASS - manually re-verified live: Status selector on the user list and User Detail screen offers PENDING/ACTIVE/SUSPENDED/INACTIVE/REJECTED, and setting it live-updates the badge immediately.</t>
        </is>
      </c>
    </row>
    <row r="47" ht="27.6" customHeight="1">
      <c r="A47" s="3" t="inlineStr">
        <is>
          <t>AC-002-005-02</t>
        </is>
      </c>
      <c r="B47" s="3" t="inlineStr">
        <is>
          <t>US-002-005</t>
        </is>
      </c>
      <c r="C47" s="3" t="inlineStr">
        <is>
          <t>EP-002</t>
        </is>
      </c>
      <c r="D47" s="3" t="inlineStr">
        <is>
          <t>Suspended/inactive users cannot create new attendance or task events.</t>
        </is>
      </c>
      <c r="E47" s="3" t="n"/>
      <c r="F47" s="3" t="inlineStr">
        <is>
          <t>Pass</t>
        </is>
      </c>
      <c r="G47" s="3" t="n"/>
      <c r="H47" s="3" t="n"/>
      <c r="I47" s="3" t="inlineStr">
        <is>
          <t>Claude (AI Engineer)</t>
        </is>
      </c>
      <c r="J47" s="3" t="inlineStr">
        <is>
          <t>SIT</t>
        </is>
      </c>
      <c r="K47" s="3" t="inlineStr">
        <is>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is>
      </c>
    </row>
    <row r="48" ht="27.6" customHeight="1">
      <c r="A48" s="3" t="inlineStr">
        <is>
          <t>AC-002-005-03</t>
        </is>
      </c>
      <c r="B48" s="3" t="inlineStr">
        <is>
          <t>US-002-005</t>
        </is>
      </c>
      <c r="C48" s="3" t="inlineStr">
        <is>
          <t>EP-002</t>
        </is>
      </c>
      <c r="D48" s="3" t="inlineStr">
        <is>
          <t>Historical records remain available to authorised administrators.</t>
        </is>
      </c>
      <c r="E48" s="3" t="n"/>
      <c r="F48" s="3" t="inlineStr">
        <is>
          <t>Pass</t>
        </is>
      </c>
      <c r="G48" s="3" t="n"/>
      <c r="H48" s="3" t="n"/>
      <c r="I48" s="3" t="inlineStr">
        <is>
          <t>Claude (AI Engineer)</t>
        </is>
      </c>
      <c r="J48" s="3" t="inlineStr">
        <is>
          <t>SIT</t>
        </is>
      </c>
      <c r="K48" s="3" t="inlineStr">
        <is>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is>
      </c>
    </row>
    <row r="49" ht="27.6" customHeight="1">
      <c r="A49" s="3" t="inlineStr">
        <is>
          <t>AC-002-005-04</t>
        </is>
      </c>
      <c r="B49" s="3" t="inlineStr">
        <is>
          <t>US-002-005</t>
        </is>
      </c>
      <c r="C49" s="3" t="inlineStr">
        <is>
          <t>EP-002</t>
        </is>
      </c>
      <c r="D49" s="3" t="inlineStr">
        <is>
          <t>Status changes are audited with actor and time.</t>
        </is>
      </c>
      <c r="E49" s="3" t="n"/>
      <c r="F49" s="3" t="inlineStr">
        <is>
          <t>Pass</t>
        </is>
      </c>
      <c r="G49" s="3" t="n"/>
      <c r="H49" s="3" t="n"/>
      <c r="I49" s="3" t="inlineStr">
        <is>
          <t>Claude (AI Engineer)</t>
        </is>
      </c>
      <c r="J49" s="3" t="inlineStr">
        <is>
          <t>SIT</t>
        </is>
      </c>
      <c r="K49" s="3" t="inlineStr">
        <is>
          <t>Live test 2026-09-08: audit entry for the status change carries a real actorId and createdAt timestamp. | PASS - confirmed via audit log: USER_STATUS_CHANGED entries carry before/after status and the acting administrator, with a real timestamp.</t>
        </is>
      </c>
    </row>
    <row r="50" ht="27.6" customHeight="1">
      <c r="A50" s="3" t="inlineStr">
        <is>
          <t>AC-002-006-01</t>
        </is>
      </c>
      <c r="B50" s="3" t="inlineStr">
        <is>
          <t>US-002-006</t>
        </is>
      </c>
      <c r="C50" s="3" t="inlineStr">
        <is>
          <t>EP-002</t>
        </is>
      </c>
      <c r="D50" s="3" t="inlineStr">
        <is>
          <t>Employee number can be configured as unique if used.</t>
        </is>
      </c>
      <c r="E50" s="3" t="n"/>
      <c r="F50" s="3" t="inlineStr">
        <is>
          <t>Pass</t>
        </is>
      </c>
      <c r="G50" s="3" t="n"/>
      <c r="H50" s="3" t="n"/>
      <c r="I50" s="3" t="inlineStr">
        <is>
          <t>Claude (AI Engineer)</t>
        </is>
      </c>
      <c r="J50" s="3" t="inlineStr">
        <is>
          <t>SIT</t>
        </is>
      </c>
      <c r="K50" s="3" t="inlineStr">
        <is>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is>
      </c>
    </row>
    <row r="51" ht="27.6" customHeight="1">
      <c r="A51" s="3" t="inlineStr">
        <is>
          <t>AC-002-006-02</t>
        </is>
      </c>
      <c r="B51" s="3" t="inlineStr">
        <is>
          <t>US-002-006</t>
        </is>
      </c>
      <c r="C51" s="3" t="inlineStr">
        <is>
          <t>EP-002</t>
        </is>
      </c>
      <c r="D51" s="3" t="inlineStr">
        <is>
          <t>Department is selectable from an administered list.</t>
        </is>
      </c>
      <c r="E51" s="3" t="n"/>
      <c r="F51" s="3" t="inlineStr">
        <is>
          <t>Pass</t>
        </is>
      </c>
      <c r="G51" s="3" t="n"/>
      <c r="H51" s="3" t="n"/>
      <c r="I51" s="3" t="inlineStr">
        <is>
          <t>Claude (AI Engineer)</t>
        </is>
      </c>
      <c r="J51" s="3" t="inlineStr">
        <is>
          <t>SIT</t>
        </is>
      </c>
      <c r="K51" s="3" t="inlineStr">
        <is>
          <t>Live test 2026-09-08: GET /departments returns the administered department list. | PASS - manually re-verified live: Department selector on both create-user and the new User Detail edit form is populated from GET /departments (the administered list), not free text.</t>
        </is>
      </c>
    </row>
    <row r="52" ht="27.6" customHeight="1">
      <c r="A52" s="3" t="inlineStr">
        <is>
          <t>AC-002-006-03</t>
        </is>
      </c>
      <c r="B52" s="3" t="inlineStr">
        <is>
          <t>US-002-006</t>
        </is>
      </c>
      <c r="C52" s="3" t="inlineStr">
        <is>
          <t>EP-002</t>
        </is>
      </c>
      <c r="D52" s="3" t="inlineStr">
        <is>
          <t>Changes affect future filtering without rewriting history.</t>
        </is>
      </c>
      <c r="E52" s="3" t="n"/>
      <c r="F52" s="3" t="inlineStr">
        <is>
          <t>Pass</t>
        </is>
      </c>
      <c r="G52" s="3" t="n"/>
      <c r="H52" s="3" t="n"/>
      <c r="I52" s="3" t="inlineStr">
        <is>
          <t>Claude (AI Engineer)</t>
        </is>
      </c>
      <c r="J52" s="3" t="inlineStr">
        <is>
          <t>SIT</t>
        </is>
      </c>
      <c r="K52" s="3" t="inlineStr">
        <is>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is>
      </c>
    </row>
    <row r="53" ht="27.6" customHeight="1">
      <c r="A53" s="3" t="inlineStr">
        <is>
          <t>AC-002-006-04</t>
        </is>
      </c>
      <c r="B53" s="3" t="inlineStr">
        <is>
          <t>US-002-006</t>
        </is>
      </c>
      <c r="C53" s="3" t="inlineStr">
        <is>
          <t>EP-002</t>
        </is>
      </c>
      <c r="D53" s="3" t="inlineStr">
        <is>
          <t>Fields may be left blank if organisation does not use them.</t>
        </is>
      </c>
      <c r="E53" s="3" t="n"/>
      <c r="F53" s="3" t="inlineStr">
        <is>
          <t>Pass</t>
        </is>
      </c>
      <c r="G53" s="3" t="n"/>
      <c r="H53" s="3" t="n"/>
      <c r="I53" s="3" t="inlineStr">
        <is>
          <t>Claude (AI Engineer)</t>
        </is>
      </c>
      <c r="J53" s="3" t="inlineStr">
        <is>
          <t>SIT</t>
        </is>
      </c>
      <c r="K53" s="3" t="inlineStr">
        <is>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is>
      </c>
    </row>
    <row r="54" ht="27.6" customHeight="1">
      <c r="A54" s="3" t="inlineStr">
        <is>
          <t>AC-003-001-01</t>
        </is>
      </c>
      <c r="B54" s="3" t="inlineStr">
        <is>
          <t>US-003-001</t>
        </is>
      </c>
      <c r="C54" s="3" t="inlineStr">
        <is>
          <t>EP-003</t>
        </is>
      </c>
      <c r="D54" s="3" t="inlineStr">
        <is>
          <t>Only an Active user can clock in.</t>
        </is>
      </c>
      <c r="E54" s="3" t="n"/>
      <c r="F54" s="3" t="inlineStr">
        <is>
          <t>Pass</t>
        </is>
      </c>
      <c r="G54" s="3" t="n"/>
      <c r="H54" s="3" t="n"/>
      <c r="I54" s="3" t="inlineStr">
        <is>
          <t>Claude (AI Engineer)</t>
        </is>
      </c>
      <c r="J54" s="3" t="inlineStr">
        <is>
          <t>SIT</t>
        </is>
      </c>
      <c r="K54" s="3" t="inlineStr">
        <is>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is>
      </c>
    </row>
    <row r="55" ht="27.6" customHeight="1">
      <c r="A55" s="3" t="inlineStr">
        <is>
          <t>AC-003-001-02</t>
        </is>
      </c>
      <c r="B55" s="3" t="inlineStr">
        <is>
          <t>US-003-001</t>
        </is>
      </c>
      <c r="C55" s="3" t="inlineStr">
        <is>
          <t>EP-003</t>
        </is>
      </c>
      <c r="D55" s="3" t="inlineStr">
        <is>
          <t>Server time is the authoritative clock-in timestamp.</t>
        </is>
      </c>
      <c r="E55" s="3" t="n"/>
      <c r="F55" s="3" t="inlineStr">
        <is>
          <t>Pass</t>
        </is>
      </c>
      <c r="G55" s="3" t="n"/>
      <c r="H55" s="3" t="n"/>
      <c r="I55" s="3" t="inlineStr">
        <is>
          <t>Claude (AI Engineer)</t>
        </is>
      </c>
      <c r="J55" s="3" t="inlineStr">
        <is>
          <t>SIT</t>
        </is>
      </c>
      <c r="K55" s="3" t="inlineStr">
        <is>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is>
      </c>
    </row>
    <row r="56" ht="27.6" customHeight="1">
      <c r="A56" s="3" t="inlineStr">
        <is>
          <t>AC-003-001-03</t>
        </is>
      </c>
      <c r="B56" s="3" t="inlineStr">
        <is>
          <t>US-003-001</t>
        </is>
      </c>
      <c r="C56" s="3" t="inlineStr">
        <is>
          <t>EP-003</t>
        </is>
      </c>
      <c r="D56" s="3" t="inlineStr">
        <is>
          <t>A user cannot create a second active attendance session.</t>
        </is>
      </c>
      <c r="E56" s="3" t="n"/>
      <c r="F56" s="3" t="inlineStr">
        <is>
          <t>Pass</t>
        </is>
      </c>
      <c r="G56" s="3" t="n"/>
      <c r="H56" s="3" t="n"/>
      <c r="I56" s="3" t="inlineStr">
        <is>
          <t>Claude (AI Engineer)</t>
        </is>
      </c>
      <c r="J56" s="3" t="inlineStr">
        <is>
          <t>SIT</t>
        </is>
      </c>
      <c r="K56" s="3" t="inlineStr">
        <is>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is>
      </c>
    </row>
    <row r="57" ht="27.6" customHeight="1">
      <c r="A57" s="3" t="inlineStr">
        <is>
          <t>AC-003-001-04</t>
        </is>
      </c>
      <c r="B57" s="3" t="inlineStr">
        <is>
          <t>US-003-001</t>
        </is>
      </c>
      <c r="C57" s="3" t="inlineStr">
        <is>
          <t>EP-003</t>
        </is>
      </c>
      <c r="D57" s="3" t="inlineStr">
        <is>
          <t>Dashboard immediately shows Clocked In state and start time.</t>
        </is>
      </c>
      <c r="E57" s="3" t="n"/>
      <c r="F57" s="3" t="inlineStr">
        <is>
          <t>Pass</t>
        </is>
      </c>
      <c r="G57" s="3" t="n"/>
      <c r="H57" s="3" t="n"/>
      <c r="I57" s="3" t="inlineStr">
        <is>
          <t>Claude (AI Engineer)</t>
        </is>
      </c>
      <c r="J57" s="3" t="inlineStr">
        <is>
          <t>SIT</t>
        </is>
      </c>
      <c r="K57" s="3" t="inlineStr">
        <is>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is>
      </c>
    </row>
    <row r="58" ht="27.6" customHeight="1">
      <c r="A58" s="3" t="inlineStr">
        <is>
          <t>AC-003-002-01</t>
        </is>
      </c>
      <c r="B58" s="3" t="inlineStr">
        <is>
          <t>US-003-002</t>
        </is>
      </c>
      <c r="C58" s="3" t="inlineStr">
        <is>
          <t>EP-003</t>
        </is>
      </c>
      <c r="D58" s="3" t="inlineStr">
        <is>
          <t>An active attendance session is required.</t>
        </is>
      </c>
      <c r="E58" s="3" t="n"/>
      <c r="F58" s="3" t="inlineStr">
        <is>
          <t>Pass</t>
        </is>
      </c>
      <c r="G58" s="3" t="n"/>
      <c r="H58" s="3" t="n"/>
      <c r="I58" s="3" t="inlineStr">
        <is>
          <t>Claude (AI Engineer)</t>
        </is>
      </c>
      <c r="J58" s="3" t="inlineStr">
        <is>
          <t>SIT</t>
        </is>
      </c>
      <c r="K58" s="3" t="inlineStr">
        <is>
          <t>Live test 2026-09-08: clock-out with no active session -&gt; 400 "No active attendance session". | PASS - manually re-verified live: POST /attendance/clock-out with no active session -&gt; 400 'No active attendance session'.</t>
        </is>
      </c>
    </row>
    <row r="59" ht="27.6" customHeight="1">
      <c r="A59" s="3" t="inlineStr">
        <is>
          <t>AC-003-002-02</t>
        </is>
      </c>
      <c r="B59" s="3" t="inlineStr">
        <is>
          <t>US-003-002</t>
        </is>
      </c>
      <c r="C59" s="3" t="inlineStr">
        <is>
          <t>EP-003</t>
        </is>
      </c>
      <c r="D59" s="3" t="inlineStr">
        <is>
          <t>Server time is the authoritative clock-out timestamp.</t>
        </is>
      </c>
      <c r="E59" s="3" t="n"/>
      <c r="F59" s="3" t="inlineStr">
        <is>
          <t>Pass</t>
        </is>
      </c>
      <c r="G59" s="3" t="n"/>
      <c r="H59" s="3" t="n"/>
      <c r="I59" s="3" t="inlineStr">
        <is>
          <t>Claude (AI Engineer)</t>
        </is>
      </c>
      <c r="J59" s="3" t="inlineStr">
        <is>
          <t>SIT</t>
        </is>
      </c>
      <c r="K59" s="3" t="inlineStr">
        <is>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is>
      </c>
    </row>
    <row r="60" ht="27.6" customHeight="1">
      <c r="A60" s="3" t="inlineStr">
        <is>
          <t>AC-003-002-03</t>
        </is>
      </c>
      <c r="B60" s="3" t="inlineStr">
        <is>
          <t>US-003-002</t>
        </is>
      </c>
      <c r="C60" s="3" t="inlineStr">
        <is>
          <t>EP-003</t>
        </is>
      </c>
      <c r="D60" s="3" t="inlineStr">
        <is>
          <t>Net working time is calculated from attendance minus eligible break time.</t>
        </is>
      </c>
      <c r="E60" s="3" t="n"/>
      <c r="F60" s="3" t="inlineStr">
        <is>
          <t>Pass</t>
        </is>
      </c>
      <c r="G60" s="3" t="n"/>
      <c r="H60" s="3" t="n"/>
      <c r="I60" s="3" t="inlineStr">
        <is>
          <t>Claude (AI Engineer)</t>
        </is>
      </c>
      <c r="J60" s="3" t="inlineStr">
        <is>
          <t>SIT</t>
        </is>
      </c>
      <c r="K60" s="3" t="inlineStr">
        <is>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is>
      </c>
    </row>
    <row r="61" ht="27.6" customHeight="1">
      <c r="A61" s="3" t="inlineStr">
        <is>
          <t>AC-003-002-04</t>
        </is>
      </c>
      <c r="B61" s="3" t="inlineStr">
        <is>
          <t>US-003-002</t>
        </is>
      </c>
      <c r="C61" s="3" t="inlineStr">
        <is>
          <t>EP-003</t>
        </is>
      </c>
      <c r="D61" s="3" t="inlineStr">
        <is>
          <t>Completed attendance record appears in history.</t>
        </is>
      </c>
      <c r="E61" s="3" t="n"/>
      <c r="F61" s="3" t="inlineStr">
        <is>
          <t>Pass</t>
        </is>
      </c>
      <c r="G61" s="3" t="n"/>
      <c r="H61" s="3" t="n"/>
      <c r="I61" s="3" t="inlineStr">
        <is>
          <t>Claude (AI Engineer)</t>
        </is>
      </c>
      <c r="J61" s="3" t="inlineStr">
        <is>
          <t>SIT</t>
        </is>
      </c>
      <c r="K61" s="3" t="inlineStr">
        <is>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is>
      </c>
    </row>
    <row r="62" ht="27.6" customHeight="1">
      <c r="A62" s="3" t="inlineStr">
        <is>
          <t>AC-003-003-01</t>
        </is>
      </c>
      <c r="B62" s="3" t="inlineStr">
        <is>
          <t>US-003-003</t>
        </is>
      </c>
      <c r="C62" s="3" t="inlineStr">
        <is>
          <t>EP-003</t>
        </is>
      </c>
      <c r="D62" s="3" t="inlineStr">
        <is>
          <t>Current state is visible on dashboard.</t>
        </is>
      </c>
      <c r="E62" s="3" t="n"/>
      <c r="F62" s="3" t="inlineStr">
        <is>
          <t>Pass</t>
        </is>
      </c>
      <c r="G62" s="3" t="n"/>
      <c r="H62" s="3" t="n"/>
      <c r="I62" s="3" t="inlineStr">
        <is>
          <t>Claude (AI Engineer)</t>
        </is>
      </c>
      <c r="J62" s="3" t="inlineStr">
        <is>
          <t>SIT</t>
        </is>
      </c>
      <c r="K62" s="3" t="inlineStr">
        <is>
          <t>Live test 2026-09-08: GET /attendance/state -&gt; 200 with a populated state field. | PASS - manually re-verified live in-browser: /my-day's ATTENDANCE card always shows the current state (Clocked out / Working / On break) front and center.</t>
        </is>
      </c>
    </row>
    <row r="63" ht="27.6" customHeight="1">
      <c r="A63" s="3" t="inlineStr">
        <is>
          <t>AC-003-003-02</t>
        </is>
      </c>
      <c r="B63" s="3" t="inlineStr">
        <is>
          <t>US-003-003</t>
        </is>
      </c>
      <c r="C63" s="3" t="inlineStr">
        <is>
          <t>EP-003</t>
        </is>
      </c>
      <c r="D63" s="3" t="inlineStr">
        <is>
          <t>State is derived from server records, not browser memory alone.</t>
        </is>
      </c>
      <c r="E63" s="3" t="n"/>
      <c r="F63" s="3" t="inlineStr">
        <is>
          <t>Pass</t>
        </is>
      </c>
      <c r="G63" s="3" t="n"/>
      <c r="H63" s="3" t="n"/>
      <c r="I63" s="3" t="inlineStr">
        <is>
          <t>Claude (AI Engineer)</t>
        </is>
      </c>
      <c r="J63" s="3" t="inlineStr">
        <is>
          <t>SIT</t>
        </is>
      </c>
      <c r="K63" s="3" t="inlineStr">
        <is>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is>
      </c>
    </row>
    <row r="64" ht="27.6" customHeight="1">
      <c r="A64" s="3" t="inlineStr">
        <is>
          <t>AC-003-003-03</t>
        </is>
      </c>
      <c r="B64" s="3" t="inlineStr">
        <is>
          <t>US-003-003</t>
        </is>
      </c>
      <c r="C64" s="3" t="inlineStr">
        <is>
          <t>EP-003</t>
        </is>
      </c>
      <c r="D64" s="3" t="inlineStr">
        <is>
          <t>State persists after page refresh/re-login.</t>
        </is>
      </c>
      <c r="E64" s="3" t="n"/>
      <c r="F64" s="3" t="inlineStr">
        <is>
          <t>Pass</t>
        </is>
      </c>
      <c r="G64" s="3" t="n"/>
      <c r="H64" s="3" t="n"/>
      <c r="I64" s="3" t="inlineStr">
        <is>
          <t>Claude (AI Engineer)</t>
        </is>
      </c>
      <c r="J64" s="3" t="inlineStr">
        <is>
          <t>SIT</t>
        </is>
      </c>
      <c r="K64" s="3" t="inlineStr">
        <is>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is>
      </c>
    </row>
    <row r="65" ht="27.6" customHeight="1">
      <c r="A65" s="3" t="inlineStr">
        <is>
          <t>AC-003-003-04</t>
        </is>
      </c>
      <c r="B65" s="3" t="inlineStr">
        <is>
          <t>US-003-003</t>
        </is>
      </c>
      <c r="C65" s="3" t="inlineStr">
        <is>
          <t>EP-003</t>
        </is>
      </c>
      <c r="D65" s="3" t="inlineStr">
        <is>
          <t>Invalid contradictory states are prevented by backend rules.</t>
        </is>
      </c>
      <c r="E65" s="3" t="n"/>
      <c r="F65" s="3" t="inlineStr">
        <is>
          <t>Pass</t>
        </is>
      </c>
      <c r="G65" s="3" t="n"/>
      <c r="H65" s="3" t="n"/>
      <c r="I65" s="3" t="inlineStr">
        <is>
          <t>Claude (AI Engineer)</t>
        </is>
      </c>
      <c r="J65" s="3" t="inlineStr">
        <is>
          <t>SIT</t>
        </is>
      </c>
      <c r="K65" s="3" t="inlineStr">
        <is>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is>
      </c>
    </row>
    <row r="66" ht="27.6" customHeight="1">
      <c r="A66" s="3" t="inlineStr">
        <is>
          <t>AC-003-004-01</t>
        </is>
      </c>
      <c r="B66" s="3" t="inlineStr">
        <is>
          <t>US-003-004</t>
        </is>
      </c>
      <c r="C66" s="3" t="inlineStr">
        <is>
          <t>EP-003</t>
        </is>
      </c>
      <c r="D66" s="3" t="inlineStr">
        <is>
          <t>A second clock-in request during an active session is rejected.</t>
        </is>
      </c>
      <c r="E66" s="3" t="n"/>
      <c r="F66" s="3" t="inlineStr">
        <is>
          <t>Pass</t>
        </is>
      </c>
      <c r="G66" s="3" t="n"/>
      <c r="H66" s="3" t="n"/>
      <c r="I66" s="3" t="inlineStr">
        <is>
          <t>Claude (AI Engineer)</t>
        </is>
      </c>
      <c r="J66" s="3" t="inlineStr">
        <is>
          <t>SIT</t>
        </is>
      </c>
      <c r="K66" s="3" t="inlineStr">
        <is>
          <t>Live test 2026-09-08: second clock-in while active -&gt; 409. | PASS - manually re-verified live against production: sent a second POST /attendance/clock-in while already clocked in -&gt; 409 rejected.</t>
        </is>
      </c>
    </row>
    <row r="67" ht="27.6" customHeight="1">
      <c r="A67" s="3" t="inlineStr">
        <is>
          <t>AC-003-004-02</t>
        </is>
      </c>
      <c r="B67" s="3" t="inlineStr">
        <is>
          <t>US-003-004</t>
        </is>
      </c>
      <c r="C67" s="3" t="inlineStr">
        <is>
          <t>EP-003</t>
        </is>
      </c>
      <c r="D67" s="3" t="inlineStr">
        <is>
          <t>User receives a clear message with existing start time.</t>
        </is>
      </c>
      <c r="E67" s="3" t="n"/>
      <c r="F67" s="3" t="inlineStr">
        <is>
          <t>Pass</t>
        </is>
      </c>
      <c r="G67" s="3" t="n"/>
      <c r="H67" s="3" t="n"/>
      <c r="I67" s="3" t="inlineStr">
        <is>
          <t>Claude (AI Engineer)</t>
        </is>
      </c>
      <c r="J67" s="3" t="inlineStr">
        <is>
          <t>SIT</t>
        </is>
      </c>
      <c r="K67" s="3" t="inlineStr">
        <is>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is>
      </c>
    </row>
    <row r="68" ht="27.6" customHeight="1">
      <c r="A68" s="3" t="inlineStr">
        <is>
          <t>AC-003-004-03</t>
        </is>
      </c>
      <c r="B68" s="3" t="inlineStr">
        <is>
          <t>US-003-004</t>
        </is>
      </c>
      <c r="C68" s="3" t="inlineStr">
        <is>
          <t>EP-003</t>
        </is>
      </c>
      <c r="D68" s="3" t="inlineStr">
        <is>
          <t>No duplicate attendance row is created.</t>
        </is>
      </c>
      <c r="E68" s="3" t="n"/>
      <c r="F68" s="3" t="inlineStr">
        <is>
          <t>Pass</t>
        </is>
      </c>
      <c r="G68" s="3" t="n"/>
      <c r="H68" s="3" t="n"/>
      <c r="I68" s="3" t="inlineStr">
        <is>
          <t>Claude (AI Engineer)</t>
        </is>
      </c>
      <c r="J68" s="3" t="inlineStr">
        <is>
          <t>SIT</t>
        </is>
      </c>
      <c r="K68" s="3" t="inlineStr">
        <is>
          <t>Live test 2026-09-08: exactly 1 ACTIVE session exists in history after the rejected duplicate attempt. | PASS - manually re-verified live: confirmed via /attendance history immediately after the rejected duplicate attempt that only one session row exists for that clock-in, not two.</t>
        </is>
      </c>
    </row>
    <row r="69" ht="27.6" customHeight="1">
      <c r="A69" s="3" t="inlineStr">
        <is>
          <t>AC-003-004-04</t>
        </is>
      </c>
      <c r="B69" s="3" t="inlineStr">
        <is>
          <t>US-003-004</t>
        </is>
      </c>
      <c r="C69" s="3" t="inlineStr">
        <is>
          <t>EP-003</t>
        </is>
      </c>
      <c r="D69" s="3" t="inlineStr">
        <is>
          <t>Concurrent requests are protected by database/application constraints.</t>
        </is>
      </c>
      <c r="E69" s="3" t="n"/>
      <c r="F69" s="3" t="inlineStr">
        <is>
          <t>Pass</t>
        </is>
      </c>
      <c r="G69" s="3" t="n"/>
      <c r="H69" s="3" t="n"/>
      <c r="I69" s="3" t="inlineStr">
        <is>
          <t>Claude (AI Engineer)</t>
        </is>
      </c>
      <c r="J69" s="3" t="inlineStr">
        <is>
          <t>SIT</t>
        </is>
      </c>
      <c r="K69" s="3" t="inlineStr">
        <is>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is>
      </c>
    </row>
    <row r="70" ht="27.6" customHeight="1">
      <c r="A70" s="3" t="inlineStr">
        <is>
          <t>AC-003-005-01</t>
        </is>
      </c>
      <c r="B70" s="3" t="inlineStr">
        <is>
          <t>US-003-005</t>
        </is>
      </c>
      <c r="C70" s="3" t="inlineStr">
        <is>
          <t>EP-003</t>
        </is>
      </c>
      <c r="D70" s="3" t="inlineStr">
        <is>
          <t>System detects an active task timer before completing clock-out.</t>
        </is>
      </c>
      <c r="E70" s="3" t="n"/>
      <c r="F70" s="3" t="inlineStr">
        <is>
          <t>Pass</t>
        </is>
      </c>
      <c r="G70" s="3" t="n"/>
      <c r="H70" s="3" t="n"/>
      <c r="I70" s="3" t="inlineStr">
        <is>
          <t>Claude (AI Engineer)</t>
        </is>
      </c>
      <c r="J70" s="3" t="inlineStr">
        <is>
          <t>SIT</t>
        </is>
      </c>
      <c r="K70" s="3" t="inlineStr">
        <is>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is>
      </c>
    </row>
    <row r="71" ht="27.6" customHeight="1">
      <c r="A71" s="3" t="inlineStr">
        <is>
          <t>AC-003-005-02</t>
        </is>
      </c>
      <c r="B71" s="3" t="inlineStr">
        <is>
          <t>US-003-005</t>
        </is>
      </c>
      <c r="C71" s="3" t="inlineStr">
        <is>
          <t>EP-003</t>
        </is>
      </c>
      <c r="D71" s="3" t="inlineStr">
        <is>
          <t>User is prompted to stop the task and clock out or cancel.</t>
        </is>
      </c>
      <c r="E71" s="3" t="n"/>
      <c r="F71" s="3" t="inlineStr">
        <is>
          <t>Pass</t>
        </is>
      </c>
      <c r="G71" s="3" t="n"/>
      <c r="H71" s="3" t="n"/>
      <c r="I71" s="3" t="inlineStr">
        <is>
          <t>Claude (AI Engineer)</t>
        </is>
      </c>
      <c r="J71" s="3" t="inlineStr">
        <is>
          <t>SIT</t>
        </is>
      </c>
      <c r="K71" s="3" t="inlineStr">
        <is>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is>
      </c>
    </row>
    <row r="72" ht="27.6" customHeight="1">
      <c r="A72" s="3" t="inlineStr">
        <is>
          <t>AC-003-005-03</t>
        </is>
      </c>
      <c r="B72" s="3" t="inlineStr">
        <is>
          <t>US-003-005</t>
        </is>
      </c>
      <c r="C72" s="3" t="inlineStr">
        <is>
          <t>EP-003</t>
        </is>
      </c>
      <c r="D72" s="3" t="inlineStr">
        <is>
          <t>Confirmed action stops task using a consistent timestamp then clocks out.</t>
        </is>
      </c>
      <c r="E72" s="3" t="n"/>
      <c r="F72" s="3" t="inlineStr">
        <is>
          <t>Pass</t>
        </is>
      </c>
      <c r="G72" s="3" t="n"/>
      <c r="H72" s="3" t="n"/>
      <c r="I72" s="3" t="inlineStr">
        <is>
          <t>Claude (AI Engineer)</t>
        </is>
      </c>
      <c r="J72" s="3" t="inlineStr">
        <is>
          <t>SIT</t>
        </is>
      </c>
      <c r="K72" s="3" t="inlineStr">
        <is>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is>
      </c>
    </row>
    <row r="73" ht="27.6" customHeight="1">
      <c r="A73" s="3" t="inlineStr">
        <is>
          <t>AC-003-005-04</t>
        </is>
      </c>
      <c r="B73" s="3" t="inlineStr">
        <is>
          <t>US-003-005</t>
        </is>
      </c>
      <c r="C73" s="3" t="inlineStr">
        <is>
          <t>EP-003</t>
        </is>
      </c>
      <c r="D73" s="3" t="inlineStr">
        <is>
          <t>No overlapping task time is created after clock-out.</t>
        </is>
      </c>
      <c r="E73" s="3" t="n"/>
      <c r="F73" s="3" t="inlineStr">
        <is>
          <t>Pass</t>
        </is>
      </c>
      <c r="G73" s="3" t="n"/>
      <c r="H73" s="3" t="n"/>
      <c r="I73" s="3" t="inlineStr">
        <is>
          <t>Claude (AI Engineer)</t>
        </is>
      </c>
      <c r="J73" s="3" t="inlineStr">
        <is>
          <t>SIT</t>
        </is>
      </c>
      <c r="K73" s="3" t="inlineStr">
        <is>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is>
      </c>
    </row>
    <row r="74" ht="27.6" customHeight="1">
      <c r="A74" s="3" t="inlineStr">
        <is>
          <t>AC-003-006-01</t>
        </is>
      </c>
      <c r="B74" s="3" t="inlineStr">
        <is>
          <t>US-003-006</t>
        </is>
      </c>
      <c r="C74" s="3" t="inlineStr">
        <is>
          <t>EP-003</t>
        </is>
      </c>
      <c r="D74" s="3" t="inlineStr">
        <is>
          <t>System detects active break.</t>
        </is>
      </c>
      <c r="E74" s="3" t="n"/>
      <c r="F74" s="3" t="inlineStr">
        <is>
          <t>Pass</t>
        </is>
      </c>
      <c r="G74" s="3" t="n"/>
      <c r="H74" s="3" t="n"/>
      <c r="I74" s="3" t="inlineStr">
        <is>
          <t>Claude (AI Engineer)</t>
        </is>
      </c>
      <c r="J74" s="3" t="inlineStr">
        <is>
          <t>SIT</t>
        </is>
      </c>
      <c r="K74" s="3" t="inlineStr">
        <is>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is>
      </c>
    </row>
    <row r="75" ht="27.6" customHeight="1">
      <c r="A75" s="3" t="inlineStr">
        <is>
          <t>AC-003-006-02</t>
        </is>
      </c>
      <c r="B75" s="3" t="inlineStr">
        <is>
          <t>US-003-006</t>
        </is>
      </c>
      <c r="C75" s="3" t="inlineStr">
        <is>
          <t>EP-003</t>
        </is>
      </c>
      <c r="D75" s="3" t="inlineStr">
        <is>
          <t>User can confirm ending break and clocking out or cancel.</t>
        </is>
      </c>
      <c r="E75" s="3" t="n"/>
      <c r="F75" s="3" t="inlineStr">
        <is>
          <t>Pass</t>
        </is>
      </c>
      <c r="G75" s="3" t="n"/>
      <c r="H75" s="3" t="n"/>
      <c r="I75" s="3" t="inlineStr">
        <is>
          <t>Claude (AI Engineer)</t>
        </is>
      </c>
      <c r="J75" s="3" t="inlineStr">
        <is>
          <t>SIT</t>
        </is>
      </c>
      <c r="K75" s="3" t="inlineStr">
        <is>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is>
      </c>
    </row>
    <row r="76" ht="27.6" customHeight="1">
      <c r="A76" s="3" t="inlineStr">
        <is>
          <t>AC-003-006-03</t>
        </is>
      </c>
      <c r="B76" s="3" t="inlineStr">
        <is>
          <t>US-003-006</t>
        </is>
      </c>
      <c r="C76" s="3" t="inlineStr">
        <is>
          <t>EP-003</t>
        </is>
      </c>
      <c r="D76" s="3" t="inlineStr">
        <is>
          <t>Confirmed action closes break before closing attendance.</t>
        </is>
      </c>
      <c r="E76" s="3" t="n"/>
      <c r="F76" s="3" t="inlineStr">
        <is>
          <t>Pass</t>
        </is>
      </c>
      <c r="G76" s="3" t="n"/>
      <c r="H76" s="3" t="n"/>
      <c r="I76" s="3" t="inlineStr">
        <is>
          <t>Claude (AI Engineer)</t>
        </is>
      </c>
      <c r="J76" s="3" t="inlineStr">
        <is>
          <t>SIT</t>
        </is>
      </c>
      <c r="K76" s="3" t="inlineStr">
        <is>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is>
      </c>
    </row>
    <row r="77" ht="27.6" customHeight="1">
      <c r="A77" s="3" t="inlineStr">
        <is>
          <t>AC-003-006-04</t>
        </is>
      </c>
      <c r="B77" s="3" t="inlineStr">
        <is>
          <t>US-003-006</t>
        </is>
      </c>
      <c r="C77" s="3" t="inlineStr">
        <is>
          <t>EP-003</t>
        </is>
      </c>
      <c r="D77" s="3" t="inlineStr">
        <is>
          <t>Break and attendance timestamps remain consistent.</t>
        </is>
      </c>
      <c r="E77" s="3" t="n"/>
      <c r="F77" s="3" t="inlineStr">
        <is>
          <t>Pass</t>
        </is>
      </c>
      <c r="G77" s="3" t="n"/>
      <c r="H77" s="3" t="n"/>
      <c r="I77" s="3" t="inlineStr">
        <is>
          <t>Claude (AI Engineer)</t>
        </is>
      </c>
      <c r="J77" s="3" t="inlineStr">
        <is>
          <t>SIT</t>
        </is>
      </c>
      <c r="K77" s="3" t="inlineStr">
        <is>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is>
      </c>
    </row>
    <row r="78" ht="27.6" customHeight="1">
      <c r="A78" s="3" t="inlineStr">
        <is>
          <t>AC-003-007-01</t>
        </is>
      </c>
      <c r="B78" s="3" t="inlineStr">
        <is>
          <t>US-003-007</t>
        </is>
      </c>
      <c r="C78" s="3" t="inlineStr">
        <is>
          <t>EP-003</t>
        </is>
      </c>
      <c r="D78" s="3" t="inlineStr">
        <is>
          <t>History shows date, clock-in, clock-out, break total and net work.</t>
        </is>
      </c>
      <c r="E78" s="3" t="n"/>
      <c r="F78" s="3" t="inlineStr">
        <is>
          <t>Pass</t>
        </is>
      </c>
      <c r="G78" s="3" t="n"/>
      <c r="H78" s="3" t="n"/>
      <c r="I78" s="3" t="inlineStr">
        <is>
          <t>Claude (AI Engineer)</t>
        </is>
      </c>
      <c r="J78" s="3" t="inlineStr">
        <is>
          <t>SIT</t>
        </is>
      </c>
      <c r="K78" s="3" t="inlineStr">
        <is>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is>
      </c>
    </row>
    <row r="79" ht="27.6" customHeight="1">
      <c r="A79" s="3" t="inlineStr">
        <is>
          <t>AC-003-007-02</t>
        </is>
      </c>
      <c r="B79" s="3" t="inlineStr">
        <is>
          <t>US-003-007</t>
        </is>
      </c>
      <c r="C79" s="3" t="inlineStr">
        <is>
          <t>EP-003</t>
        </is>
      </c>
      <c r="D79" s="3" t="inlineStr">
        <is>
          <t>Records are ordered by date/time.</t>
        </is>
      </c>
      <c r="E79" s="3" t="n"/>
      <c r="F79" s="3" t="inlineStr">
        <is>
          <t>Pass</t>
        </is>
      </c>
      <c r="G79" s="3" t="n"/>
      <c r="H79" s="3" t="n"/>
      <c r="I79" s="3" t="inlineStr">
        <is>
          <t>Claude (AI Engineer)</t>
        </is>
      </c>
      <c r="J79" s="3" t="inlineStr">
        <is>
          <t>SIT</t>
        </is>
      </c>
      <c r="K79" s="3" t="inlineStr">
        <is>
          <t>Live test 2026-09-08: records confirmed ordered newest-first. | PASS - manually re-verified live: /attendance history is ordered by clockInAt desc both in the API (orderBy: {clockInAt: 'desc'}) and as rendered on screen - most recent session always listed first.</t>
        </is>
      </c>
    </row>
    <row r="80" ht="27.6" customHeight="1">
      <c r="A80" s="3" t="inlineStr">
        <is>
          <t>AC-003-007-03</t>
        </is>
      </c>
      <c r="B80" s="3" t="inlineStr">
        <is>
          <t>US-003-007</t>
        </is>
      </c>
      <c r="C80" s="3" t="inlineStr">
        <is>
          <t>EP-003</t>
        </is>
      </c>
      <c r="D80" s="3" t="inlineStr">
        <is>
          <t>User can filter by date range.</t>
        </is>
      </c>
      <c r="E80" s="3" t="n"/>
      <c r="F80" s="3" t="inlineStr">
        <is>
          <t>Pass</t>
        </is>
      </c>
      <c r="G80" s="3" t="n"/>
      <c r="H80" s="3" t="n"/>
      <c r="I80" s="3" t="inlineStr">
        <is>
          <t>Claude (AI Engineer)</t>
        </is>
      </c>
      <c r="J80" s="3" t="inlineStr">
        <is>
          <t>SIT</t>
        </is>
      </c>
      <c r="K80" s="3" t="inlineStr">
        <is>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is>
      </c>
    </row>
    <row r="81" ht="27.6" customHeight="1">
      <c r="A81" s="3" t="inlineStr">
        <is>
          <t>AC-003-007-04</t>
        </is>
      </c>
      <c r="B81" s="3" t="inlineStr">
        <is>
          <t>US-003-007</t>
        </is>
      </c>
      <c r="C81" s="3" t="inlineStr">
        <is>
          <t>EP-003</t>
        </is>
      </c>
      <c r="D81" s="3" t="inlineStr">
        <is>
          <t>Employee can only see their own history unless separately authorised.</t>
        </is>
      </c>
      <c r="E81" s="3" t="n"/>
      <c r="F81" s="3" t="inlineStr">
        <is>
          <t>Pass</t>
        </is>
      </c>
      <c r="G81" s="3" t="n"/>
      <c r="H81" s="3" t="n"/>
      <c r="I81" s="3" t="inlineStr">
        <is>
          <t>Claude (AI Engineer)</t>
        </is>
      </c>
      <c r="J81" s="3" t="inlineStr">
        <is>
          <t>SIT</t>
        </is>
      </c>
      <c r="K81" s="3" t="inlineStr">
        <is>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is>
      </c>
    </row>
    <row r="82" ht="27.6" customHeight="1">
      <c r="A82" s="3" t="inlineStr">
        <is>
          <t>AC-003-008-01</t>
        </is>
      </c>
      <c r="B82" s="3" t="inlineStr">
        <is>
          <t>US-003-008</t>
        </is>
      </c>
      <c r="C82" s="3" t="inlineStr">
        <is>
          <t>EP-003</t>
        </is>
      </c>
      <c r="D82" s="3" t="inlineStr">
        <is>
          <t>List shows active attendance sessions.</t>
        </is>
      </c>
      <c r="E82" s="3" t="n"/>
      <c r="F82" s="3" t="inlineStr">
        <is>
          <t>Pass</t>
        </is>
      </c>
      <c r="G82" s="3" t="n"/>
      <c r="H82" s="3" t="n"/>
      <c r="I82" s="3" t="inlineStr">
        <is>
          <t>Claude (AI Engineer)</t>
        </is>
      </c>
      <c r="J82" s="3" t="inlineStr">
        <is>
          <t>SIT</t>
        </is>
      </c>
      <c r="K82" s="3" t="inlineStr">
        <is>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is>
      </c>
    </row>
    <row r="83" ht="27.6" customHeight="1">
      <c r="A83" s="3" t="inlineStr">
        <is>
          <t>AC-003-008-02</t>
        </is>
      </c>
      <c r="B83" s="3" t="inlineStr">
        <is>
          <t>US-003-008</t>
        </is>
      </c>
      <c r="C83" s="3" t="inlineStr">
        <is>
          <t>EP-003</t>
        </is>
      </c>
      <c r="D83" s="3" t="inlineStr">
        <is>
          <t>Status distinguishes Working and On Break.</t>
        </is>
      </c>
      <c r="E83" s="3" t="n"/>
      <c r="F83" s="3" t="inlineStr">
        <is>
          <t>Pass</t>
        </is>
      </c>
      <c r="G83" s="3" t="n"/>
      <c r="H83" s="3" t="n"/>
      <c r="I83" s="3" t="inlineStr">
        <is>
          <t>Claude (AI Engineer)</t>
        </is>
      </c>
      <c r="J83" s="3" t="inlineStr">
        <is>
          <t>SIT</t>
        </is>
      </c>
      <c r="K83" s="3" t="inlineStr">
        <is>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is>
      </c>
    </row>
    <row r="84" ht="27.6" customHeight="1">
      <c r="A84" s="3" t="inlineStr">
        <is>
          <t>AC-003-008-03</t>
        </is>
      </c>
      <c r="B84" s="3" t="inlineStr">
        <is>
          <t>US-003-008</t>
        </is>
      </c>
      <c r="C84" s="3" t="inlineStr">
        <is>
          <t>EP-003</t>
        </is>
      </c>
      <c r="D84" s="3" t="inlineStr">
        <is>
          <t>Clock-in time and current duration are displayed.</t>
        </is>
      </c>
      <c r="E84" s="3" t="n"/>
      <c r="F84" s="3" t="inlineStr">
        <is>
          <t>Pass</t>
        </is>
      </c>
      <c r="G84" s="3" t="n"/>
      <c r="H84" s="3" t="n"/>
      <c r="I84" s="3" t="inlineStr">
        <is>
          <t>Claude (AI Engineer)</t>
        </is>
      </c>
      <c r="J84" s="3" t="inlineStr">
        <is>
          <t>SIT</t>
        </is>
      </c>
      <c r="K84" s="3" t="inlineStr">
        <is>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is>
      </c>
    </row>
    <row r="85" ht="27.6" customHeight="1">
      <c r="A85" s="3" t="inlineStr">
        <is>
          <t>AC-003-008-04</t>
        </is>
      </c>
      <c r="B85" s="3" t="inlineStr">
        <is>
          <t>US-003-008</t>
        </is>
      </c>
      <c r="C85" s="3" t="inlineStr">
        <is>
          <t>EP-003</t>
        </is>
      </c>
      <c r="D85" s="3" t="inlineStr">
        <is>
          <t>Only authorised administrators can see organisation-wide status.</t>
        </is>
      </c>
      <c r="E85" s="3" t="n"/>
      <c r="F85" s="3" t="inlineStr">
        <is>
          <t>Pass</t>
        </is>
      </c>
      <c r="G85" s="3" t="n"/>
      <c r="H85" s="3" t="n"/>
      <c r="I85" s="3" t="inlineStr">
        <is>
          <t>Claude (AI Engineer)</t>
        </is>
      </c>
      <c r="J85" s="3" t="inlineStr">
        <is>
          <t>SIT</t>
        </is>
      </c>
      <c r="K85" s="3" t="inlineStr">
        <is>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is>
      </c>
    </row>
    <row r="86" ht="27.6" customHeight="1">
      <c r="A86" s="3" t="inlineStr">
        <is>
          <t>AC-004-001-01</t>
        </is>
      </c>
      <c r="B86" s="3" t="inlineStr">
        <is>
          <t>US-004-001</t>
        </is>
      </c>
      <c r="C86" s="3" t="inlineStr">
        <is>
          <t>EP-004</t>
        </is>
      </c>
      <c r="D86" s="3" t="inlineStr">
        <is>
          <t>User must be clocked in.</t>
        </is>
      </c>
      <c r="E86" s="3" t="n"/>
      <c r="F86" s="3" t="inlineStr">
        <is>
          <t>Pass</t>
        </is>
      </c>
      <c r="G86" s="3" t="n"/>
      <c r="H86" s="3" t="n"/>
      <c r="I86" s="3" t="inlineStr">
        <is>
          <t>Claude (AI Engineer)</t>
        </is>
      </c>
      <c r="J86" s="3" t="inlineStr">
        <is>
          <t>SIT</t>
        </is>
      </c>
      <c r="K86" s="3" t="inlineStr">
        <is>
          <t>Live test 2026-09-08: POST /breaks/start with no active attendance session -&gt; 400. | PASS - manually re-verified live against production, 2026-09-09: a real, freshly-approved employee account (manual-ep4-...@atms.app) not clocked in -&gt; POST /breaks/start -&gt; 400 'You must be clocked in (and not already on break) to start a break'.</t>
        </is>
      </c>
    </row>
    <row r="87" ht="27.6" customHeight="1">
      <c r="A87" s="3" t="inlineStr">
        <is>
          <t>AC-004-001-02</t>
        </is>
      </c>
      <c r="B87" s="3" t="inlineStr">
        <is>
          <t>US-004-001</t>
        </is>
      </c>
      <c r="C87" s="3" t="inlineStr">
        <is>
          <t>EP-004</t>
        </is>
      </c>
      <c r="D87" s="3" t="inlineStr">
        <is>
          <t>User cannot already have an active break.</t>
        </is>
      </c>
      <c r="E87" s="3" t="n"/>
      <c r="F87" s="3" t="inlineStr">
        <is>
          <t>Pass</t>
        </is>
      </c>
      <c r="G87" s="3" t="n"/>
      <c r="H87" s="3" t="n"/>
      <c r="I87" s="3" t="inlineStr">
        <is>
          <t>Claude (AI Engineer)</t>
        </is>
      </c>
      <c r="J87" s="3" t="inlineStr">
        <is>
          <t>SIT</t>
        </is>
      </c>
      <c r="K87" s="3" t="inlineStr">
        <is>
          <t>Live test 2026-09-08: second POST /breaks/start while already on break -&gt; 400. | PASS - manually re-verified live: after a real break was already active, called POST /breaks/start again -&gt; 400 with the same message, confirming a second break cannot start while one is already open.</t>
        </is>
      </c>
    </row>
    <row r="88" ht="27.6" customHeight="1">
      <c r="A88" s="3" t="inlineStr">
        <is>
          <t>AC-004-001-03</t>
        </is>
      </c>
      <c r="B88" s="3" t="inlineStr">
        <is>
          <t>US-004-001</t>
        </is>
      </c>
      <c r="C88" s="3" t="inlineStr">
        <is>
          <t>EP-004</t>
        </is>
      </c>
      <c r="D88" s="3" t="inlineStr">
        <is>
          <t>Server timestamp records break start.</t>
        </is>
      </c>
      <c r="E88" s="3" t="n"/>
      <c r="F88" s="3" t="inlineStr">
        <is>
          <t>Pass</t>
        </is>
      </c>
      <c r="G88" s="3" t="n"/>
      <c r="H88" s="3" t="n"/>
      <c r="I88" s="3" t="inlineStr">
        <is>
          <t>Claude (AI Engineer)</t>
        </is>
      </c>
      <c r="J88" s="3" t="inlineStr">
        <is>
          <t>SIT</t>
        </is>
      </c>
      <c r="K88" s="3" t="inlineStr">
        <is>
          <t>Live test 2026-09-08: break startAt returned server-generated; endpoint takes no request body at all, no client-timestamp path exists. | PASS - manually re-verified live in-browser: clicking the real 'Start Break' button produced a POST /breaks/start response with a server-generated startAt matching the moment of the click; the endpoint takes no client-supplied timestamp at all.</t>
        </is>
      </c>
    </row>
    <row r="89" ht="27.6" customHeight="1">
      <c r="A89" s="3" t="inlineStr">
        <is>
          <t>AC-004-001-04</t>
        </is>
      </c>
      <c r="B89" s="3" t="inlineStr">
        <is>
          <t>US-004-001</t>
        </is>
      </c>
      <c r="C89" s="3" t="inlineStr">
        <is>
          <t>EP-004</t>
        </is>
      </c>
      <c r="D89" s="3" t="inlineStr">
        <is>
          <t>Dashboard changes to On Break.</t>
        </is>
      </c>
      <c r="E89" s="3" t="n"/>
      <c r="F89" s="3" t="inlineStr">
        <is>
          <t>Pass</t>
        </is>
      </c>
      <c r="G89" s="3" t="n"/>
      <c r="H89" s="3" t="n"/>
      <c r="I89" s="3" t="inlineStr">
        <is>
          <t>Claude (AI Engineer)</t>
        </is>
      </c>
      <c r="J89" s="3" t="inlineStr">
        <is>
          <t>SIT</t>
        </is>
      </c>
      <c r="K89" s="3" t="inlineStr">
        <is>
          <t>Live test 2026-09-08: GET /attendance/state after starting a break -&gt; state=ON_BREAK. | PASS - manually re-verified live in-browser: clicking 'Start Break' on /my-day immediately flipped the ATTENDANCE card to 'On break since &lt;time&gt;' with Clock Out/End Break buttons, sourced from a live GET /attendance/state call, not client-side state.</t>
        </is>
      </c>
    </row>
    <row r="90" ht="27.6" customHeight="1">
      <c r="A90" s="3" t="inlineStr">
        <is>
          <t>AC-004-002-01</t>
        </is>
      </c>
      <c r="B90" s="3" t="inlineStr">
        <is>
          <t>US-004-002</t>
        </is>
      </c>
      <c r="C90" s="3" t="inlineStr">
        <is>
          <t>EP-004</t>
        </is>
      </c>
      <c r="D90" s="3" t="inlineStr">
        <is>
          <t>An active break is required.</t>
        </is>
      </c>
      <c r="E90" s="3" t="n"/>
      <c r="F90" s="3" t="inlineStr">
        <is>
          <t>Pass</t>
        </is>
      </c>
      <c r="G90" s="3" t="n"/>
      <c r="H90" s="3" t="n"/>
      <c r="I90" s="3" t="inlineStr">
        <is>
          <t>Claude (AI Engineer)</t>
        </is>
      </c>
      <c r="J90" s="3" t="inlineStr">
        <is>
          <t>SIT</t>
        </is>
      </c>
      <c r="K90" s="3" t="inlineStr">
        <is>
          <t>Live test 2026-09-08: POST /breaks/end with no active break -&gt; 400. | PASS - manually re-verified live: with no active break, POST /breaks/end -&gt; 400 'You do not have an active break'.</t>
        </is>
      </c>
    </row>
    <row r="91" ht="27.6" customHeight="1">
      <c r="A91" s="3" t="inlineStr">
        <is>
          <t>AC-004-002-02</t>
        </is>
      </c>
      <c r="B91" s="3" t="inlineStr">
        <is>
          <t>US-004-002</t>
        </is>
      </c>
      <c r="C91" s="3" t="inlineStr">
        <is>
          <t>EP-004</t>
        </is>
      </c>
      <c r="D91" s="3" t="inlineStr">
        <is>
          <t>Server timestamp records break end.</t>
        </is>
      </c>
      <c r="E91" s="3" t="n"/>
      <c r="F91" s="3" t="inlineStr">
        <is>
          <t>Pass</t>
        </is>
      </c>
      <c r="G91" s="3" t="n"/>
      <c r="H91" s="3" t="n"/>
      <c r="I91" s="3" t="inlineStr">
        <is>
          <t>Claude (AI Engineer)</t>
        </is>
      </c>
      <c r="J91" s="3" t="inlineStr">
        <is>
          <t>SIT</t>
        </is>
      </c>
      <c r="K91" s="3" t="inlineStr">
        <is>
          <t>Live test 2026-09-08: break endAt server-generated; endpoint takes no body. | PASS - manually re-verified live in-browser: clicking the real 'End Break' button produced a POST /breaks/end response with a server-generated endAt; no client timestamp is accepted.</t>
        </is>
      </c>
    </row>
    <row r="92" ht="27.6" customHeight="1">
      <c r="A92" s="3" t="inlineStr">
        <is>
          <t>AC-004-002-03</t>
        </is>
      </c>
      <c r="B92" s="3" t="inlineStr">
        <is>
          <t>US-004-002</t>
        </is>
      </c>
      <c r="C92" s="3" t="inlineStr">
        <is>
          <t>EP-004</t>
        </is>
      </c>
      <c r="D92" s="3" t="inlineStr">
        <is>
          <t>Break duration is calculated automatically.</t>
        </is>
      </c>
      <c r="E92" s="3" t="n"/>
      <c r="F92" s="3" t="inlineStr">
        <is>
          <t>Pass</t>
        </is>
      </c>
      <c r="G92" s="3" t="n"/>
      <c r="H92" s="3" t="n"/>
      <c r="I92" s="3" t="inlineStr">
        <is>
          <t>Claude (AI Engineer)</t>
        </is>
      </c>
      <c r="J92" s="3" t="inlineStr">
        <is>
          <t>SIT</t>
        </is>
      </c>
      <c r="K92" s="3" t="inlineStr">
        <is>
          <t>Live test 2026-09-08: break record persists both startAt and endAt with no client input; duration is directly derivable. | PASS - manually re-verified live against production, 2026-09-09: created 5 real breaks on the same session (including a genuine concurrent-race pair) and confirmed via GET /reconciliation/me that breakMinutes is the sum of every completed break's (endAt-startAt), and via the new admin Reports 'Breaks' screen's Daily Totals table that the same 5 breaks correctly summed to the right per-day total.</t>
        </is>
      </c>
    </row>
    <row r="93" ht="27.6" customHeight="1">
      <c r="A93" s="3" t="inlineStr">
        <is>
          <t>AC-004-002-04</t>
        </is>
      </c>
      <c r="B93" s="3" t="inlineStr">
        <is>
          <t>US-004-002</t>
        </is>
      </c>
      <c r="C93" s="3" t="inlineStr">
        <is>
          <t>EP-004</t>
        </is>
      </c>
      <c r="D93" s="3" t="inlineStr">
        <is>
          <t>Dashboard returns to Working state.</t>
        </is>
      </c>
      <c r="E93" s="3" t="n"/>
      <c r="F93" s="3" t="inlineStr">
        <is>
          <t>Pass</t>
        </is>
      </c>
      <c r="G93" s="3" t="n"/>
      <c r="H93" s="3" t="n"/>
      <c r="I93" s="3" t="inlineStr">
        <is>
          <t>Claude (AI Engineer)</t>
        </is>
      </c>
      <c r="J93" s="3" t="inlineStr">
        <is>
          <t>SIT</t>
        </is>
      </c>
      <c r="K93" s="3" t="inlineStr">
        <is>
          <t>Live test 2026-09-08: GET /attendance/state after ending the break -&gt; state=WORKING. | PASS - manually re-verified live in-browser: clicking 'End Break' immediately returned /my-day to the 'Working' state with the Start Break button restored, sourced from a live server state check.</t>
        </is>
      </c>
    </row>
    <row r="94" ht="27.6" customHeight="1">
      <c r="A94" s="3" t="inlineStr">
        <is>
          <t>AC-004-003-01</t>
        </is>
      </c>
      <c r="B94" s="3" t="inlineStr">
        <is>
          <t>US-004-003</t>
        </is>
      </c>
      <c r="C94" s="3" t="inlineStr">
        <is>
          <t>EP-004</t>
        </is>
      </c>
      <c r="D94" s="3" t="inlineStr">
        <is>
          <t>Each break creates a separate break record.</t>
        </is>
      </c>
      <c r="E94" s="3" t="n"/>
      <c r="F94" s="3" t="inlineStr">
        <is>
          <t>Pass</t>
        </is>
      </c>
      <c r="G94" s="3" t="n"/>
      <c r="H94" s="3" t="n"/>
      <c r="I94" s="3" t="inlineStr">
        <is>
          <t>Claude (AI Engineer)</t>
        </is>
      </c>
      <c r="J94" s="3" t="inlineStr">
        <is>
          <t>SIT</t>
        </is>
      </c>
      <c r="K94" s="3" t="inlineStr">
        <is>
          <t>Verified: e2e test asserts break1End.body.id !== break2End.body.id (two sequential breaks in one session get distinct record IDs). apps/api/test/app.e2e-spec.ts, "Multiple breaks in one day" describe block, explicitly commented as covering this AC. | PASS - manually re-verified live: 5 separate break attempts on the same attendance session each produced a distinct BreakRecord id (confirmed via GET /reconciliation/me's timeline and the Reports Breaks screen listing all 5 individually).</t>
        </is>
      </c>
    </row>
    <row r="95" ht="27.6" customHeight="1">
      <c r="A95" s="3" t="inlineStr">
        <is>
          <t>AC-004-003-02</t>
        </is>
      </c>
      <c r="B95" s="3" t="inlineStr">
        <is>
          <t>US-004-003</t>
        </is>
      </c>
      <c r="C95" s="3" t="inlineStr">
        <is>
          <t>EP-004</t>
        </is>
      </c>
      <c r="D95" s="3" t="inlineStr">
        <is>
          <t>Breaks cannot overlap.</t>
        </is>
      </c>
      <c r="E95" s="3" t="n"/>
      <c r="F95" s="3" t="inlineStr">
        <is>
          <t>Pass</t>
        </is>
      </c>
      <c r="G95" s="3" t="n"/>
      <c r="H95" s="3" t="n"/>
      <c r="I95" s="3" t="inlineStr">
        <is>
          <t>Claude (AI Engineer)</t>
        </is>
      </c>
      <c r="J95" s="3" t="inlineStr">
        <is>
          <t>SIT</t>
        </is>
      </c>
      <c r="K95" s="3" t="inlineStr">
        <is>
          <t>Verified by e2e test: second break's start is not before the first break's end. | PASS (rigorously re-verified) - manually tested live against production, 2026-09-09, with a genuine race: fired two POST /breaks/start requests concurrently via Promise.all on the same active session. Exactly one succeeded (200) and the other was rejected (409 'You already have an active break') - overlapping breaks are blocked even under real concurrent requests, not just sequential app-level checks.</t>
        </is>
      </c>
    </row>
    <row r="96" ht="27.6" customHeight="1">
      <c r="A96" s="3" t="inlineStr">
        <is>
          <t>AC-004-003-03</t>
        </is>
      </c>
      <c r="B96" s="3" t="inlineStr">
        <is>
          <t>US-004-003</t>
        </is>
      </c>
      <c r="C96" s="3" t="inlineStr">
        <is>
          <t>EP-004</t>
        </is>
      </c>
      <c r="D96" s="3" t="inlineStr">
        <is>
          <t>Daily break total equals sum of completed break durations.</t>
        </is>
      </c>
      <c r="E96" s="3" t="n"/>
      <c r="F96" s="3" t="inlineStr">
        <is>
          <t>Pass</t>
        </is>
      </c>
      <c r="G96" s="3" t="n"/>
      <c r="H96" s="3" t="n"/>
      <c r="I96" s="3" t="inlineStr">
        <is>
          <t>Claude (AI Engineer)</t>
        </is>
      </c>
      <c r="J96" s="3" t="inlineStr">
        <is>
          <t>SIT</t>
        </is>
      </c>
      <c r="K96" s="3" t="inlineStr">
        <is>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 | PASS - manually re-verified live: the new Reports &gt; Breaks &gt; Daily Totals table (built this session) correctly summed 5 real break records on 2026-09-09 to the right per-day total minutes, cross-checked against GET /reconciliation/me's breakMinutes for the same day.</t>
        </is>
      </c>
    </row>
    <row r="97" ht="27.6" customHeight="1">
      <c r="A97" s="3" t="inlineStr">
        <is>
          <t>AC-004-003-04</t>
        </is>
      </c>
      <c r="B97" s="3" t="inlineStr">
        <is>
          <t>US-004-003</t>
        </is>
      </c>
      <c r="C97" s="3" t="inlineStr">
        <is>
          <t>EP-004</t>
        </is>
      </c>
      <c r="D97" s="3" t="inlineStr">
        <is>
          <t>All break records remain linked to the attendance session.</t>
        </is>
      </c>
      <c r="E97" s="3" t="n"/>
      <c r="F97" s="3" t="inlineStr">
        <is>
          <t>Pass</t>
        </is>
      </c>
      <c r="G97" s="3" t="n"/>
      <c r="H97" s="3" t="n"/>
      <c r="I97" s="3" t="inlineStr">
        <is>
          <t>Claude (AI Engineer)</t>
        </is>
      </c>
      <c r="J97" s="3" t="inlineStr">
        <is>
          <t>SIT</t>
        </is>
      </c>
      <c r="K97" s="3" t="inlineStr">
        <is>
          <t>Verified by e2e test: both breaks share the same attendanceSessionId. | PASS - manually re-verified live: every break record fetched throughout this epic's testing (via GET /attendance/:id and GET /reports/breaks) carried its attendanceSessionId, correctly pointing back at the session it belongs to.</t>
        </is>
      </c>
    </row>
    <row r="98" ht="27.6" customHeight="1">
      <c r="A98" s="3" t="inlineStr">
        <is>
          <t>AC-004-004-01</t>
        </is>
      </c>
      <c r="B98" s="3" t="inlineStr">
        <is>
          <t>US-004-004</t>
        </is>
      </c>
      <c r="C98" s="3" t="inlineStr">
        <is>
          <t>EP-004</t>
        </is>
      </c>
      <c r="D98" s="3" t="inlineStr">
        <is>
          <t>Starting a break checks for an active task timer.</t>
        </is>
      </c>
      <c r="E98" s="3" t="n"/>
      <c r="F98" s="3" t="inlineStr">
        <is>
          <t>Pass</t>
        </is>
      </c>
      <c r="G98" s="3" t="n"/>
      <c r="H98" s="3" t="n"/>
      <c r="I98" s="3" t="inlineStr">
        <is>
          <t>Claude (AI Engineer)</t>
        </is>
      </c>
      <c r="J98" s="3" t="inlineStr">
        <is>
          <t>SIT</t>
        </is>
      </c>
      <c r="K98" s="3" t="inlineStr">
        <is>
          <t>Live test 2026-09-08: an active task timer existed and was detected/paused as part of the break/start call. | PASS - manually re-verified live against production, 2026-09-09: started a real task timer, then started a break - the breaks/start response included pausedTask with the timer's task id and title, and a follow-up GET /attendance/state confirmed activeTimer became null.</t>
        </is>
      </c>
    </row>
    <row r="99" ht="27.6" customHeight="1">
      <c r="A99" s="3" t="inlineStr">
        <is>
          <t>AC-004-004-02</t>
        </is>
      </c>
      <c r="B99" s="3" t="inlineStr">
        <is>
          <t>US-004-004</t>
        </is>
      </c>
      <c r="C99" s="3" t="inlineStr">
        <is>
          <t>EP-004</t>
        </is>
      </c>
      <c r="D99" s="3" t="inlineStr">
        <is>
          <t>Active task timer is paused using the same effective server boundary timestamp.</t>
        </is>
      </c>
      <c r="E99" s="3" t="n"/>
      <c r="F99" s="3" t="inlineStr">
        <is>
          <t>Pass</t>
        </is>
      </c>
      <c r="G99" s="3" t="n"/>
      <c r="H99" s="3" t="n"/>
      <c r="I99" s="3" t="inlineStr">
        <is>
          <t>Claude (AI Engineer)</t>
        </is>
      </c>
      <c r="J99" s="3" t="inlineStr">
        <is>
          <t>SIT</t>
        </is>
      </c>
      <c r="K99" s="3" t="inlineStr">
        <is>
          <t>Code-verified: breaks.service.ts startBreak() closes the task timer in the same $transaction as the break creation - one server `now` for both, not a later separate write. | PASS - manually re-verified live against production: fetched the session detail after pausing and confirmed the TaskTimeEntry's endAt (2026-09-09T21:50:49.919Z) is byte-identical to the new BreakRecord's startAt (2026-09-09T21:50:49.919Z) - the same server-generated boundary timestamp closes one and opens the other.</t>
        </is>
      </c>
    </row>
    <row r="100" ht="27.6" customHeight="1">
      <c r="A100" s="3" t="inlineStr">
        <is>
          <t>AC-004-004-03</t>
        </is>
      </c>
      <c r="B100" s="3" t="inlineStr">
        <is>
          <t>US-004-004</t>
        </is>
      </c>
      <c r="C100" s="3" t="inlineStr">
        <is>
          <t>EP-004</t>
        </is>
      </c>
      <c r="D100" s="3" t="inlineStr">
        <is>
          <t>User is informed which task was paused.</t>
        </is>
      </c>
      <c r="E100" s="3" t="n"/>
      <c r="F100" s="3" t="inlineStr">
        <is>
          <t>Pass</t>
        </is>
      </c>
      <c r="G100" s="3" t="n"/>
      <c r="H100" s="3" t="n"/>
      <c r="I100" s="3" t="inlineStr">
        <is>
          <t>Claude (AI Engineer)</t>
        </is>
      </c>
      <c r="J100" s="3" t="inlineStr">
        <is>
          <t>SIT</t>
        </is>
      </c>
      <c r="K100" s="3" t="inlineStr">
        <is>
          <t>Live test 2026-09-08: break/start response includes pausedTask.title, naming exactly which task was paused. | PASS - manually re-verified live: the POST /breaks/start response's pausedTask field carries the paused task's id and title ('EP4 manual task ...'), which the UI can surface directly to the user.</t>
        </is>
      </c>
    </row>
    <row r="101" ht="27.6" customHeight="1">
      <c r="A101" s="3" t="inlineStr">
        <is>
          <t>AC-004-004-04</t>
        </is>
      </c>
      <c r="B101" s="3" t="inlineStr">
        <is>
          <t>US-004-004</t>
        </is>
      </c>
      <c r="C101" s="3" t="inlineStr">
        <is>
          <t>EP-004</t>
        </is>
      </c>
      <c r="D101" s="3" t="inlineStr">
        <is>
          <t>Ending break does not automatically resume the task without user confirmation.</t>
        </is>
      </c>
      <c r="E101" s="3" t="n"/>
      <c r="F101" s="3" t="inlineStr">
        <is>
          <t>Pass</t>
        </is>
      </c>
      <c r="G101" s="3" t="n"/>
      <c r="H101" s="3" t="n"/>
      <c r="I101" s="3" t="inlineStr">
        <is>
          <t>Claude (AI Engineer)</t>
        </is>
      </c>
      <c r="J101" s="3" t="inlineStr">
        <is>
          <t>SIT</t>
        </is>
      </c>
      <c r="K101" s="3" t="inlineStr">
        <is>
          <t>Live test 2026-09-08: activeTimer is null after ending a break with no explicit resume call - no auto-resume. | PASS - manually re-verified live against production, 2026-09-09: after ending the break that had paused a task timer, GET /attendance/state's activeTimer remained null - the task is not auto-resumed; the employee must explicitly start it again themselves.</t>
        </is>
      </c>
    </row>
    <row r="102" ht="27.6" customHeight="1">
      <c r="A102" s="3" t="inlineStr">
        <is>
          <t>AC-004-005-01</t>
        </is>
      </c>
      <c r="B102" s="3" t="inlineStr">
        <is>
          <t>US-004-005</t>
        </is>
      </c>
      <c r="C102" s="3" t="inlineStr">
        <is>
          <t>EP-004</t>
        </is>
      </c>
      <c r="D102" s="3" t="inlineStr">
        <is>
          <t>Attendance detail shows each break start/end/duration.</t>
        </is>
      </c>
      <c r="E102" s="3" t="n"/>
      <c r="F102" s="3" t="inlineStr">
        <is>
          <t>Pass</t>
        </is>
      </c>
      <c r="G102" s="3" t="n"/>
      <c r="H102" s="3" t="n"/>
      <c r="I102" s="3" t="inlineStr">
        <is>
          <t>Claude (AI Engineer)</t>
        </is>
      </c>
      <c r="J102" s="3" t="inlineStr">
        <is>
          <t>SIT</t>
        </is>
      </c>
      <c r="K102" s="3" t="inlineStr">
        <is>
          <t>Live test 2026-09-08: attendance detail lists every break record with start/end/status. | PASS (after a real fix) - manually testing this live surfaced a genuine gap: SCR-006 'Attendance Day Detail / Timeline' is a screen explicitly named in the SRS's screen list but was never built - the history list only ever showed per-session totals, with no way for an employee to see individual break start/end/duration for a past day, even though GET /attendance/:id already returned everything needed. Built /attendance/[id], linked from each history row's date. Verified live: a real session with 5 breaks and 1 task-time entry rendered every one with correct start/end/duration.</t>
        </is>
      </c>
    </row>
    <row r="103" ht="27.6" customHeight="1">
      <c r="A103" s="3" t="inlineStr">
        <is>
          <t>AC-004-005-02</t>
        </is>
      </c>
      <c r="B103" s="3" t="inlineStr">
        <is>
          <t>US-004-005</t>
        </is>
      </c>
      <c r="C103" s="3" t="inlineStr">
        <is>
          <t>EP-004</t>
        </is>
      </c>
      <c r="D103" s="3" t="inlineStr">
        <is>
          <t>Incomplete break is clearly marked.</t>
        </is>
      </c>
      <c r="E103" s="3" t="n"/>
      <c r="F103" s="3" t="inlineStr">
        <is>
          <t>Pass</t>
        </is>
      </c>
      <c r="G103" s="3" t="n"/>
      <c r="H103" s="3" t="n"/>
      <c r="I103" s="3" t="inlineStr">
        <is>
          <t>Claude (AI Engineer)</t>
        </is>
      </c>
      <c r="J103" s="3" t="inlineStr">
        <is>
          <t>SIT</t>
        </is>
      </c>
      <c r="K103" s="3" t="inlineStr">
        <is>
          <t>Live test 2026-09-08: a still-open break shows status=ACTIVE and endAt=null, clearly distinct from a completed one. | PASS (same fix as AC-004-005-01) - manually re-verified live: on the new /attendance/[id] screen, a still-open break correctly showed '—' for End and an amber 'Active (incomplete)' badge, visually distinct from the 4 other 'Completed' breaks in the same list.</t>
        </is>
      </c>
    </row>
    <row r="104" ht="27.6" customHeight="1">
      <c r="A104" s="3" t="inlineStr">
        <is>
          <t>AC-004-005-03</t>
        </is>
      </c>
      <c r="B104" s="3" t="inlineStr">
        <is>
          <t>US-004-005</t>
        </is>
      </c>
      <c r="C104" s="3" t="inlineStr">
        <is>
          <t>EP-004</t>
        </is>
      </c>
      <c r="D104" s="3" t="inlineStr">
        <is>
          <t>Break total reconciles to net working calculation.</t>
        </is>
      </c>
      <c r="E104" s="3" t="n"/>
      <c r="F104" s="3" t="inlineStr">
        <is>
          <t>Pass</t>
        </is>
      </c>
      <c r="G104" s="3" t="n"/>
      <c r="H104" s="3" t="n"/>
      <c r="I104" s="3" t="inlineStr">
        <is>
          <t>Claude (AI Engineer)</t>
        </is>
      </c>
      <c r="J104" s="3" t="inlineStr">
        <is>
          <t>SIT</t>
        </is>
      </c>
      <c r="K104" s="3" t="inlineStr">
        <is>
          <t>Same evidence as AC-003-002-03/AC-004-003-03 - breakMinutes and netWorkingMinutes are computed from the same break records by the same reconcile() call, so they reconcile by construction, not by coincidence. | PASS - manually re-verified live against production, 2026-09-09, with real numbers: a session with clockInAt/clockOutAt roughly 11.6 minutes apart and 5 real breaks reconciled to netWorkingMinutes=9 + breakMinutes=2 via GET /reconciliation/me - net working and break time sum back to gross attendance time, by the same reconcile() computation proven in EP-003.</t>
        </is>
      </c>
    </row>
    <row r="105" ht="27.6" customHeight="1">
      <c r="A105" s="3" t="inlineStr">
        <is>
          <t>AC-004-005-04</t>
        </is>
      </c>
      <c r="B105" s="3" t="inlineStr">
        <is>
          <t>US-004-005</t>
        </is>
      </c>
      <c r="C105" s="3" t="inlineStr">
        <is>
          <t>EP-004</t>
        </is>
      </c>
      <c r="D105" s="3" t="inlineStr">
        <is>
          <t>User cannot alter final break records without correction workflow.</t>
        </is>
      </c>
      <c r="E105" s="3" t="n"/>
      <c r="F105" s="3" t="inlineStr">
        <is>
          <t>Pass</t>
        </is>
      </c>
      <c r="G105" s="3" t="n"/>
      <c r="H105" s="3" t="n"/>
      <c r="I105" s="3" t="inlineStr">
        <is>
          <t>Claude (AI Engineer)</t>
        </is>
      </c>
      <c r="J105" s="3" t="inlineStr">
        <is>
          <t>SIT</t>
        </is>
      </c>
      <c r="K105" s="3" t="inlineStr">
        <is>
          <t>Code-verified: breaks.controller.ts exposes only POST /breaks/start and /breaks/end (no body, act on "the current" break/session) - there is no PATCH/PUT/DELETE route for a break record by ID. Only the corrections workflow can alter a finalized record. | PASS - manually re-verified live against production: PATCH /breaks/&lt;a real, already-completed break id&gt; -&gt; 404 'Cannot PATCH /api/v1/breaks/...' - there is no route to directly alter a finalized break record; requestCorrectionSchema's targetType includes BREAK_RECORD as the only sanctioned path to dispute one.</t>
        </is>
      </c>
    </row>
    <row r="106" ht="27.6" customHeight="1">
      <c r="A106" s="3" t="inlineStr">
        <is>
          <t>AC-004-006-01</t>
        </is>
      </c>
      <c r="B106" s="3" t="inlineStr">
        <is>
          <t>US-004-006</t>
        </is>
      </c>
      <c r="C106" s="3" t="inlineStr">
        <is>
          <t>EP-004</t>
        </is>
      </c>
      <c r="D106" s="3" t="inlineStr">
        <is>
          <t>Report can filter by user and date range.</t>
        </is>
      </c>
      <c r="E106" s="3" t="n"/>
      <c r="F106" s="3" t="inlineStr">
        <is>
          <t>Pass</t>
        </is>
      </c>
      <c r="G106" s="3" t="n"/>
      <c r="H106" s="3" t="n"/>
      <c r="I106" s="3" t="inlineStr">
        <is>
          <t>Claude (AI Engineer)</t>
        </is>
      </c>
      <c r="J106" s="3" t="inlineStr">
        <is>
          <t>SIT</t>
        </is>
      </c>
      <c r="K106" s="3" t="inlineStr">
        <is>
          <t>Live test 2026-09-08: admin GET /reports/breaks?userId=...&amp;from=...&amp;to=... returns only that user's break rows for the range. | PASS (after a real fix) - manually testing this live surfaced a genuine gap: GET /reports/breaks already accepted a userId filter server-side (like every other report), but the admin Reports screen never exposed a way to pick an employee for any report type. Added an Employee dropdown (populated from real ACTIVE users) wired to the userId query param. Verified live: selecting 'Ep4 Manual' correctly narrowed the Breaks report from 8 org-wide rows to exactly that employee's 5 real break records.</t>
        </is>
      </c>
    </row>
    <row r="107" ht="27.6" customHeight="1">
      <c r="A107" s="3" t="inlineStr">
        <is>
          <t>AC-004-006-02</t>
        </is>
      </c>
      <c r="B107" s="3" t="inlineStr">
        <is>
          <t>US-004-006</t>
        </is>
      </c>
      <c r="C107" s="3" t="inlineStr">
        <is>
          <t>EP-004</t>
        </is>
      </c>
      <c r="D107" s="3" t="inlineStr">
        <is>
          <t>Report shows individual break periods and daily totals.</t>
        </is>
      </c>
      <c r="E107" s="3" t="n"/>
      <c r="F107" s="3" t="inlineStr">
        <is>
          <t>Pass</t>
        </is>
      </c>
      <c r="G107" s="3" t="n"/>
      <c r="H107" s="3" t="n"/>
      <c r="I107" s="3" t="inlineStr">
        <is>
          <t>Claude (AI Engineer)</t>
        </is>
      </c>
      <c r="J107" s="3" t="inlineStr">
        <is>
          <t>SIT</t>
        </is>
      </c>
      <c r="K107" s="3" t="inlineStr">
        <is>
          <t>Live test 2026-09-08: report rows include date, employee, start, end, durationMinutes, status. | PASS (after a real fix) - manually testing this live surfaced a genuine gap: the Breaks report only ever listed individual break periods, never the daily totals this AC also asks for. Added a Daily Totals table (date, break count, total minutes, has-active-break) alongside the existing per-break list. Verified live: 5 real breaks on 2026-09-09 correctly summarised to one row (5 breaks, 2 total minutes).</t>
        </is>
      </c>
    </row>
    <row r="108" ht="27.6" customHeight="1">
      <c r="A108" s="3" t="inlineStr">
        <is>
          <t>AC-004-006-03</t>
        </is>
      </c>
      <c r="B108" s="3" t="inlineStr">
        <is>
          <t>US-004-006</t>
        </is>
      </c>
      <c r="C108" s="3" t="inlineStr">
        <is>
          <t>EP-004</t>
        </is>
      </c>
      <c r="D108" s="3" t="inlineStr">
        <is>
          <t>Active breaks are distinguished from completed breaks.</t>
        </is>
      </c>
      <c r="E108" s="3" t="n"/>
      <c r="F108" s="3" t="inlineStr">
        <is>
          <t>Pass</t>
        </is>
      </c>
      <c r="G108" s="3" t="n"/>
      <c r="H108" s="3" t="n"/>
      <c r="I108" s="3" t="inlineStr">
        <is>
          <t>Claude (AI Engineer)</t>
        </is>
      </c>
      <c r="J108" s="3" t="inlineStr">
        <is>
          <t>SIT</t>
        </is>
      </c>
      <c r="K108" s="3" t="inlineStr">
        <is>
          <t>Live test 2026-09-08: queried while one break was still open - report rows showed both ACTIVE and COMPLETED in the same result set. | PASS - manually re-verified live: the Breaks report's Status column showed COMPLETED for 4 finished breaks and, while a break was still open, ACTIVE for that row - and the new Daily Totals table's 'Has active break' column correctly flagged the day 'Yes' while that break was open.</t>
        </is>
      </c>
    </row>
    <row r="109" ht="27.6" customHeight="1">
      <c r="A109" s="3" t="inlineStr">
        <is>
          <t>AC-004-006-04</t>
        </is>
      </c>
      <c r="B109" s="3" t="inlineStr">
        <is>
          <t>US-004-006</t>
        </is>
      </c>
      <c r="C109" s="3" t="inlineStr">
        <is>
          <t>EP-004</t>
        </is>
      </c>
      <c r="D109" s="3" t="inlineStr">
        <is>
          <t>Export respects selected filters.</t>
        </is>
      </c>
      <c r="E109" s="3" t="n"/>
      <c r="F109" s="3" t="inlineStr">
        <is>
          <t>Pass</t>
        </is>
      </c>
      <c r="G109" s="3" t="n"/>
      <c r="H109" s="3" t="n"/>
      <c r="I109" s="3" t="inlineStr">
        <is>
          <t>Claude (AI Engineer)</t>
        </is>
      </c>
      <c r="J109" s="3" t="inlineStr">
        <is>
          <t>SIT</t>
        </is>
      </c>
      <c r="K109" s="3" t="inlineStr">
        <is>
          <t>Live test 2026-09-08: format=csv returns content-type text/csv (same filtered query as the JSON request). | PASS - manually re-verified live against production, 2026-09-09: called GET /reports/breaks with userId+from+to as JSON (5 rows) and as CSV (5 data lines) for the identical filter, versus 8 rows with no userId filter applied - proves the CSV/XLSX export genuinely reuses the same already-filtered rows as the on-screen JSON, not a separate unfiltered query. | Test data note: all EP-004 live testing used a real disposable employee account (manual-ep4-1788990520903@atms.app) with a real assigned task, on the deployed Azure app. Its attendance/break/task-timer history was left in place (no destructive delete path exists for this data by design); the account was set to INACTIVE afterward via the admin Users screen.</t>
        </is>
      </c>
    </row>
    <row r="110" ht="27.6" customHeight="1">
      <c r="A110" s="3" t="inlineStr">
        <is>
          <t>AC-005-001-01</t>
        </is>
      </c>
      <c r="B110" s="3" t="inlineStr">
        <is>
          <t>US-005-001</t>
        </is>
      </c>
      <c r="C110" s="3" t="inlineStr">
        <is>
          <t>EP-005</t>
        </is>
      </c>
      <c r="D110" s="3" t="inlineStr">
        <is>
          <t>Task requires a title.</t>
        </is>
      </c>
      <c r="E110" s="3" t="n"/>
      <c r="F110" s="3" t="inlineStr">
        <is>
          <t>Pass</t>
        </is>
      </c>
      <c r="G110" s="3" t="n"/>
      <c r="H110" s="3" t="n"/>
      <c r="I110" s="3" t="inlineStr">
        <is>
          <t>Claude (AI Engineer)</t>
        </is>
      </c>
      <c r="J110" s="3" t="inlineStr">
        <is>
          <t>SIT</t>
        </is>
      </c>
      <c r="K110" s="3" t="inlineStr">
        <is>
          <t>Live test 2026-09-08: POST /tasks with empty title -&gt; 400. | PASS - manually re-verified live against production, 2026-09-09: POST /tasks with no title -&gt; 400 'Required' on the title field.</t>
        </is>
      </c>
    </row>
    <row r="111" ht="27.6" customHeight="1">
      <c r="A111" s="3" t="inlineStr">
        <is>
          <t>AC-005-001-02</t>
        </is>
      </c>
      <c r="B111" s="3" t="inlineStr">
        <is>
          <t>US-005-001</t>
        </is>
      </c>
      <c r="C111" s="3" t="inlineStr">
        <is>
          <t>EP-005</t>
        </is>
      </c>
      <c r="D111" s="3" t="inlineStr">
        <is>
          <t>Task may include description, priority, due date and estimated time.</t>
        </is>
      </c>
      <c r="E111" s="3" t="n"/>
      <c r="F111" s="3" t="inlineStr">
        <is>
          <t>Pass</t>
        </is>
      </c>
      <c r="G111" s="3" t="n"/>
      <c r="H111" s="3" t="n"/>
      <c r="I111" s="3" t="inlineStr">
        <is>
          <t>Claude (AI Engineer)</t>
        </is>
      </c>
      <c r="J111" s="3" t="inlineStr">
        <is>
          <t>SIT</t>
        </is>
      </c>
      <c r="K111" s="3" t="inlineStr">
        <is>
          <t>Live test 2026-09-08: POST /tasks with description/priority/dueDate/estimatedMinutes -&gt; 201, all fields persisted exactly. | PASS (after a real fix) - manually testing this live surfaced a genuine gap: dueDate exists in createTaskSchema and is displayed on both task lists and task detail, but there was no form anywhere - admin create, employee create, or task edit - that could actually set it. Added a Due date field (preprocessing the &lt;input type="date"&gt;'s plain YYYY-MM-DD into the full ISO datetime dueDate expects) to both create forms and the new admin edit form. Verified live: created and edited tasks with a real due date, confirmed it round-tripped and displayed correctly.</t>
        </is>
      </c>
    </row>
    <row r="112" ht="27.6" customHeight="1">
      <c r="A112" s="3" t="inlineStr">
        <is>
          <t>AC-005-001-03</t>
        </is>
      </c>
      <c r="B112" s="3" t="inlineStr">
        <is>
          <t>US-005-001</t>
        </is>
      </c>
      <c r="C112" s="3" t="inlineStr">
        <is>
          <t>EP-005</t>
        </is>
      </c>
      <c r="D112" s="3" t="inlineStr">
        <is>
          <t>New task receives a unique ID.</t>
        </is>
      </c>
      <c r="E112" s="3" t="n"/>
      <c r="F112" s="3" t="inlineStr">
        <is>
          <t>Pass</t>
        </is>
      </c>
      <c r="G112" s="3" t="n"/>
      <c r="H112" s="3" t="n"/>
      <c r="I112" s="3" t="inlineStr">
        <is>
          <t>Claude (AI Engineer)</t>
        </is>
      </c>
      <c r="J112" s="3" t="inlineStr">
        <is>
          <t>SIT</t>
        </is>
      </c>
      <c r="K112" s="3" t="inlineStr">
        <is>
          <t>Live test 2026-09-08: new task returns a real UUID id. | PASS - manually re-verified live: every task created this session got a real UUID (e.g. 29910496-41c1-4e17-8828-22c9251ff886), confirmed unique across dozens of tasks created live.</t>
        </is>
      </c>
    </row>
    <row r="113" ht="27.6" customHeight="1">
      <c r="A113" s="3" t="inlineStr">
        <is>
          <t>AC-005-001-04</t>
        </is>
      </c>
      <c r="B113" s="3" t="inlineStr">
        <is>
          <t>US-005-001</t>
        </is>
      </c>
      <c r="C113" s="3" t="inlineStr">
        <is>
          <t>EP-005</t>
        </is>
      </c>
      <c r="D113" s="3" t="inlineStr">
        <is>
          <t>Creation is audited.</t>
        </is>
      </c>
      <c r="E113" s="3" t="n"/>
      <c r="F113" s="3" t="inlineStr">
        <is>
          <t>Pass</t>
        </is>
      </c>
      <c r="G113" s="3" t="n"/>
      <c r="H113" s="3" t="n"/>
      <c r="I113" s="3" t="inlineStr">
        <is>
          <t>Claude (AI Engineer)</t>
        </is>
      </c>
      <c r="J113" s="3" t="inlineStr">
        <is>
          <t>SIT</t>
        </is>
      </c>
      <c r="K113" s="3" t="inlineStr">
        <is>
          <t>Live test 2026-09-08: GET /audit contains TASK_CREATED for the new task. | PASS - manually re-verified live: GET /audit shows a TASK_CREATED entry for every task created this session, with the real actor and the title/assigneeId captured in afterJson.</t>
        </is>
      </c>
    </row>
    <row r="114" ht="27.6" customHeight="1">
      <c r="A114" s="3" t="inlineStr">
        <is>
          <t>AC-005-002-01</t>
        </is>
      </c>
      <c r="B114" s="3" t="inlineStr">
        <is>
          <t>US-005-002</t>
        </is>
      </c>
      <c r="C114" s="3" t="inlineStr">
        <is>
          <t>EP-005</t>
        </is>
      </c>
      <c r="D114" s="3" t="inlineStr">
        <is>
          <t>Organisation setting controls whether employees may create tasks.</t>
        </is>
      </c>
      <c r="E114" s="3" t="n"/>
      <c r="F114" s="3" t="inlineStr">
        <is>
          <t>Pass</t>
        </is>
      </c>
      <c r="G114" s="3" t="n"/>
      <c r="H114" s="3" t="n"/>
      <c r="I114" s="3" t="inlineStr">
        <is>
          <t>Claude (AI Engineer)</t>
        </is>
      </c>
      <c r="J114" s="3" t="inlineStr">
        <is>
          <t>SIT</t>
        </is>
      </c>
      <c r="K114" s="3" t="inlineStr">
        <is>
          <t>Live test 2026-09-08: with employeesCanCreateTasks=false, employee POST /tasks -&gt; 403; restored the original setting value afterward. | PASS (after a real fix) - manually testing this live surfaced a genuine gap: the org setting (employeesCanCreateTasks) already blocked creation server-side with a 403, but the employee My Tasks page showed the New Task button and full form unconditionally regardless of the setting, letting an employee fill out a form that could only ever fail. Toggled the setting off live, confirmed POST /tasks -&gt; 403 'Employees are not permitted to create tasks'; fixed the UI to read GET /settings (unrestricted to any authenticated user) and hide the button/form with a clear explanatory message when the setting is off. Verified live after fix and after restoring the setting to true.</t>
        </is>
      </c>
    </row>
    <row r="115" ht="27.6" customHeight="1">
      <c r="A115" s="3" t="inlineStr">
        <is>
          <t>AC-005-002-02</t>
        </is>
      </c>
      <c r="B115" s="3" t="inlineStr">
        <is>
          <t>US-005-002</t>
        </is>
      </c>
      <c r="C115" s="3" t="inlineStr">
        <is>
          <t>EP-005</t>
        </is>
      </c>
      <c r="D115" s="3" t="inlineStr">
        <is>
          <t>Employee-created task defaults to that employee unless reassigned by admin.</t>
        </is>
      </c>
      <c r="E115" s="3" t="n"/>
      <c r="F115" s="3" t="inlineStr">
        <is>
          <t>Pass</t>
        </is>
      </c>
      <c r="G115" s="3" t="n"/>
      <c r="H115" s="3" t="n"/>
      <c r="I115" s="3" t="inlineStr">
        <is>
          <t>Claude (AI Engineer)</t>
        </is>
      </c>
      <c r="J115" s="3" t="inlineStr">
        <is>
          <t>SIT</t>
        </is>
      </c>
      <c r="K115" s="3" t="inlineStr">
        <is>
          <t>Live test 2026-09-08: employee POST /tasks with no assigneeId -&gt; defaults to themself. | PASS - manually re-verified live against production: an employee session's POST /tasks (no assigneeId given) came back with assigneeId equal to their own userId - confirmed the setting is on and no assigneeId was supplied by the client.</t>
        </is>
      </c>
    </row>
    <row r="116" ht="27.6" customHeight="1">
      <c r="A116" s="3" t="inlineStr">
        <is>
          <t>AC-005-002-03</t>
        </is>
      </c>
      <c r="B116" s="3" t="inlineStr">
        <is>
          <t>US-005-002</t>
        </is>
      </c>
      <c r="C116" s="3" t="inlineStr">
        <is>
          <t>EP-005</t>
        </is>
      </c>
      <c r="D116" s="3" t="inlineStr">
        <is>
          <t>Required task fields are validated.</t>
        </is>
      </c>
      <c r="E116" s="3" t="n"/>
      <c r="F116" s="3" t="inlineStr">
        <is>
          <t>Pass</t>
        </is>
      </c>
      <c r="G116" s="3" t="n"/>
      <c r="H116" s="3" t="n"/>
      <c r="I116" s="3" t="inlineStr">
        <is>
          <t>Claude (AI Engineer)</t>
        </is>
      </c>
      <c r="J116" s="3" t="inlineStr">
        <is>
          <t>SIT</t>
        </is>
      </c>
      <c r="K116" s="3" t="inlineStr">
        <is>
          <t>Live test 2026-09-08: employee POST /tasks with no title -&gt; 400 (same validation as admin-created tasks). | PASS - manually re-verified live: an employee's POST /tasks with no title -&gt; 400 'Required', identical validation to the admin path.</t>
        </is>
      </c>
    </row>
    <row r="117" ht="27.6" customHeight="1">
      <c r="A117" s="3" t="inlineStr">
        <is>
          <t>AC-005-002-04</t>
        </is>
      </c>
      <c r="B117" s="3" t="inlineStr">
        <is>
          <t>US-005-002</t>
        </is>
      </c>
      <c r="C117" s="3" t="inlineStr">
        <is>
          <t>EP-005</t>
        </is>
      </c>
      <c r="D117" s="3" t="inlineStr">
        <is>
          <t>Created task is immediately available for timer start.</t>
        </is>
      </c>
      <c r="E117" s="3" t="n"/>
      <c r="F117" s="3" t="inlineStr">
        <is>
          <t>Pass</t>
        </is>
      </c>
      <c r="G117" s="3" t="n"/>
      <c r="H117" s="3" t="n"/>
      <c r="I117" s="3" t="inlineStr">
        <is>
          <t>Claude (AI Engineer)</t>
        </is>
      </c>
      <c r="J117" s="3" t="inlineStr">
        <is>
          <t>SIT</t>
        </is>
      </c>
      <c r="K117" s="3" t="inlineStr">
        <is>
          <t>Live test 2026-09-08: POST /task-timers/start on the just-created task succeeded immediately (201), no propagation delay. | PASS - manually re-verified live against production, 2026-09-09: created a task as an employee, then immediately called POST /task-timers/start with its id -&gt; 201 RUNNING, with no delay or extra step needed.</t>
        </is>
      </c>
    </row>
    <row r="118" ht="27.6" customHeight="1">
      <c r="A118" s="3" t="inlineStr">
        <is>
          <t>AC-005-003-01</t>
        </is>
      </c>
      <c r="B118" s="3" t="inlineStr">
        <is>
          <t>US-005-003</t>
        </is>
      </c>
      <c r="C118" s="3" t="inlineStr">
        <is>
          <t>EP-005</t>
        </is>
      </c>
      <c r="D118" s="3" t="inlineStr">
        <is>
          <t>Task can be assigned to an Active user.</t>
        </is>
      </c>
      <c r="E118" s="3" t="n"/>
      <c r="F118" s="3" t="inlineStr">
        <is>
          <t>Pass</t>
        </is>
      </c>
      <c r="G118" s="3" t="n"/>
      <c r="H118" s="3" t="n"/>
      <c r="I118" s="3" t="inlineStr">
        <is>
          <t>Claude (AI Engineer)</t>
        </is>
      </c>
      <c r="J118" s="3" t="inlineStr">
        <is>
          <t>SIT</t>
        </is>
      </c>
      <c r="K118" s="3" t="inlineStr">
        <is>
          <t>Live test 2026-09-08: task creation with assigneeId set to an ACTIVE user succeeded. | PASS - manually re-verified live: PATCH /tasks/:id with assigneeId set to a real ACTIVE user succeeded (200); the admin edit form's Assignee dropdown (built this session) is populated only from GET /users?status=ACTIVE.</t>
        </is>
      </c>
    </row>
    <row r="119" ht="27.6" customHeight="1">
      <c r="A119" s="3" t="inlineStr">
        <is>
          <t>AC-005-003-02</t>
        </is>
      </c>
      <c r="B119" s="3" t="inlineStr">
        <is>
          <t>US-005-003</t>
        </is>
      </c>
      <c r="C119" s="3" t="inlineStr">
        <is>
          <t>EP-005</t>
        </is>
      </c>
      <c r="D119" s="3" t="inlineStr">
        <is>
          <t>Assignment is visible to the assignee.</t>
        </is>
      </c>
      <c r="E119" s="3" t="n"/>
      <c r="F119" s="3" t="inlineStr">
        <is>
          <t>Pass</t>
        </is>
      </c>
      <c r="G119" s="3" t="n"/>
      <c r="H119" s="3" t="n"/>
      <c r="I119" s="3" t="inlineStr">
        <is>
          <t>Claude (AI Engineer)</t>
        </is>
      </c>
      <c r="J119" s="3" t="inlineStr">
        <is>
          <t>SIT</t>
        </is>
      </c>
      <c r="K119" s="3" t="inlineStr">
        <is>
          <t>Live test 2026-09-08: the assignee can GET /tasks/:id for a task assigned to them. | PASS - manually re-verified live: after reassigning a task to a user, GET /tasks (their own list) included it - confirmed via the employee-facing My Tasks page and API.</t>
        </is>
      </c>
    </row>
    <row r="120" ht="27.6" customHeight="1">
      <c r="A120" s="3" t="inlineStr">
        <is>
          <t>AC-005-003-03</t>
        </is>
      </c>
      <c r="B120" s="3" t="inlineStr">
        <is>
          <t>US-005-003</t>
        </is>
      </c>
      <c r="C120" s="3" t="inlineStr">
        <is>
          <t>EP-005</t>
        </is>
      </c>
      <c r="D120" s="3" t="inlineStr">
        <is>
          <t>Reassignment does not change historical task time ownership.</t>
        </is>
      </c>
      <c r="E120" s="3" t="n"/>
      <c r="F120" s="3" t="inlineStr">
        <is>
          <t>Pass</t>
        </is>
      </c>
      <c r="G120" s="3" t="n"/>
      <c r="H120" s="3" t="n"/>
      <c r="I120" s="3" t="inlineStr">
        <is>
          <t>Claude (AI Engineer)</t>
        </is>
      </c>
      <c r="J120" s="3" t="inlineStr">
        <is>
          <t>SIT</t>
        </is>
      </c>
      <c r="K120" s="3" t="inlineStr">
        <is>
          <t>Structural: TaskTimeEntry rows reference the user who actually ran the timer (userId), not the task's current assigneeId - reassigning a task after time was logged does not retroactively change who owns that historical time entry. | PASS - manually re-verified live against production, 2026-09-09: an employee logged real time on a self-created task, an admin then reassigned the task to a different user, and GET /reports/task-time for that task still correctly attributed the recorded entry to the original employee ('Ep5 Manual') who actually did the work - reassignment did not rewrite the historical TaskTimeEntry.userId.</t>
        </is>
      </c>
    </row>
    <row r="121" ht="27.6" customHeight="1">
      <c r="A121" s="3" t="inlineStr">
        <is>
          <t>AC-005-003-04</t>
        </is>
      </c>
      <c r="B121" s="3" t="inlineStr">
        <is>
          <t>US-005-003</t>
        </is>
      </c>
      <c r="C121" s="3" t="inlineStr">
        <is>
          <t>EP-005</t>
        </is>
      </c>
      <c r="D121" s="3" t="inlineStr">
        <is>
          <t>Assignment change can trigger notification.</t>
        </is>
      </c>
      <c r="E121" s="3" t="n"/>
      <c r="F121" s="3" t="inlineStr">
        <is>
          <t>Pass</t>
        </is>
      </c>
      <c r="G121" s="3" t="n"/>
      <c r="H121" s="3" t="n"/>
      <c r="I121" s="3" t="inlineStr">
        <is>
          <t>Claude (AI Engineer)</t>
        </is>
      </c>
      <c r="J121" s="3" t="inlineStr">
        <is>
          <t>SIT</t>
        </is>
      </c>
      <c r="K121" s="3" t="inlineStr">
        <is>
          <t>PASS - was Blocked pending EP-011 (Notifications), which is now built. Live test confirmed: reassigning a task to a different employee creates a real TASK_ASSIGNED notification for the new assignee (same evidence as AC-011-001-01/04). No longer blocked. | PASS - manually re-verified live against production: reassigning a task produced a real TASK_ASSIGNED audit entry with beforeJson/afterJson showing the old and new assigneeId, which is the exact event notifyTaskAssigned (built in EP-011, itself already live-verified) hooks into to create the in-app/email notification for the new assignee.</t>
        </is>
      </c>
    </row>
    <row r="122" ht="27.6" customHeight="1">
      <c r="A122" s="3" t="inlineStr">
        <is>
          <t>AC-005-004-01</t>
        </is>
      </c>
      <c r="B122" s="3" t="inlineStr">
        <is>
          <t>US-005-004</t>
        </is>
      </c>
      <c r="C122" s="3" t="inlineStr">
        <is>
          <t>EP-005</t>
        </is>
      </c>
      <c r="D122" s="3" t="inlineStr">
        <is>
          <t>Priority supports at least Low, Medium, High and Critical.</t>
        </is>
      </c>
      <c r="E122" s="3" t="n"/>
      <c r="F122" s="3" t="inlineStr">
        <is>
          <t>Pass</t>
        </is>
      </c>
      <c r="G122" s="3" t="n"/>
      <c r="H122" s="3" t="n"/>
      <c r="I122" s="3" t="inlineStr">
        <is>
          <t>Claude (AI Engineer)</t>
        </is>
      </c>
      <c r="J122" s="3" t="inlineStr">
        <is>
          <t>SIT</t>
        </is>
      </c>
      <c r="K122" s="3" t="inlineStr">
        <is>
          <t>TaskPriority enum defines LOW, MEDIUM, HIGH, CRITICAL. | PASS - manually re-verified live: both create forms' Priority selects and the new admin edit form all list exactly LOW, MEDIUM, HIGH, CRITICAL.</t>
        </is>
      </c>
    </row>
    <row r="123" ht="27.6" customHeight="1">
      <c r="A123" s="3" t="inlineStr">
        <is>
          <t>AC-005-004-02</t>
        </is>
      </c>
      <c r="B123" s="3" t="inlineStr">
        <is>
          <t>US-005-004</t>
        </is>
      </c>
      <c r="C123" s="3" t="inlineStr">
        <is>
          <t>EP-005</t>
        </is>
      </c>
      <c r="D123" s="3" t="inlineStr">
        <is>
          <t>Priority is visible in task list/detail.</t>
        </is>
      </c>
      <c r="E123" s="3" t="n"/>
      <c r="F123" s="3" t="inlineStr">
        <is>
          <t>Pass</t>
        </is>
      </c>
      <c r="G123" s="3" t="n"/>
      <c r="H123" s="3" t="n"/>
      <c r="I123" s="3" t="inlineStr">
        <is>
          <t>Claude (AI Engineer)</t>
        </is>
      </c>
      <c r="J123" s="3" t="inlineStr">
        <is>
          <t>SIT</t>
        </is>
      </c>
      <c r="K123" s="3" t="inlineStr">
        <is>
          <t>Live test 2026-09-08: task detail includes priority. | PASS - manually re-verified live: priority is shown as a badge on the admin tasks list, the employee My Tasks list, and the task detail header for every task checked this session.</t>
        </is>
      </c>
    </row>
    <row r="124" ht="27.6" customHeight="1">
      <c r="A124" s="3" t="inlineStr">
        <is>
          <t>AC-005-004-03</t>
        </is>
      </c>
      <c r="B124" s="3" t="inlineStr">
        <is>
          <t>US-005-004</t>
        </is>
      </c>
      <c r="C124" s="3" t="inlineStr">
        <is>
          <t>EP-005</t>
        </is>
      </c>
      <c r="D124" s="3" t="inlineStr">
        <is>
          <t>Task list can filter/sort by priority.</t>
        </is>
      </c>
      <c r="E124" s="3" t="n"/>
      <c r="F124" s="3" t="inlineStr">
        <is>
          <t>Pass</t>
        </is>
      </c>
      <c r="G124" s="3" t="n"/>
      <c r="H124" s="3" t="n"/>
      <c r="I124" s="3" t="inlineStr">
        <is>
          <t>Claude (AI Engineer)</t>
        </is>
      </c>
      <c r="J124" s="3" t="inlineStr">
        <is>
          <t>SIT</t>
        </is>
      </c>
      <c r="K124" s="3" t="inlineStr">
        <is>
          <t>Live test 2026-09-08: GET /tasks?priority=HIGH returns only HIGH-priority tasks. | PASS (after a real fix) - manually testing this live surfaced a genuine gap: GET /tasks already accepted a priority filter server-side for both the employee's own list and the admin's all-tasks list, but neither page ever exposed a priority filter control. Added one to both. Verified live: filtering the admin Task Management list to HIGH correctly narrowed 8 tasks down to exactly the 1 real HIGH-priority task.</t>
        </is>
      </c>
    </row>
    <row r="125" ht="27.6" customHeight="1">
      <c r="A125" s="3" t="inlineStr">
        <is>
          <t>AC-005-004-04</t>
        </is>
      </c>
      <c r="B125" s="3" t="inlineStr">
        <is>
          <t>US-005-004</t>
        </is>
      </c>
      <c r="C125" s="3" t="inlineStr">
        <is>
          <t>EP-005</t>
        </is>
      </c>
      <c r="D125" s="3" t="inlineStr">
        <is>
          <t>Priority changes are audited.</t>
        </is>
      </c>
      <c r="E125" s="3" t="n"/>
      <c r="F125" s="3" t="inlineStr">
        <is>
          <t>Pass</t>
        </is>
      </c>
      <c r="G125" s="3" t="n"/>
      <c r="H125" s="3" t="n"/>
      <c r="I125" s="3" t="inlineStr">
        <is>
          <t>Claude (AI Engineer)</t>
        </is>
      </c>
      <c r="J125" s="3" t="inlineStr">
        <is>
          <t>SIT</t>
        </is>
      </c>
      <c r="K125" s="3" t="inlineStr">
        <is>
          <t>Live test 2026-09-08: PATCH priority -&gt; audit log TASK_UPDATED entry with after.priority=CRITICAL confirmed. | PASS - manually re-verified live: GET /audit shows TASK_UPDATED/TASK_ASSIGNED entries carrying the full field diff whenever priority (or any other admin-editable field) changes through the new edit form.</t>
        </is>
      </c>
    </row>
    <row r="126" ht="27.6" customHeight="1">
      <c r="A126" s="3" t="inlineStr">
        <is>
          <t>AC-005-005-01</t>
        </is>
      </c>
      <c r="B126" s="3" t="inlineStr">
        <is>
          <t>US-005-005</t>
        </is>
      </c>
      <c r="C126" s="3" t="inlineStr">
        <is>
          <t>EP-005</t>
        </is>
      </c>
      <c r="D126" s="3" t="inlineStr">
        <is>
          <t>Estimated duration accepts positive time values.</t>
        </is>
      </c>
      <c r="E126" s="3" t="n"/>
      <c r="F126" s="3" t="inlineStr">
        <is>
          <t>Pass</t>
        </is>
      </c>
      <c r="G126" s="3" t="n"/>
      <c r="H126" s="3" t="n"/>
      <c r="I126" s="3" t="inlineStr">
        <is>
          <t>Claude (AI Engineer)</t>
        </is>
      </c>
      <c r="J126" s="3" t="inlineStr">
        <is>
          <t>SIT</t>
        </is>
      </c>
      <c r="K126" s="3" t="inlineStr">
        <is>
          <t>Live test 2026-09-08: POST /tasks with estimatedMinutes=-10 -&gt; 400 "Number must be greater than 0". | PASS - manually re-verified live against production, 2026-09-09: POST /tasks with estimatedMinutes=-5 and =0 both -&gt; 400 'Number must be greater than 0'; estimatedMinutes=120 -&gt; 201 accepted.</t>
        </is>
      </c>
    </row>
    <row r="127" ht="27.6" customHeight="1">
      <c r="A127" s="3" t="inlineStr">
        <is>
          <t>AC-005-005-02</t>
        </is>
      </c>
      <c r="B127" s="3" t="inlineStr">
        <is>
          <t>US-005-005</t>
        </is>
      </c>
      <c r="C127" s="3" t="inlineStr">
        <is>
          <t>EP-005</t>
        </is>
      </c>
      <c r="D127" s="3" t="inlineStr">
        <is>
          <t>Estimate is optional.</t>
        </is>
      </c>
      <c r="E127" s="3" t="n"/>
      <c r="F127" s="3" t="inlineStr">
        <is>
          <t>Pass</t>
        </is>
      </c>
      <c r="G127" s="3" t="n"/>
      <c r="H127" s="3" t="n"/>
      <c r="I127" s="3" t="inlineStr">
        <is>
          <t>Claude (AI Engineer)</t>
        </is>
      </c>
      <c r="J127" s="3" t="inlineStr">
        <is>
          <t>SIT</t>
        </is>
      </c>
      <c r="K127" s="3" t="inlineStr">
        <is>
          <t>Live test 2026-09-08: POST /tasks with no estimatedMinutes -&gt; 201, field is null, not required. | PASS - manually re-verified live: POST /tasks with no estimatedMinutes field at all -&gt; 201, estimatedMinutes stored as null.</t>
        </is>
      </c>
    </row>
    <row r="128" ht="27.6" customHeight="1">
      <c r="A128" s="3" t="inlineStr">
        <is>
          <t>AC-005-005-03</t>
        </is>
      </c>
      <c r="B128" s="3" t="inlineStr">
        <is>
          <t>US-005-005</t>
        </is>
      </c>
      <c r="C128" s="3" t="inlineStr">
        <is>
          <t>EP-005</t>
        </is>
      </c>
      <c r="D128" s="3" t="inlineStr">
        <is>
          <t>Actual time is calculated from recorded task time entries.</t>
        </is>
      </c>
      <c r="E128" s="3" t="n"/>
      <c r="F128" s="3" t="inlineStr">
        <is>
          <t>Pass</t>
        </is>
      </c>
      <c r="G128" s="3" t="n"/>
      <c r="H128" s="3" t="n"/>
      <c r="I128" s="3" t="inlineStr">
        <is>
          <t>Claude (AI Engineer)</t>
        </is>
      </c>
      <c r="J128" s="3" t="inlineStr">
        <is>
          <t>SIT</t>
        </is>
      </c>
      <c r="K128" s="3" t="inlineStr">
        <is>
          <t>Code-verified: TasksService.getActualMinutes() always derives from real TaskTimeEntry rows, never a stored/directly-editable field. | PASS - manually re-verified live: logged a real task-timer entry on a task, then confirmed via task detail and GET /reports/task-time that actualMinutes/durationMinutes reflect exactly that recorded entry, not an estimate or a guess.</t>
        </is>
      </c>
    </row>
    <row r="129" ht="27.6" customHeight="1">
      <c r="A129" s="3" t="inlineStr">
        <is>
          <t>AC-005-005-04</t>
        </is>
      </c>
      <c r="B129" s="3" t="inlineStr">
        <is>
          <t>US-005-005</t>
        </is>
      </c>
      <c r="C129" s="3" t="inlineStr">
        <is>
          <t>EP-005</t>
        </is>
      </c>
      <c r="D129" s="3" t="inlineStr">
        <is>
          <t>Task detail shows estimate versus actual when estimate exists.</t>
        </is>
      </c>
      <c r="E129" s="3" t="n"/>
      <c r="F129" s="3" t="inlineStr">
        <is>
          <t>Pass</t>
        </is>
      </c>
      <c r="G129" s="3" t="n"/>
      <c r="H129" s="3" t="n"/>
      <c r="I129" s="3" t="inlineStr">
        <is>
          <t>Claude (AI Engineer)</t>
        </is>
      </c>
      <c r="J129" s="3" t="inlineStr">
        <is>
          <t>SIT</t>
        </is>
      </c>
      <c r="K129" s="3" t="inlineStr">
        <is>
          <t>Task detail includes estimatedMinutes when set; frontend task detail page shows estimate vs. actual side by side. | PASS - manually re-verified live in-browser: a task with a real 120-minute estimate and 0 minutes actually logged showed ACTUAL TIME 0h 0m, ESTIMATED 2h 0m, and VARIANCE -2h 0m on its detail page - all three only appear when an estimate exists.</t>
        </is>
      </c>
    </row>
    <row r="130" ht="27.6" customHeight="1">
      <c r="A130" s="3" t="inlineStr">
        <is>
          <t>AC-005-006-01</t>
        </is>
      </c>
      <c r="B130" s="3" t="inlineStr">
        <is>
          <t>US-005-006</t>
        </is>
      </c>
      <c r="C130" s="3" t="inlineStr">
        <is>
          <t>EP-005</t>
        </is>
      </c>
      <c r="D130" s="3" t="inlineStr">
        <is>
          <t>Status supports To Do, In Progress, Paused, Completed and Cancelled.</t>
        </is>
      </c>
      <c r="E130" s="3" t="n"/>
      <c r="F130" s="3" t="inlineStr">
        <is>
          <t>Pass</t>
        </is>
      </c>
      <c r="G130" s="3" t="n"/>
      <c r="H130" s="3" t="n"/>
      <c r="I130" s="3" t="inlineStr">
        <is>
          <t>Claude (AI Engineer)</t>
        </is>
      </c>
      <c r="J130" s="3" t="inlineStr">
        <is>
          <t>SIT</t>
        </is>
      </c>
      <c r="K130" s="3" t="inlineStr">
        <is>
          <t>TaskStatus enum defines TO_DO, IN_PROGRESS, PAUSED, COMPLETED, CANCELLED. | PASS - manually re-verified live: the Status selector on task detail (and the admin edit form) lists exactly TO DO, IN PROGRESS, PAUSED, COMPLETED, CANCELLED.</t>
        </is>
      </c>
    </row>
    <row r="131" ht="27.6" customHeight="1">
      <c r="A131" s="3" t="inlineStr">
        <is>
          <t>AC-005-006-02</t>
        </is>
      </c>
      <c r="B131" s="3" t="inlineStr">
        <is>
          <t>US-005-006</t>
        </is>
      </c>
      <c r="C131" s="3" t="inlineStr">
        <is>
          <t>EP-005</t>
        </is>
      </c>
      <c r="D131" s="3" t="inlineStr">
        <is>
          <t>Completed/Cancelled tasks cannot start new timers unless reopened by permitted user.</t>
        </is>
      </c>
      <c r="E131" s="3" t="n"/>
      <c r="F131" s="3" t="inlineStr">
        <is>
          <t>Pass</t>
        </is>
      </c>
      <c r="G131" s="3" t="n"/>
      <c r="H131" s="3" t="n"/>
      <c r="I131" s="3" t="inlineStr">
        <is>
          <t>Claude (AI Engineer)</t>
        </is>
      </c>
      <c r="J131" s="3" t="inlineStr">
        <is>
          <t>SIT</t>
        </is>
      </c>
      <c r="K131" s="3" t="inlineStr">
        <is>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 | PASS - manually re-verified live against production, 2026-09-09: completed a real task, then POST /task-timers/start on it -&gt; 400 'This task is completed or cancelled and cannot be timed'; an admin's PATCH /tasks/:id {status: TO_DO} on that same completed task succeeded (200), reopening it and confirming 'permitted user' reopening genuinely works before timing is allowed again.</t>
        </is>
      </c>
    </row>
    <row r="132" ht="27.6" customHeight="1">
      <c r="A132" s="3" t="inlineStr">
        <is>
          <t>AC-005-006-03</t>
        </is>
      </c>
      <c r="B132" s="3" t="inlineStr">
        <is>
          <t>US-005-006</t>
        </is>
      </c>
      <c r="C132" s="3" t="inlineStr">
        <is>
          <t>EP-005</t>
        </is>
      </c>
      <c r="D132" s="3" t="inlineStr">
        <is>
          <t>Starting a timer may automatically set task to In Progress.</t>
        </is>
      </c>
      <c r="E132" s="3" t="n"/>
      <c r="F132" s="3" t="inlineStr">
        <is>
          <t>Pass</t>
        </is>
      </c>
      <c r="G132" s="3" t="n"/>
      <c r="H132" s="3" t="n"/>
      <c r="I132" s="3" t="inlineStr">
        <is>
          <t>Claude (AI Engineer)</t>
        </is>
      </c>
      <c r="J132" s="3" t="inlineStr">
        <is>
          <t>SIT</t>
        </is>
      </c>
      <c r="K132" s="3" t="inlineStr">
        <is>
          <t>Live test 2026-09-08: a TO_DO task's status becomes IN_PROGRESS immediately after starting its timer, with no explicit status PATCH. | PASS - manually re-verified live: GET /audit shows TASK_STATUS_CHANGED entries with metadataJson {trigger: 'timer_start'} and beforeJson TO_DO -&gt; afterJson IN_PROGRESS every time a timer was started on a fresh task this session.</t>
        </is>
      </c>
    </row>
    <row r="133" ht="27.6" customHeight="1">
      <c r="A133" s="3" t="inlineStr">
        <is>
          <t>AC-005-006-04</t>
        </is>
      </c>
      <c r="B133" s="3" t="inlineStr">
        <is>
          <t>US-005-006</t>
        </is>
      </c>
      <c r="C133" s="3" t="inlineStr">
        <is>
          <t>EP-005</t>
        </is>
      </c>
      <c r="D133" s="3" t="inlineStr">
        <is>
          <t>Status changes are auditable.</t>
        </is>
      </c>
      <c r="E133" s="3" t="n"/>
      <c r="F133" s="3" t="inlineStr">
        <is>
          <t>Pass</t>
        </is>
      </c>
      <c r="G133" s="3" t="n"/>
      <c r="H133" s="3" t="n"/>
      <c r="I133" s="3" t="inlineStr">
        <is>
          <t>Claude (AI Engineer)</t>
        </is>
      </c>
      <c r="J133" s="3" t="inlineStr">
        <is>
          <t>SIT</t>
        </is>
      </c>
      <c r="K133" s="3" t="inlineStr">
        <is>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 | PASS - manually re-verified live: every status change this session (via timer start, direct PATCH, and admin reopen) produced a real TASK_STATUS_CHANGED or TASK_UPDATED audit entry with the actor and before/after status.</t>
        </is>
      </c>
    </row>
    <row r="134" ht="27.6" customHeight="1">
      <c r="A134" s="3" t="inlineStr">
        <is>
          <t>AC-005-007-01</t>
        </is>
      </c>
      <c r="B134" s="3" t="inlineStr">
        <is>
          <t>US-005-007</t>
        </is>
      </c>
      <c r="C134" s="3" t="inlineStr">
        <is>
          <t>EP-005</t>
        </is>
      </c>
      <c r="D134" s="3" t="inlineStr">
        <is>
          <t>Active timer for the task must be stopped before completion.</t>
        </is>
      </c>
      <c r="E134" s="3" t="n"/>
      <c r="F134" s="3" t="inlineStr">
        <is>
          <t>Pass</t>
        </is>
      </c>
      <c r="G134" s="3" t="n"/>
      <c r="H134" s="3" t="n"/>
      <c r="I134" s="3" t="inlineStr">
        <is>
          <t>Claude (AI Engineer)</t>
        </is>
      </c>
      <c r="J134" s="3" t="inlineStr">
        <is>
          <t>SIT</t>
        </is>
      </c>
      <c r="K134" s="3" t="inlineStr">
        <is>
          <t>Live test 2026-09-08: PATCH status=COMPLETED while the task's timer is still RUNNING -&gt; 400 "Stop the active timer on this task before completing it". | PASS - manually re-verified live against production, 2026-09-09: started a real task timer, then PATCH /tasks/:id {status: COMPLETED} -&gt; 400 'Stop the active timer on this task before completing it'.</t>
        </is>
      </c>
    </row>
    <row r="135" ht="27.6" customHeight="1">
      <c r="A135" s="3" t="inlineStr">
        <is>
          <t>AC-005-007-02</t>
        </is>
      </c>
      <c r="B135" s="3" t="inlineStr">
        <is>
          <t>US-005-007</t>
        </is>
      </c>
      <c r="C135" s="3" t="inlineStr">
        <is>
          <t>EP-005</t>
        </is>
      </c>
      <c r="D135" s="3" t="inlineStr">
        <is>
          <t>Completion timestamp is recorded.</t>
        </is>
      </c>
      <c r="E135" s="3" t="n"/>
      <c r="F135" s="3" t="inlineStr">
        <is>
          <t>Pass</t>
        </is>
      </c>
      <c r="G135" s="3" t="n"/>
      <c r="H135" s="3" t="n"/>
      <c r="I135" s="3" t="inlineStr">
        <is>
          <t>Claude (AI Engineer)</t>
        </is>
      </c>
      <c r="J135" s="3" t="inlineStr">
        <is>
          <t>SIT</t>
        </is>
      </c>
      <c r="K135" s="3" t="inlineStr">
        <is>
          <t>Live test 2026-09-08: completedAt is set to a real server timestamp on successful completion. | PASS - manually re-verified live: completing a task (after stopping its timer) returned a real completedAt server timestamp (2026-09-09T22:25:16.650Z) in the response.</t>
        </is>
      </c>
    </row>
    <row r="136" ht="27.6" customHeight="1">
      <c r="A136" s="3" t="inlineStr">
        <is>
          <t>AC-005-007-03</t>
        </is>
      </c>
      <c r="B136" s="3" t="inlineStr">
        <is>
          <t>US-005-007</t>
        </is>
      </c>
      <c r="C136" s="3" t="inlineStr">
        <is>
          <t>EP-005</t>
        </is>
      </c>
      <c r="D136" s="3" t="inlineStr">
        <is>
          <t>Task detail shows total actual time.</t>
        </is>
      </c>
      <c r="E136" s="3" t="n"/>
      <c r="F136" s="3" t="inlineStr">
        <is>
          <t>Pass</t>
        </is>
      </c>
      <c r="G136" s="3" t="n"/>
      <c r="H136" s="3" t="n"/>
      <c r="I136" s="3" t="inlineStr">
        <is>
          <t>Claude (AI Engineer)</t>
        </is>
      </c>
      <c r="J136" s="3" t="inlineStr">
        <is>
          <t>SIT</t>
        </is>
      </c>
      <c r="K136" s="3" t="inlineStr">
        <is>
          <t>Task detail remains fully fetchable after completion; actual time derives from the same always-live getActualMinutes() path. | PASS - manually re-verified live in-browser: task detail's ACTUAL TIME figure reflects the sum of that task's real TaskTimeEntry records, confirmed identical to the value computed by GET /reports/task-time for the same task.</t>
        </is>
      </c>
    </row>
    <row r="137" ht="27.6" customHeight="1">
      <c r="A137" s="3" t="inlineStr">
        <is>
          <t>AC-005-007-04</t>
        </is>
      </c>
      <c r="B137" s="3" t="inlineStr">
        <is>
          <t>US-005-007</t>
        </is>
      </c>
      <c r="C137" s="3" t="inlineStr">
        <is>
          <t>EP-005</t>
        </is>
      </c>
      <c r="D137" s="3" t="inlineStr">
        <is>
          <t>Completed task remains in historical reports.</t>
        </is>
      </c>
      <c r="E137" s="3" t="n"/>
      <c r="F137" s="3" t="inlineStr">
        <is>
          <t>Pass</t>
        </is>
      </c>
      <c r="G137" s="3" t="n"/>
      <c r="H137" s="3" t="n"/>
      <c r="I137" s="3" t="inlineStr">
        <is>
          <t>Claude (AI Engineer)</t>
        </is>
      </c>
      <c r="J137" s="3" t="inlineStr">
        <is>
          <t>SIT</t>
        </is>
      </c>
      <c r="K137" s="3" t="inlineStr">
        <is>
          <t>Structural: completion only changes Task.status - the row is never deleted, so it remains queryable by every report/history endpoint indefinitely. | PASS - manually re-verified live against production: after completing a task, GET /reports/task-time for that task still returned both of its real time entries with taskStatus COMPLETED - completing a task does not remove it from historical reporting.</t>
        </is>
      </c>
    </row>
    <row r="138" ht="27.6" customHeight="1">
      <c r="A138" s="3" t="inlineStr">
        <is>
          <t>AC-005-008-01</t>
        </is>
      </c>
      <c r="B138" s="3" t="inlineStr">
        <is>
          <t>US-005-008</t>
        </is>
      </c>
      <c r="C138" s="3" t="inlineStr">
        <is>
          <t>EP-005</t>
        </is>
      </c>
      <c r="D138" s="3" t="inlineStr">
        <is>
          <t>List defaults to active tasks assigned to user.</t>
        </is>
      </c>
      <c r="E138" s="3" t="n"/>
      <c r="F138" s="3" t="inlineStr">
        <is>
          <t>Pass</t>
        </is>
      </c>
      <c r="G138" s="3" t="n"/>
      <c r="H138" s="3" t="n"/>
      <c r="I138" s="3" t="inlineStr">
        <is>
          <t>Claude (AI Engineer)</t>
        </is>
      </c>
      <c r="J138" s="3" t="inlineStr">
        <is>
          <t>SIT</t>
        </is>
      </c>
      <c r="K138" s="3" t="inlineStr">
        <is>
          <t>Live test 2026-09-08: GET /tasks (no filters) as employee excludes COMPLETED/CANCELLED by default. | PASS - manually re-verified live against production, 2026-09-09: an employee's GET /tasks (no filter) excluded a real COMPLETED task by default, and the My Tasks page's default Status filter is literally labelled 'Active (default)'; switching it to COMPLETED correctly revealed the hidden task.</t>
        </is>
      </c>
    </row>
    <row r="139" ht="27.6" customHeight="1">
      <c r="A139" s="3" t="inlineStr">
        <is>
          <t>AC-005-008-02</t>
        </is>
      </c>
      <c r="B139" s="3" t="inlineStr">
        <is>
          <t>US-005-008</t>
        </is>
      </c>
      <c r="C139" s="3" t="inlineStr">
        <is>
          <t>EP-005</t>
        </is>
      </c>
      <c r="D139" s="3" t="inlineStr">
        <is>
          <t>User can filter by status and priority.</t>
        </is>
      </c>
      <c r="E139" s="3" t="n"/>
      <c r="F139" s="3" t="inlineStr">
        <is>
          <t>Pass</t>
        </is>
      </c>
      <c r="G139" s="3" t="n"/>
      <c r="H139" s="3" t="n"/>
      <c r="I139" s="3" t="inlineStr">
        <is>
          <t>Claude (AI Engineer)</t>
        </is>
      </c>
      <c r="J139" s="3" t="inlineStr">
        <is>
          <t>SIT</t>
        </is>
      </c>
      <c r="K139" s="3" t="inlineStr">
        <is>
          <t>Live test 2026-09-08: GET /tasks?status=CANCELLED returns only CANCELLED tasks. | PASS (after a real fix) - manually testing this live surfaced a genuine gap: the employee's My Tasks page had no status or priority filter UI at all, even though GET /tasks already accepted both server-side. Added both filter dropdowns. Verified live: switching Status to COMPLETED on a real account correctly showed exactly the one completed task and hid the rest.</t>
        </is>
      </c>
    </row>
    <row r="140" ht="27.6" customHeight="1">
      <c r="A140" s="3" t="inlineStr">
        <is>
          <t>AC-005-008-03</t>
        </is>
      </c>
      <c r="B140" s="3" t="inlineStr">
        <is>
          <t>US-005-008</t>
        </is>
      </c>
      <c r="C140" s="3" t="inlineStr">
        <is>
          <t>EP-005</t>
        </is>
      </c>
      <c r="D140" s="3" t="inlineStr">
        <is>
          <t>Task title, status, priority, due date and actual time are shown.</t>
        </is>
      </c>
      <c r="E140" s="3" t="n"/>
      <c r="F140" s="3" t="inlineStr">
        <is>
          <t>Pass</t>
        </is>
      </c>
      <c r="G140" s="3" t="n"/>
      <c r="H140" s="3" t="n"/>
      <c r="I140" s="3" t="inlineStr">
        <is>
          <t>Claude (AI Engineer)</t>
        </is>
      </c>
      <c r="J140" s="3" t="inlineStr">
        <is>
          <t>SIT</t>
        </is>
      </c>
      <c r="K140" s="3" t="inlineStr">
        <is>
          <t>Live test 2026-09-08: list rows include title, status, priority, dueDate, and support deriving actual time. | PASS (after a real fix) - manually testing this live surfaced a genuine gap: GET /tasks (the list endpoint used by both My Tasks and admin Task Management) never computed actualMinutes per row, unlike the single-task detail endpoint - so the 'actual time' this AC asks for was missing everywhere except task detail. Added a batched actual-minutes lookup (one query per list call, not one per task) to both listForUser and listAll, and displayed it on both list pages. Verified live: real tasks with logged time showed correct non-zero actual-time figures (e.g. 2h 8m, 3h 28m) on the admin list.</t>
        </is>
      </c>
    </row>
    <row r="141" ht="27.6" customHeight="1">
      <c r="A141" s="3" t="inlineStr">
        <is>
          <t>AC-005-008-04</t>
        </is>
      </c>
      <c r="B141" s="3" t="inlineStr">
        <is>
          <t>US-005-008</t>
        </is>
      </c>
      <c r="C141" s="3" t="inlineStr">
        <is>
          <t>EP-005</t>
        </is>
      </c>
      <c r="D141" s="3" t="inlineStr">
        <is>
          <t>Selecting a task opens task detail.</t>
        </is>
      </c>
      <c r="E141" s="3" t="n"/>
      <c r="F141" s="3" t="inlineStr">
        <is>
          <t>Pass</t>
        </is>
      </c>
      <c r="G141" s="3" t="n"/>
      <c r="H141" s="3" t="n"/>
      <c r="I141" s="3" t="inlineStr">
        <is>
          <t>Claude (AI Engineer)</t>
        </is>
      </c>
      <c r="J141" s="3" t="inlineStr">
        <is>
          <t>SIT</t>
        </is>
      </c>
      <c r="K141" s="3" t="inlineStr">
        <is>
          <t>Same GET /tasks/:id evidence as AC-005-003-02 - the list and detail views share the identical endpoint the frontend navigates to on selection. | PASS - manually re-verified live in-browser: clicking any task's title on either list navigated to its /tasks/:id detail page, confirmed across a dozen real tasks this session. | Test data note: all EP-005 live testing used a real disposable employee account (manual-ep5-1788991685320@atms.app) and several real tasks created live on the deployed Azure app, including one genuinely self-created by the employee. Test tasks were left in place as historical data (no destructive delete path exists by design); the test employee account was set to INACTIVE afterward via the admin Users screen.</t>
        </is>
      </c>
    </row>
    <row r="142" ht="27.6" customHeight="1">
      <c r="A142" s="3" t="inlineStr">
        <is>
          <t>AC-006-001-01</t>
        </is>
      </c>
      <c r="B142" s="3" t="inlineStr">
        <is>
          <t>US-006-001</t>
        </is>
      </c>
      <c r="C142" s="3" t="inlineStr">
        <is>
          <t>EP-006</t>
        </is>
      </c>
      <c r="D142" s="3" t="inlineStr">
        <is>
          <t>User must be clocked in and not on break.</t>
        </is>
      </c>
      <c r="E142" s="3" t="n"/>
      <c r="F142" s="3" t="inlineStr">
        <is>
          <t>Pass</t>
        </is>
      </c>
      <c r="G142" s="3" t="n"/>
      <c r="H142" s="3" t="n"/>
      <c r="I142" s="3" t="inlineStr">
        <is>
          <t>Claude (AI Engineer)</t>
        </is>
      </c>
      <c r="J142" s="3" t="inlineStr">
        <is>
          <t>SIT</t>
        </is>
      </c>
      <c r="K142" s="3" t="inlineStr">
        <is>
          <t>Live test 2026-09-08: timer start with no attendance session -&gt; 400; timer start while ON_BREAK -&gt; 400 "You must be clocked in and not on break". | PASS - manually re-verified live against production, 2026-09-09: a fresh employee session (not clocked in) -&gt; POST /task-timers/start -&gt; 400 'You must be clocked in and not on break...'; the same call while on a real break -&gt; the identical 400.</t>
        </is>
      </c>
    </row>
    <row r="143" ht="27.6" customHeight="1">
      <c r="A143" s="3" t="inlineStr">
        <is>
          <t>AC-006-001-02</t>
        </is>
      </c>
      <c r="B143" s="3" t="inlineStr">
        <is>
          <t>US-006-001</t>
        </is>
      </c>
      <c r="C143" s="3" t="inlineStr">
        <is>
          <t>EP-006</t>
        </is>
      </c>
      <c r="D143" s="3" t="inlineStr">
        <is>
          <t>Task must be eligible for the user.</t>
        </is>
      </c>
      <c r="E143" s="3" t="n"/>
      <c r="F143" s="3" t="inlineStr">
        <is>
          <t>Pass</t>
        </is>
      </c>
      <c r="G143" s="3" t="n"/>
      <c r="H143" s="3" t="n"/>
      <c r="I143" s="3" t="inlineStr">
        <is>
          <t>Claude (AI Engineer)</t>
        </is>
      </c>
      <c r="J143" s="3" t="inlineStr">
        <is>
          <t>SIT</t>
        </is>
      </c>
      <c r="K143" s="3" t="inlineStr">
        <is>
          <t>Proven repeatedly across EP-005/EP-006 live tests: requireEligibleTask() blocks tasks not assigned to the caller and completed/cancelled tasks. | PASS - manually re-verified live: POST /task-timers/start on a real task assigned to a different user -&gt; 400 'This task is not assigned to you'.</t>
        </is>
      </c>
    </row>
    <row r="144" ht="27.6" customHeight="1">
      <c r="A144" s="3" t="inlineStr">
        <is>
          <t>AC-006-001-03</t>
        </is>
      </c>
      <c r="B144" s="3" t="inlineStr">
        <is>
          <t>US-006-001</t>
        </is>
      </c>
      <c r="C144" s="3" t="inlineStr">
        <is>
          <t>EP-006</t>
        </is>
      </c>
      <c r="D144" s="3" t="inlineStr">
        <is>
          <t>Server timestamp is authoritative.</t>
        </is>
      </c>
      <c r="E144" s="3" t="n"/>
      <c r="F144" s="3" t="inlineStr">
        <is>
          <t>Pass</t>
        </is>
      </c>
      <c r="G144" s="3" t="n"/>
      <c r="H144" s="3" t="n"/>
      <c r="I144" s="3" t="inlineStr">
        <is>
          <t>Claude (AI Engineer)</t>
        </is>
      </c>
      <c r="J144" s="3" t="inlineStr">
        <is>
          <t>SIT</t>
        </is>
      </c>
      <c r="K144" s="3" t="inlineStr">
        <is>
          <t>Live test 2026-09-08: startAt is server-generated; the endpoint only accepts taskId in its body. | PASS - manually re-verified live: every task-timer start this session returned a server-generated startAt matching the moment of the request; the endpoint accepts no client timestamp.</t>
        </is>
      </c>
    </row>
    <row r="145" ht="27.6" customHeight="1">
      <c r="A145" s="3" t="inlineStr">
        <is>
          <t>AC-006-001-04</t>
        </is>
      </c>
      <c r="B145" s="3" t="inlineStr">
        <is>
          <t>US-006-001</t>
        </is>
      </c>
      <c r="C145" s="3" t="inlineStr">
        <is>
          <t>EP-006</t>
        </is>
      </c>
      <c r="D145" s="3" t="inlineStr">
        <is>
          <t>Only one active task timer is allowed per user.</t>
        </is>
      </c>
      <c r="E145" s="3" t="n"/>
      <c r="F145" s="3" t="inlineStr">
        <is>
          <t>Pass</t>
        </is>
      </c>
      <c r="G145" s="3" t="n"/>
      <c r="H145" s="3" t="n"/>
      <c r="I145" s="3" t="inlineStr">
        <is>
          <t>Claude (AI Engineer)</t>
        </is>
      </c>
      <c r="J145" s="3" t="inlineStr">
        <is>
          <t>SIT</t>
        </is>
      </c>
      <c r="K145" s="3" t="inlineStr">
        <is>
          <t>Live test 2026-09-08: second timer-start attempt while one is running -&gt; 409. | PASS - manually re-verified live against production: while a real timer was running on Task A, POST /task-timers/start on a different real Task B -&gt; 409 'A task timer is already running' with the existing timer's full detail returned.</t>
        </is>
      </c>
    </row>
    <row r="146" ht="27.6" customHeight="1">
      <c r="A146" s="3" t="inlineStr">
        <is>
          <t>AC-006-002-01</t>
        </is>
      </c>
      <c r="B146" s="3" t="inlineStr">
        <is>
          <t>US-006-002</t>
        </is>
      </c>
      <c r="C146" s="3" t="inlineStr">
        <is>
          <t>EP-006</t>
        </is>
      </c>
      <c r="D146" s="3" t="inlineStr">
        <is>
          <t>Active task name and elapsed time are visible on primary screens.</t>
        </is>
      </c>
      <c r="E146" s="3" t="n"/>
      <c r="F146" s="3" t="inlineStr">
        <is>
          <t>Pass</t>
        </is>
      </c>
      <c r="G146" s="3" t="n"/>
      <c r="H146" s="3" t="n"/>
      <c r="I146" s="3" t="inlineStr">
        <is>
          <t>Claude (AI Engineer)</t>
        </is>
      </c>
      <c r="J146" s="3" t="inlineStr">
        <is>
          <t>SIT</t>
        </is>
      </c>
      <c r="K146" s="3" t="inlineStr">
        <is>
          <t>Code-verified: GlobalTimerBar (shown on every logged-in page) renders the active task title and live elapsed duration. | PASS - manually re-verified live in-browser: /my-day's ACTIVE TASK card showed the real running task's title and a live elapsed counter (e.g. 00:00:15) simultaneously.</t>
        </is>
      </c>
    </row>
    <row r="147" ht="27.6" customHeight="1">
      <c r="A147" s="3" t="inlineStr">
        <is>
          <t>AC-006-002-02</t>
        </is>
      </c>
      <c r="B147" s="3" t="inlineStr">
        <is>
          <t>US-006-002</t>
        </is>
      </c>
      <c r="C147" s="3" t="inlineStr">
        <is>
          <t>EP-006</t>
        </is>
      </c>
      <c r="D147" s="3" t="inlineStr">
        <is>
          <t>Display is calculated from authoritative start time and current server-synchronised time.</t>
        </is>
      </c>
      <c r="E147" s="3" t="n"/>
      <c r="F147" s="3" t="inlineStr">
        <is>
          <t>Pass</t>
        </is>
      </c>
      <c r="G147" s="3" t="n"/>
      <c r="H147" s="3" t="n"/>
      <c r="I147" s="3" t="inlineStr">
        <is>
          <t>Claude (AI Engineer)</t>
        </is>
      </c>
      <c r="J147" s="3" t="inlineStr">
        <is>
          <t>SIT</t>
        </is>
      </c>
      <c r="K147" s="3" t="inlineStr">
        <is>
          <t>Code-verified (use-elapsed.ts, explicitly commented for this AC): elapsed = Date.now() - startAt, recomputed client-side every second. | PASS - manually re-verified live: read the elapsed counter twice, ~11 seconds apart (00:00:15 -&gt; 00:00:26) with no page interaction in between - confirmed it is computed client-side from the authoritative startAt against the current clock (useElapsedSeconds ticks via setInterval, never a server write).</t>
        </is>
      </c>
    </row>
    <row r="148" ht="27.6" customHeight="1">
      <c r="A148" s="3" t="inlineStr">
        <is>
          <t>AC-006-002-03</t>
        </is>
      </c>
      <c r="B148" s="3" t="inlineStr">
        <is>
          <t>US-006-002</t>
        </is>
      </c>
      <c r="C148" s="3" t="inlineStr">
        <is>
          <t>EP-006</t>
        </is>
      </c>
      <c r="D148" s="3" t="inlineStr">
        <is>
          <t>Refresh/re-login restores active timer display.</t>
        </is>
      </c>
      <c r="E148" s="3" t="n"/>
      <c r="F148" s="3" t="inlineStr">
        <is>
          <t>Pass</t>
        </is>
      </c>
      <c r="G148" s="3" t="n"/>
      <c r="H148" s="3" t="n"/>
      <c r="I148" s="3" t="inlineStr">
        <is>
          <t>Claude (AI Engineer)</t>
        </is>
      </c>
      <c r="J148" s="3" t="inlineStr">
        <is>
          <t>SIT</t>
        </is>
      </c>
      <c r="K148" s="3" t="inlineStr">
        <is>
          <t>Same TanStack-Query refetch-on-mount pattern confirmed working live for AC-001-007-04 - a fresh page load always re-derives state from the server. | PASS - manually re-verified live: hard-reloaded /my-day while a real timer was running - the elapsed counter correctly continued from the true elapsed value (00:00:35, consistent with the real startAt), not reset to zero.</t>
        </is>
      </c>
    </row>
    <row r="149" ht="27.6" customHeight="1">
      <c r="A149" s="3" t="inlineStr">
        <is>
          <t>AC-006-002-04</t>
        </is>
      </c>
      <c r="B149" s="3" t="inlineStr">
        <is>
          <t>US-006-002</t>
        </is>
      </c>
      <c r="C149" s="3" t="inlineStr">
        <is>
          <t>EP-006</t>
        </is>
      </c>
      <c r="D149" s="3" t="inlineStr">
        <is>
          <t>Pause/Stop/Switch actions remain accessible.</t>
        </is>
      </c>
      <c r="E149" s="3" t="n"/>
      <c r="F149" s="3" t="inlineStr">
        <is>
          <t>Pass</t>
        </is>
      </c>
      <c r="G149" s="3" t="n"/>
      <c r="H149" s="3" t="n"/>
      <c r="I149" s="3" t="inlineStr">
        <is>
          <t>Claude (AI Engineer)</t>
        </is>
      </c>
      <c r="J149" s="3" t="inlineStr">
        <is>
          <t>SIT</t>
        </is>
      </c>
      <c r="K149" s="3" t="inlineStr">
        <is>
          <t>GlobalTimerBar renders unconditionally in AppShell alongside page content, not as a blocking modal. | PASS - manually re-verified live in-browser: Pause and Stop buttons were present and functional on the ACTIVE TASK card the entire time a timer was running; a 'Switch to this' action was available on the other assigned task.</t>
        </is>
      </c>
    </row>
    <row r="150" ht="27.6" customHeight="1">
      <c r="A150" s="3" t="inlineStr">
        <is>
          <t>AC-006-003-01</t>
        </is>
      </c>
      <c r="B150" s="3" t="inlineStr">
        <is>
          <t>US-006-003</t>
        </is>
      </c>
      <c r="C150" s="3" t="inlineStr">
        <is>
          <t>EP-006</t>
        </is>
      </c>
      <c r="D150" s="3" t="inlineStr">
        <is>
          <t>Only an active timer can be paused.</t>
        </is>
      </c>
      <c r="E150" s="3" t="n"/>
      <c r="F150" s="3" t="inlineStr">
        <is>
          <t>Pass</t>
        </is>
      </c>
      <c r="G150" s="3" t="n"/>
      <c r="H150" s="3" t="n"/>
      <c r="I150" s="3" t="inlineStr">
        <is>
          <t>Claude (AI Engineer)</t>
        </is>
      </c>
      <c r="J150" s="3" t="inlineStr">
        <is>
          <t>SIT</t>
        </is>
      </c>
      <c r="K150" s="3" t="inlineStr">
        <is>
          <t>Live test 2026-09-08: pause with no active timer -&gt; 400. | PASS - manually re-verified live: with no active timer, POST /task-timers/pause -&gt; 400 'No active task timer to pause'.</t>
        </is>
      </c>
    </row>
    <row r="151" ht="27.6" customHeight="1">
      <c r="A151" s="3" t="inlineStr">
        <is>
          <t>AC-006-003-02</t>
        </is>
      </c>
      <c r="B151" s="3" t="inlineStr">
        <is>
          <t>US-006-003</t>
        </is>
      </c>
      <c r="C151" s="3" t="inlineStr">
        <is>
          <t>EP-006</t>
        </is>
      </c>
      <c r="D151" s="3" t="inlineStr">
        <is>
          <t>Pause closes the current active timing segment.</t>
        </is>
      </c>
      <c r="E151" s="3" t="n"/>
      <c r="F151" s="3" t="inlineStr">
        <is>
          <t>Pass</t>
        </is>
      </c>
      <c r="G151" s="3" t="n"/>
      <c r="H151" s="3" t="n"/>
      <c r="I151" s="3" t="inlineStr">
        <is>
          <t>Claude (AI Engineer)</t>
        </is>
      </c>
      <c r="J151" s="3" t="inlineStr">
        <is>
          <t>SIT</t>
        </is>
      </c>
      <c r="K151" s="3" t="inlineStr">
        <is>
          <t>Live test 2026-09-08: pause closes the segment (status=CLOSED, endAt set). | PASS - manually re-verified live: pausing a real running timer returned it with status CLOSED and a real server-generated endAt - the segment is genuinely closed, not just flagged.</t>
        </is>
      </c>
    </row>
    <row r="152" ht="27.6" customHeight="1">
      <c r="A152" s="3" t="inlineStr">
        <is>
          <t>AC-006-003-03</t>
        </is>
      </c>
      <c r="B152" s="3" t="inlineStr">
        <is>
          <t>US-006-003</t>
        </is>
      </c>
      <c r="C152" s="3" t="inlineStr">
        <is>
          <t>EP-006</t>
        </is>
      </c>
      <c r="D152" s="3" t="inlineStr">
        <is>
          <t>Elapsed duration excludes paused period.</t>
        </is>
      </c>
      <c r="E152" s="3" t="n"/>
      <c r="F152" s="3" t="inlineStr">
        <is>
          <t>Pass</t>
        </is>
      </c>
      <c r="G152" s="3" t="n"/>
      <c r="H152" s="3" t="n"/>
      <c r="I152" s="3" t="inlineStr">
        <is>
          <t>Claude (AI Engineer)</t>
        </is>
      </c>
      <c r="J152" s="3" t="inlineStr">
        <is>
          <t>SIT</t>
        </is>
      </c>
      <c r="K152" s="3" t="inlineStr">
        <is>
          <t>Structural: duration totals sum only CLOSED/RUNNING segments; the pause-to-resume gap is never itself a segment, excluded by construction. | PASS - manually re-verified live: GET /reconciliation/me's timeline showed the paused segment ending at one timestamp and the resumed segment starting at a later one, with the gap between them correctly uncounted in either segment's duration.</t>
        </is>
      </c>
    </row>
    <row r="153" ht="27.6" customHeight="1">
      <c r="A153" s="3" t="inlineStr">
        <is>
          <t>AC-006-003-04</t>
        </is>
      </c>
      <c r="B153" s="3" t="inlineStr">
        <is>
          <t>US-006-003</t>
        </is>
      </c>
      <c r="C153" s="3" t="inlineStr">
        <is>
          <t>EP-006</t>
        </is>
      </c>
      <c r="D153" s="3" t="inlineStr">
        <is>
          <t>Task remains available to resume.</t>
        </is>
      </c>
      <c r="E153" s="3" t="n"/>
      <c r="F153" s="3" t="inlineStr">
        <is>
          <t>Pass</t>
        </is>
      </c>
      <c r="G153" s="3" t="n"/>
      <c r="H153" s="3" t="n"/>
      <c r="I153" s="3" t="inlineStr">
        <is>
          <t>Claude (AI Engineer)</t>
        </is>
      </c>
      <c r="J153" s="3" t="inlineStr">
        <is>
          <t>SIT</t>
        </is>
      </c>
      <c r="K153" s="3" t="inlineStr">
        <is>
          <t>Live test 2026-09-08: resume succeeded (201) after a pause. | PASS - manually re-verified live in-browser: after pausing, the task's card on /my-day showed a 'Resume' action and its status remained IN_PROGRESS (not reverted to TO DO).</t>
        </is>
      </c>
    </row>
    <row r="154" ht="27.6" customHeight="1">
      <c r="A154" s="3" t="inlineStr">
        <is>
          <t>AC-006-004-01</t>
        </is>
      </c>
      <c r="B154" s="3" t="inlineStr">
        <is>
          <t>US-006-004</t>
        </is>
      </c>
      <c r="C154" s="3" t="inlineStr">
        <is>
          <t>EP-006</t>
        </is>
      </c>
      <c r="D154" s="3" t="inlineStr">
        <is>
          <t>Task must be paused and user must be clocked in/not on break.</t>
        </is>
      </c>
      <c r="E154" s="3" t="n"/>
      <c r="F154" s="3" t="inlineStr">
        <is>
          <t>Pass</t>
        </is>
      </c>
      <c r="G154" s="3" t="n"/>
      <c r="H154" s="3" t="n"/>
      <c r="I154" s="3" t="inlineStr">
        <is>
          <t>Claude (AI Engineer)</t>
        </is>
      </c>
      <c r="J154" s="3" t="inlineStr">
        <is>
          <t>SIT</t>
        </is>
      </c>
      <c r="K154" s="3" t="inlineStr">
        <is>
          <t>Live test 2026-09-08: resume on a task never started before -&gt; 400; resume while ON_BREAK blocked by the same requireActiveWorkingSession() as start(). | PASS - manually re-verified live against production, 2026-09-09: POST /task-timers/resume while on a real break -&gt; 400 'You must be clocked in and not on break...'; the same call after ending the break -&gt; 201 success.</t>
        </is>
      </c>
    </row>
    <row r="155" ht="27.6" customHeight="1">
      <c r="A155" s="3" t="inlineStr">
        <is>
          <t>AC-006-004-02</t>
        </is>
      </c>
      <c r="B155" s="3" t="inlineStr">
        <is>
          <t>US-006-004</t>
        </is>
      </c>
      <c r="C155" s="3" t="inlineStr">
        <is>
          <t>EP-006</t>
        </is>
      </c>
      <c r="D155" s="3" t="inlineStr">
        <is>
          <t>Resume creates a new timing segment.</t>
        </is>
      </c>
      <c r="E155" s="3" t="n"/>
      <c r="F155" s="3" t="inlineStr">
        <is>
          <t>Pass</t>
        </is>
      </c>
      <c r="G155" s="3" t="n"/>
      <c r="H155" s="3" t="n"/>
      <c r="I155" s="3" t="inlineStr">
        <is>
          <t>Claude (AI Engineer)</t>
        </is>
      </c>
      <c r="J155" s="3" t="inlineStr">
        <is>
          <t>SIT</t>
        </is>
      </c>
      <c r="K155" s="3" t="inlineStr">
        <is>
          <t>Live test 2026-09-08: task had 2 distinct segments (pre-pause + post-resume) after resuming - a genuinely new row, not a reused one. | PASS - manually re-verified live: resume created a brand-new TaskTimeEntry id, distinct from the paused segment's id - a genuinely new timing segment, not a reopened old one.</t>
        </is>
      </c>
    </row>
    <row r="156" ht="27.6" customHeight="1">
      <c r="A156" s="3" t="inlineStr">
        <is>
          <t>AC-006-004-03</t>
        </is>
      </c>
      <c r="B156" s="3" t="inlineStr">
        <is>
          <t>US-006-004</t>
        </is>
      </c>
      <c r="C156" s="3" t="inlineStr">
        <is>
          <t>EP-006</t>
        </is>
      </c>
      <c r="D156" s="3" t="inlineStr">
        <is>
          <t>Previous recorded duration is retained.</t>
        </is>
      </c>
      <c r="E156" s="3" t="n"/>
      <c r="F156" s="3" t="inlineStr">
        <is>
          <t>Pass</t>
        </is>
      </c>
      <c r="G156" s="3" t="n"/>
      <c r="H156" s="3" t="n"/>
      <c r="I156" s="3" t="inlineStr">
        <is>
          <t>Claude (AI Engineer)</t>
        </is>
      </c>
      <c r="J156" s="3" t="inlineStr">
        <is>
          <t>SIT</t>
        </is>
      </c>
      <c r="K156" s="3" t="inlineStr">
        <is>
          <t>Live test 2026-09-08: the pre-pause segment retained its own original start/end, unaffected by the later resume. | PASS - manually re-verified live: after resuming, GET /tasks/:id's actualMinutes reflected the sum of the first (paused) segment plus the newly-running one, confirming the earlier recorded duration was retained, not discarded.</t>
        </is>
      </c>
    </row>
    <row r="157" ht="27.6" customHeight="1">
      <c r="A157" s="3" t="inlineStr">
        <is>
          <t>AC-006-004-04</t>
        </is>
      </c>
      <c r="B157" s="3" t="inlineStr">
        <is>
          <t>US-006-004</t>
        </is>
      </c>
      <c r="C157" s="3" t="inlineStr">
        <is>
          <t>EP-006</t>
        </is>
      </c>
      <c r="D157" s="3" t="inlineStr">
        <is>
          <t>Only one active timer exists after resume.</t>
        </is>
      </c>
      <c r="E157" s="3" t="n"/>
      <c r="F157" s="3" t="inlineStr">
        <is>
          <t>Pass</t>
        </is>
      </c>
      <c r="G157" s="3" t="n"/>
      <c r="H157" s="3" t="n"/>
      <c r="I157" s="3" t="inlineStr">
        <is>
          <t>Claude (AI Engineer)</t>
        </is>
      </c>
      <c r="J157" s="3" t="inlineStr">
        <is>
          <t>SIT</t>
        </is>
      </c>
      <c r="K157" s="3" t="inlineStr">
        <is>
          <t>Live test 2026-09-08: a second timer-start attempt after resuming -&gt; 409. | PASS - manually re-verified live: GET /attendance/state's activeTimer after resume pointed at exactly one timer (the new segment's id) - no duplicate active timer existed.</t>
        </is>
      </c>
    </row>
    <row r="158" ht="27.6" customHeight="1">
      <c r="A158" s="3" t="inlineStr">
        <is>
          <t>AC-006-005-01</t>
        </is>
      </c>
      <c r="B158" s="3" t="inlineStr">
        <is>
          <t>US-006-005</t>
        </is>
      </c>
      <c r="C158" s="3" t="inlineStr">
        <is>
          <t>EP-006</t>
        </is>
      </c>
      <c r="D158" s="3" t="inlineStr">
        <is>
          <t>Only an active timer can be stopped.</t>
        </is>
      </c>
      <c r="E158" s="3" t="n"/>
      <c r="F158" s="3" t="inlineStr">
        <is>
          <t>Pass</t>
        </is>
      </c>
      <c r="G158" s="3" t="n"/>
      <c r="H158" s="3" t="n"/>
      <c r="I158" s="3" t="inlineStr">
        <is>
          <t>Claude (AI Engineer)</t>
        </is>
      </c>
      <c r="J158" s="3" t="inlineStr">
        <is>
          <t>SIT</t>
        </is>
      </c>
      <c r="K158" s="3" t="inlineStr">
        <is>
          <t>Live test 2026-09-08: stop succeeded once (200), a second stop with nothing running -&gt; 400. | PASS - manually re-verified live: stopping an already-stopped timer -&gt; 400 'No active task timer to stop'.</t>
        </is>
      </c>
    </row>
    <row r="159" ht="27.6" customHeight="1">
      <c r="A159" s="3" t="inlineStr">
        <is>
          <t>AC-006-005-02</t>
        </is>
      </c>
      <c r="B159" s="3" t="inlineStr">
        <is>
          <t>US-006-005</t>
        </is>
      </c>
      <c r="C159" s="3" t="inlineStr">
        <is>
          <t>EP-006</t>
        </is>
      </c>
      <c r="D159" s="3" t="inlineStr">
        <is>
          <t>Server time records stop timestamp.</t>
        </is>
      </c>
      <c r="E159" s="3" t="n"/>
      <c r="F159" s="3" t="inlineStr">
        <is>
          <t>Pass</t>
        </is>
      </c>
      <c r="G159" s="3" t="n"/>
      <c r="H159" s="3" t="n"/>
      <c r="I159" s="3" t="inlineStr">
        <is>
          <t>Claude (AI Engineer)</t>
        </is>
      </c>
      <c r="J159" s="3" t="inlineStr">
        <is>
          <t>SIT</t>
        </is>
      </c>
      <c r="K159" s="3" t="inlineStr">
        <is>
          <t>Live test 2026-09-08: stop response endAt is server-generated; endpoint takes no body. | PASS - manually re-verified live: every stop this session returned a server-generated endAt.</t>
        </is>
      </c>
    </row>
    <row r="160" ht="27.6" customHeight="1">
      <c r="A160" s="3" t="inlineStr">
        <is>
          <t>AC-006-005-03</t>
        </is>
      </c>
      <c r="B160" s="3" t="inlineStr">
        <is>
          <t>US-006-005</t>
        </is>
      </c>
      <c r="C160" s="3" t="inlineStr">
        <is>
          <t>EP-006</t>
        </is>
      </c>
      <c r="D160" s="3" t="inlineStr">
        <is>
          <t>Actual task duration is updated immediately.</t>
        </is>
      </c>
      <c r="E160" s="3" t="n"/>
      <c r="F160" s="3" t="inlineStr">
        <is>
          <t>Pass</t>
        </is>
      </c>
      <c r="G160" s="3" t="n"/>
      <c r="H160" s="3" t="n"/>
      <c r="I160" s="3" t="inlineStr">
        <is>
          <t>Claude (AI Engineer)</t>
        </is>
      </c>
      <c r="J160" s="3" t="inlineStr">
        <is>
          <t>SIT</t>
        </is>
      </c>
      <c r="K160" s="3" t="inlineStr">
        <is>
          <t>Live test 2026-09-08: task detail actualMinutes available immediately after stop, no delay. | PASS - manually re-verified live: GET /tasks/:id's actualMinutes updated immediately in the very next request after a stop, with no propagation delay.</t>
        </is>
      </c>
    </row>
    <row r="161" ht="27.6" customHeight="1">
      <c r="A161" s="3" t="inlineStr">
        <is>
          <t>AC-006-005-04</t>
        </is>
      </c>
      <c r="B161" s="3" t="inlineStr">
        <is>
          <t>US-006-005</t>
        </is>
      </c>
      <c r="C161" s="3" t="inlineStr">
        <is>
          <t>EP-006</t>
        </is>
      </c>
      <c r="D161" s="3" t="inlineStr">
        <is>
          <t>Stopped interval appears in daily activity timeline.</t>
        </is>
      </c>
      <c r="E161" s="3" t="n"/>
      <c r="F161" s="3" t="inlineStr">
        <is>
          <t>Pass</t>
        </is>
      </c>
      <c r="G161" s="3" t="n"/>
      <c r="H161" s="3" t="n"/>
      <c r="I161" s="3" t="inlineStr">
        <is>
          <t>Claude (AI Engineer)</t>
        </is>
      </c>
      <c r="J161" s="3" t="inlineStr">
        <is>
          <t>SIT</t>
        </is>
      </c>
      <c r="K161" s="3" t="inlineStr">
        <is>
          <t>Live test 2026-09-08: the just-stopped segment appears in the same day's daily-log. | PASS - manually re-verified live: GET /reconciliation/me's timeline included the just-stopped interval immediately, correctly ordered among the day's other events.</t>
        </is>
      </c>
    </row>
    <row r="162" ht="27.6" customHeight="1">
      <c r="A162" s="3" t="inlineStr">
        <is>
          <t>AC-006-006-01</t>
        </is>
      </c>
      <c r="B162" s="3" t="inlineStr">
        <is>
          <t>US-006-006</t>
        </is>
      </c>
      <c r="C162" s="3" t="inlineStr">
        <is>
          <t>EP-006</t>
        </is>
      </c>
      <c r="D162" s="3" t="inlineStr">
        <is>
          <t>System stops current task and starts selected task at one consistent boundary.</t>
        </is>
      </c>
      <c r="E162" s="3" t="n"/>
      <c r="F162" s="3" t="inlineStr">
        <is>
          <t>Pass</t>
        </is>
      </c>
      <c r="G162" s="3" t="n"/>
      <c r="H162" s="3" t="n"/>
      <c r="I162" s="3" t="inlineStr">
        <is>
          <t>Claude (AI Engineer)</t>
        </is>
      </c>
      <c r="J162" s="3" t="inlineStr">
        <is>
          <t>SIT</t>
        </is>
      </c>
      <c r="K162" s="3" t="inlineStr">
        <is>
          <t>Live test 2026-09-08: switch succeeded (201) while a different task's timer was running. | PASS - manually re-verified live against production, 2026-09-09, with exact timestamp proof: switching from a running Task A timer to Task B produced Task A's closing segment ending at 2026-09-09T22:34:26.101Z and Task B's new segment starting at the byte-identical 2026-09-09T22:34:26.101Z - one consistent server-generated boundary, not two independent timestamps.</t>
        </is>
      </c>
    </row>
    <row r="163" ht="27.6" customHeight="1">
      <c r="A163" s="3" t="inlineStr">
        <is>
          <t>AC-006-006-02</t>
        </is>
      </c>
      <c r="B163" s="3" t="inlineStr">
        <is>
          <t>US-006-006</t>
        </is>
      </c>
      <c r="C163" s="3" t="inlineStr">
        <is>
          <t>EP-006</t>
        </is>
      </c>
      <c r="D163" s="3" t="inlineStr">
        <is>
          <t>No overlap is created.</t>
        </is>
      </c>
      <c r="E163" s="3" t="n"/>
      <c r="F163" s="3" t="inlineStr">
        <is>
          <t>Pass</t>
        </is>
      </c>
      <c r="G163" s="3" t="n"/>
      <c r="H163" s="3" t="n"/>
      <c r="I163" s="3" t="inlineStr">
        <is>
          <t>Claude (AI Engineer)</t>
        </is>
      </c>
      <c r="J163" s="3" t="inlineStr">
        <is>
          <t>SIT</t>
        </is>
      </c>
      <c r="K163" s="3" t="inlineStr">
        <is>
          <t>Live test 2026-09-08: the closed segment's endAt exactly equals the new segment's startAt - one shared server boundary, zero gap or overlap. | PASS (same evidence as AC-006-006-01) - the identical boundary timestamp on both sides proves there is no gap and no overlap between the closed and opened segments.</t>
        </is>
      </c>
    </row>
    <row r="164" ht="27.6" customHeight="1">
      <c r="A164" s="3" t="inlineStr">
        <is>
          <t>AC-006-006-03</t>
        </is>
      </c>
      <c r="B164" s="3" t="inlineStr">
        <is>
          <t>US-006-006</t>
        </is>
      </c>
      <c r="C164" s="3" t="inlineStr">
        <is>
          <t>EP-006</t>
        </is>
      </c>
      <c r="D164" s="3" t="inlineStr">
        <is>
          <t>New task must be eligible and active.</t>
        </is>
      </c>
      <c r="E164" s="3" t="n"/>
      <c r="F164" s="3" t="inlineStr">
        <is>
          <t>Pass</t>
        </is>
      </c>
      <c r="G164" s="3" t="n"/>
      <c r="H164" s="3" t="n"/>
      <c r="I164" s="3" t="inlineStr">
        <is>
          <t>Claude (AI Engineer)</t>
        </is>
      </c>
      <c r="J164" s="3" t="inlineStr">
        <is>
          <t>SIT</t>
        </is>
      </c>
      <c r="K164" s="3" t="inlineStr">
        <is>
          <t>Live test 2026-09-08: switching to a cancelled task -&gt; 400 "This task is completed or cancelled and cannot be timed". | PASS - manually re-verified live: switching to a task not assigned to the user -&gt; 400 'This task is not assigned to you'; switching to a real COMPLETED task -&gt; 400 'This task is completed or cancelled and cannot be timed'.</t>
        </is>
      </c>
    </row>
    <row r="165" ht="27.6" customHeight="1">
      <c r="A165" s="3" t="inlineStr">
        <is>
          <t>AC-006-006-04</t>
        </is>
      </c>
      <c r="B165" s="3" t="inlineStr">
        <is>
          <t>US-006-006</t>
        </is>
      </c>
      <c r="C165" s="3" t="inlineStr">
        <is>
          <t>EP-006</t>
        </is>
      </c>
      <c r="D165" s="3" t="inlineStr">
        <is>
          <t>Both resulting records are visible in timeline.</t>
        </is>
      </c>
      <c r="E165" s="3" t="n"/>
      <c r="F165" s="3" t="inlineStr">
        <is>
          <t>Pass</t>
        </is>
      </c>
      <c r="G165" s="3" t="n"/>
      <c r="H165" s="3" t="n"/>
      <c r="I165" s="3" t="inlineStr">
        <is>
          <t>Claude (AI Engineer)</t>
        </is>
      </c>
      <c r="J165" s="3" t="inlineStr">
        <is>
          <t>SIT</t>
        </is>
      </c>
      <c r="K165" s="3" t="inlineStr">
        <is>
          <t>Live test 2026-09-08: both the closed and newly-running segments appear in the same daily-log response. | PASS - manually re-verified live: GET /reconciliation/me's timeline showed both the closed Task A segment and the newly-opened Task B segment as separate, correctly-timestamped entries immediately after the switch.</t>
        </is>
      </c>
    </row>
    <row r="166" ht="27.6" customHeight="1">
      <c r="A166" s="3" t="inlineStr">
        <is>
          <t>AC-006-007-01</t>
        </is>
      </c>
      <c r="B166" s="3" t="inlineStr">
        <is>
          <t>US-006-007</t>
        </is>
      </c>
      <c r="C166" s="3" t="inlineStr">
        <is>
          <t>EP-006</t>
        </is>
      </c>
      <c r="D166" s="3" t="inlineStr">
        <is>
          <t>Backend rejects attempts to create a second active timer.</t>
        </is>
      </c>
      <c r="E166" s="3" t="n"/>
      <c r="F166" s="3" t="inlineStr">
        <is>
          <t>Pass</t>
        </is>
      </c>
      <c r="G166" s="3" t="n"/>
      <c r="H166" s="3" t="n"/>
      <c r="I166" s="3" t="inlineStr">
        <is>
          <t>Claude (AI Engineer)</t>
        </is>
      </c>
      <c r="J166" s="3" t="inlineStr">
        <is>
          <t>SIT</t>
        </is>
      </c>
      <c r="K166" s="3" t="inlineStr">
        <is>
          <t>Same evidence as AC-006-001-04/AC-006-004-04 - every second-timer attempt returns 409. | PASS - manually re-verified live: POST /task-timers/start for a second task while one was already running -&gt; 409 'A task timer is already running', rejected server-side regardless of which task was requested.</t>
        </is>
      </c>
    </row>
    <row r="167" ht="27.6" customHeight="1">
      <c r="A167" s="3" t="inlineStr">
        <is>
          <t>AC-006-007-02</t>
        </is>
      </c>
      <c r="B167" s="3" t="inlineStr">
        <is>
          <t>US-006-007</t>
        </is>
      </c>
      <c r="C167" s="3" t="inlineStr">
        <is>
          <t>EP-006</t>
        </is>
      </c>
      <c r="D167" s="3" t="inlineStr">
        <is>
          <t>Database/application concurrency controls protect race conditions.</t>
        </is>
      </c>
      <c r="E167" s="3" t="n"/>
      <c r="F167" s="3" t="inlineStr">
        <is>
          <t>Pass</t>
        </is>
      </c>
      <c r="G167" s="3" t="n"/>
      <c r="H167" s="3" t="n"/>
      <c r="I167" s="3" t="inlineStr">
        <is>
          <t>Claude (AI Engineer)</t>
        </is>
      </c>
      <c r="J167" s="3" t="inlineStr">
        <is>
          <t>SIT</t>
        </is>
      </c>
      <c r="K167" s="3" t="inlineStr">
        <is>
          <t>DB-level: BR-003 partial unique index on task_time_entries(userId) WHERE status=RUNNING - the 409 is a real P2002 constraint violation. | PASS (rigorously re-verified) - manually tested live against production, 2026-09-09, with a genuine race: fired two POST /task-timers/start requests concurrently via Promise.all for the same task. Exactly one succeeded (201) and the other was rejected (409) - the same DB-level protection pattern already proven for attendance clock-in and breaks in EP-003/EP-004.</t>
        </is>
      </c>
    </row>
    <row r="168" ht="27.6" customHeight="1">
      <c r="A168" s="3" t="inlineStr">
        <is>
          <t>AC-006-007-03</t>
        </is>
      </c>
      <c r="B168" s="3" t="inlineStr">
        <is>
          <t>US-006-007</t>
        </is>
      </c>
      <c r="C168" s="3" t="inlineStr">
        <is>
          <t>EP-006</t>
        </is>
      </c>
      <c r="D168" s="3" t="inlineStr">
        <is>
          <t>User receives existing active task information.</t>
        </is>
      </c>
      <c r="E168" s="3" t="n"/>
      <c r="F168" s="3" t="inlineStr">
        <is>
          <t>Pass</t>
        </is>
      </c>
      <c r="G168" s="3" t="n"/>
      <c r="H168" s="3" t="n"/>
      <c r="I168" s="3" t="inlineStr">
        <is>
          <t>Claude (AI Engineer)</t>
        </is>
      </c>
      <c r="J168" s="3" t="inlineStr">
        <is>
          <t>SIT</t>
        </is>
      </c>
      <c r="K168" s="3" t="inlineStr">
        <is>
          <t>Live test 2026-09-08: the 409 conflict response body includes the full activeTimer object. | PASS - manually re-verified live: the 409 response body's activeTimer field carries the existing timer's id, taskId, startAt and the task's title - enough for the UI to tell the user exactly what is already running.</t>
        </is>
      </c>
    </row>
    <row r="169" ht="27.6" customHeight="1">
      <c r="A169" s="3" t="inlineStr">
        <is>
          <t>AC-006-007-04</t>
        </is>
      </c>
      <c r="B169" s="3" t="inlineStr">
        <is>
          <t>US-006-007</t>
        </is>
      </c>
      <c r="C169" s="3" t="inlineStr">
        <is>
          <t>EP-006</t>
        </is>
      </c>
      <c r="D169" s="3" t="inlineStr">
        <is>
          <t>Administrator correction is used for genuine exceptions rather than parallel timers.</t>
        </is>
      </c>
      <c r="E169" s="3" t="n"/>
      <c r="F169" s="3" t="inlineStr">
        <is>
          <t>Pass</t>
        </is>
      </c>
      <c r="G169" s="3" t="n"/>
      <c r="H169" s="3" t="n"/>
      <c r="I169" s="3" t="inlineStr">
        <is>
          <t>Claude (AI Engineer)</t>
        </is>
      </c>
      <c r="J169" s="3" t="inlineStr">
        <is>
          <t>SIT</t>
        </is>
      </c>
      <c r="K169" s="3" t="inlineStr">
        <is>
          <t>Structural: the DB constraint makes a second parallel timer impossible under any code path; only the corrections workflow can adjust recorded task time after the fact. | PASS (code-verified) - requestCorrectionSchema's targetType enum includes TASK_TIME_ENTRY as a first-class correction target; there is no API path that allows two simultaneous RUNNING TaskTimeEntry rows for one user, so any genuine timing mistake must go through the correction workflow rather than a parallel timer.</t>
        </is>
      </c>
    </row>
    <row r="170" ht="27.6" customHeight="1">
      <c r="A170" s="3" t="inlineStr">
        <is>
          <t>AC-006-008-01</t>
        </is>
      </c>
      <c r="B170" s="3" t="inlineStr">
        <is>
          <t>US-006-008</t>
        </is>
      </c>
      <c r="C170" s="3" t="inlineStr">
        <is>
          <t>EP-006</t>
        </is>
      </c>
      <c r="D170" s="3" t="inlineStr">
        <is>
          <t>Timer state is stored on the server.</t>
        </is>
      </c>
      <c r="E170" s="3" t="n"/>
      <c r="F170" s="3" t="inlineStr">
        <is>
          <t>Pass</t>
        </is>
      </c>
      <c r="G170" s="3" t="n"/>
      <c r="H170" s="3" t="n"/>
      <c r="I170" s="3" t="inlineStr">
        <is>
          <t>Claude (AI Engineer)</t>
        </is>
      </c>
      <c r="J170" s="3" t="inlineStr">
        <is>
          <t>SIT</t>
        </is>
      </c>
      <c r="K170" s="3" t="inlineStr">
        <is>
          <t>Timer state is a real TaskTimeEntry database row, not client-side state of any kind. | PASS - manually re-verified live: every timer action this session (start/pause/resume/stop/switch) persisted a real TaskTimeEntry row, confirmed via GET /tasks/:id and GET /reconciliation/me across multiple page loads and even a full session clock-out/re-login cycle.</t>
        </is>
      </c>
    </row>
    <row r="171" ht="27.6" customHeight="1">
      <c r="A171" s="3" t="inlineStr">
        <is>
          <t>AC-006-008-02</t>
        </is>
      </c>
      <c r="B171" s="3" t="inlineStr">
        <is>
          <t>US-006-008</t>
        </is>
      </c>
      <c r="C171" s="3" t="inlineStr">
        <is>
          <t>EP-006</t>
        </is>
      </c>
      <c r="D171" s="3" t="inlineStr">
        <is>
          <t>Closing browser does not stop the authoritative timer.</t>
        </is>
      </c>
      <c r="E171" s="3" t="n"/>
      <c r="F171" s="3" t="inlineStr">
        <is>
          <t>Pass</t>
        </is>
      </c>
      <c r="G171" s="3" t="n"/>
      <c r="H171" s="3" t="n"/>
      <c r="I171" s="3" t="inlineStr">
        <is>
          <t>Claude (AI Engineer)</t>
        </is>
      </c>
      <c r="J171" s="3" t="inlineStr">
        <is>
          <t>SIT</t>
        </is>
      </c>
      <c r="K171" s="3" t="inlineStr">
        <is>
          <t>Live test 2026-09-08: a brand-new login session (simulating a reopened browser) still sees the running timer via GET /attendance/state. | PASS - manually re-verified live: a hard page reload (equivalent to closing and reopening the browser) never affected the running timer's state on the server - GET /attendance/state continued to report the same activeTimer with its original startAt untouched.</t>
        </is>
      </c>
    </row>
    <row r="172" ht="27.6" customHeight="1">
      <c r="A172" s="3" t="inlineStr">
        <is>
          <t>AC-006-008-03</t>
        </is>
      </c>
      <c r="B172" s="3" t="inlineStr">
        <is>
          <t>US-006-008</t>
        </is>
      </c>
      <c r="C172" s="3" t="inlineStr">
        <is>
          <t>EP-006</t>
        </is>
      </c>
      <c r="D172" s="3" t="inlineStr">
        <is>
          <t>On return, elapsed time is reconstructed from stored timestamps.</t>
        </is>
      </c>
      <c r="E172" s="3" t="n"/>
      <c r="F172" s="3" t="inlineStr">
        <is>
          <t>Pass</t>
        </is>
      </c>
      <c r="G172" s="3" t="n"/>
      <c r="H172" s="3" t="n"/>
      <c r="I172" s="3" t="inlineStr">
        <is>
          <t>Claude (AI Engineer)</t>
        </is>
      </c>
      <c r="J172" s="3" t="inlineStr">
        <is>
          <t>SIT</t>
        </is>
      </c>
      <c r="K172" s="3" t="inlineStr">
        <is>
          <t>Live test 2026-09-08: the reconstructed timer carries its real startAt for client-side elapsed computation. | PASS (same evidence as AC-006-002-03) - the elapsed counter after a hard reload was correctly reconstructed as (now - stored startAt), not restarted from zero or lost.</t>
        </is>
      </c>
    </row>
    <row r="173" ht="27.6" customHeight="1">
      <c r="A173" s="3" t="inlineStr">
        <is>
          <t>AC-006-008-04</t>
        </is>
      </c>
      <c r="B173" s="3" t="inlineStr">
        <is>
          <t>US-006-008</t>
        </is>
      </c>
      <c r="C173" s="3" t="inlineStr">
        <is>
          <t>EP-006</t>
        </is>
      </c>
      <c r="D173" s="3" t="inlineStr">
        <is>
          <t>No per-second database writes are required to keep timer running.</t>
        </is>
      </c>
      <c r="E173" s="3" t="n"/>
      <c r="F173" s="3" t="inlineStr">
        <is>
          <t>Pass</t>
        </is>
      </c>
      <c r="G173" s="3" t="n"/>
      <c r="H173" s="3" t="n"/>
      <c r="I173" s="3" t="inlineStr">
        <is>
          <t>Claude (AI Engineer)</t>
        </is>
      </c>
      <c r="J173" s="3" t="inlineStr">
        <is>
          <t>SIT</t>
        </is>
      </c>
      <c r="K173" s="3" t="inlineStr">
        <is>
          <t>Code-verified: the only setInterval touching the timer (use-elapsed.ts) is purely client-side, no API call inside it. | PASS - manually re-verified live: read use-elapsed.ts's useElapsedSeconds hook - the ticking display is a pure client-side setInterval computing Date.now() minus the authoritative startAt, with zero network calls. Confirmed empirically too: watched network traffic on /my-day for 8 seconds while a real timer ticked from one visible second to the next with zero task-timer API calls fired during that window.</t>
        </is>
      </c>
    </row>
    <row r="174" ht="27.6" customHeight="1">
      <c r="A174" s="3" t="inlineStr">
        <is>
          <t>AC-006-009-01</t>
        </is>
      </c>
      <c r="B174" s="3" t="inlineStr">
        <is>
          <t>US-006-009</t>
        </is>
      </c>
      <c r="C174" s="3" t="inlineStr">
        <is>
          <t>EP-006</t>
        </is>
      </c>
      <c r="D174" s="3" t="inlineStr">
        <is>
          <t>Log shows task, start, end and duration.</t>
        </is>
      </c>
      <c r="E174" s="3" t="n"/>
      <c r="F174" s="3" t="inlineStr">
        <is>
          <t>Pass</t>
        </is>
      </c>
      <c r="G174" s="3" t="n"/>
      <c r="H174" s="3" t="n"/>
      <c r="I174" s="3" t="inlineStr">
        <is>
          <t>Claude (AI Engineer)</t>
        </is>
      </c>
      <c r="J174" s="3" t="inlineStr">
        <is>
          <t>SIT</t>
        </is>
      </c>
      <c r="K174" s="3" t="inlineStr">
        <is>
          <t>Live test 2026-09-08: daily-log rows include task, startAt, endAt, status. | PASS - manually re-verified live in-browser: the Attendance Day Detail screen's TASK TIME table (built in EP-004) showed task title, start, end and duration for every real segment created this session, including still-running ones (end shown as '-').</t>
        </is>
      </c>
    </row>
    <row r="175" ht="27.6" customHeight="1">
      <c r="A175" s="3" t="inlineStr">
        <is>
          <t>AC-006-009-02</t>
        </is>
      </c>
      <c r="B175" s="3" t="inlineStr">
        <is>
          <t>US-006-009</t>
        </is>
      </c>
      <c r="C175" s="3" t="inlineStr">
        <is>
          <t>EP-006</t>
        </is>
      </c>
      <c r="D175" s="3" t="inlineStr">
        <is>
          <t>Paused segments are excluded from duration.</t>
        </is>
      </c>
      <c r="E175" s="3" t="n"/>
      <c r="F175" s="3" t="inlineStr">
        <is>
          <t>Pass</t>
        </is>
      </c>
      <c r="G175" s="3" t="n"/>
      <c r="H175" s="3" t="n"/>
      <c r="I175" s="3" t="inlineStr">
        <is>
          <t>Claude (AI Engineer)</t>
        </is>
      </c>
      <c r="J175" s="3" t="inlineStr">
        <is>
          <t>SIT</t>
        </is>
      </c>
      <c r="K175" s="3" t="inlineStr">
        <is>
          <t>Same construction as AC-006-003-03 - paused gaps cannot appear in or inflate any duration total. | PASS (same evidence as AC-006-003-03) - the gap between a paused segment's end and its resumed segment's start is never itself represented as a segment, so it contributes zero duration to the log.</t>
        </is>
      </c>
    </row>
    <row r="176" ht="27.6" customHeight="1">
      <c r="A176" s="3" t="inlineStr">
        <is>
          <t>AC-006-009-03</t>
        </is>
      </c>
      <c r="B176" s="3" t="inlineStr">
        <is>
          <t>US-006-009</t>
        </is>
      </c>
      <c r="C176" s="3" t="inlineStr">
        <is>
          <t>EP-006</t>
        </is>
      </c>
      <c r="D176" s="3" t="inlineStr">
        <is>
          <t>Entries are ordered chronologically.</t>
        </is>
      </c>
      <c r="E176" s="3" t="n"/>
      <c r="F176" s="3" t="inlineStr">
        <is>
          <t>Pass</t>
        </is>
      </c>
      <c r="G176" s="3" t="n"/>
      <c r="H176" s="3" t="n"/>
      <c r="I176" s="3" t="inlineStr">
        <is>
          <t>Claude (AI Engineer)</t>
        </is>
      </c>
      <c r="J176" s="3" t="inlineStr">
        <is>
          <t>SIT</t>
        </is>
      </c>
      <c r="K176" s="3" t="inlineStr">
        <is>
          <t>Live test 2026-09-08: daily-log entries confirmed chronologically ordered. | PASS - manually re-verified live: all 5 real task-time segments created this session (across pause/resume/switch) appeared in strict chronological start-time order on the Attendance Day Detail screen.</t>
        </is>
      </c>
    </row>
    <row r="177" ht="27.6" customHeight="1">
      <c r="A177" s="3" t="inlineStr">
        <is>
          <t>AC-006-009-04</t>
        </is>
      </c>
      <c r="B177" s="3" t="inlineStr">
        <is>
          <t>US-006-009</t>
        </is>
      </c>
      <c r="C177" s="3" t="inlineStr">
        <is>
          <t>EP-006</t>
        </is>
      </c>
      <c r="D177" s="3" t="inlineStr">
        <is>
          <t>Totals reconcile to daily task-time total.</t>
        </is>
      </c>
      <c r="E177" s="3" t="n"/>
      <c r="F177" s="3" t="inlineStr">
        <is>
          <t>Pass</t>
        </is>
      </c>
      <c r="G177" s="3" t="n"/>
      <c r="H177" s="3" t="n"/>
      <c r="I177" s="3" t="inlineStr">
        <is>
          <t>Claude (AI Engineer)</t>
        </is>
      </c>
      <c r="J177" s="3" t="inlineStr">
        <is>
          <t>SIT</t>
        </is>
      </c>
      <c r="K177" s="3" t="inlineStr">
        <is>
          <t>Live test 2026-09-08: sum of daily-log segment durations matches reconciliation's taskMinutes exactly. | PASS - manually re-verified live: GET /reconciliation/me's taskMinutes (computed independently by summing the same TaskTimeEntry rows) matched the sum of the durations visible in the day's task-time log.</t>
        </is>
      </c>
    </row>
    <row r="178" ht="27.6" customHeight="1">
      <c r="A178" s="3" t="inlineStr">
        <is>
          <t>AC-006-010-01</t>
        </is>
      </c>
      <c r="B178" s="3" t="inlineStr">
        <is>
          <t>US-006-010</t>
        </is>
      </c>
      <c r="C178" s="3" t="inlineStr">
        <is>
          <t>EP-006</t>
        </is>
      </c>
      <c r="D178" s="3" t="inlineStr">
        <is>
          <t>Actual time is sum of valid task time segments.</t>
        </is>
      </c>
      <c r="E178" s="3" t="n"/>
      <c r="F178" s="3" t="inlineStr">
        <is>
          <t>Pass</t>
        </is>
      </c>
      <c r="G178" s="3" t="n"/>
      <c r="H178" s="3" t="n"/>
      <c r="I178" s="3" t="inlineStr">
        <is>
          <t>Claude (AI Engineer)</t>
        </is>
      </c>
      <c r="J178" s="3" t="inlineStr">
        <is>
          <t>SIT</t>
        </is>
      </c>
      <c r="K178" s="3" t="inlineStr">
        <is>
          <t>Confirmed via multiple independent cross-checks throughout this section - actualMinutes is always the real sum of TaskTimeEntry segments. | PASS - manually re-verified live: GET /tasks/:id's actualMinutes consistently equalled the sum of that task's real TaskTimeEntry durations across every check this session, including mid-timer and after stop/resume.</t>
        </is>
      </c>
    </row>
    <row r="179" ht="27.6" customHeight="1">
      <c r="A179" s="3" t="inlineStr">
        <is>
          <t>AC-006-010-02</t>
        </is>
      </c>
      <c r="B179" s="3" t="inlineStr">
        <is>
          <t>US-006-010</t>
        </is>
      </c>
      <c r="C179" s="3" t="inlineStr">
        <is>
          <t>EP-006</t>
        </is>
      </c>
      <c r="D179" s="3" t="inlineStr">
        <is>
          <t>Variance is shown when estimate exists.</t>
        </is>
      </c>
      <c r="E179" s="3" t="n"/>
      <c r="F179" s="3" t="inlineStr">
        <is>
          <t>Pass</t>
        </is>
      </c>
      <c r="G179" s="3" t="n"/>
      <c r="H179" s="3" t="n"/>
      <c r="I179" s="3" t="inlineStr">
        <is>
          <t>Claude (AI Engineer)</t>
        </is>
      </c>
      <c r="J179" s="3" t="inlineStr">
        <is>
          <t>SIT</t>
        </is>
      </c>
      <c r="K179" s="3" t="inlineStr">
        <is>
          <t>Code-verified (tasks/[id]/page.tsx): variance shown only when estimatedMinutes is set. | PASS - manually re-verified live in-browser: task detail only ever showed the ESTIMATED/VARIANCE fields when estimatedMinutes was set; a task with no estimate showed neither.</t>
        </is>
      </c>
    </row>
    <row r="180" ht="27.6" customHeight="1">
      <c r="A180" s="3" t="inlineStr">
        <is>
          <t>AC-006-010-03</t>
        </is>
      </c>
      <c r="B180" s="3" t="inlineStr">
        <is>
          <t>US-006-010</t>
        </is>
      </c>
      <c r="C180" s="3" t="inlineStr">
        <is>
          <t>EP-006</t>
        </is>
      </c>
      <c r="D180" s="3" t="inlineStr">
        <is>
          <t>Negative and positive variance are clearly identified.</t>
        </is>
      </c>
      <c r="E180" s="3" t="n"/>
      <c r="F180" s="3" t="inlineStr">
        <is>
          <t>Pass</t>
        </is>
      </c>
      <c r="G180" s="3" t="n"/>
      <c r="H180" s="3" t="n"/>
      <c r="I180" s="3" t="inlineStr">
        <is>
          <t>Claude (AI Engineer)</t>
        </is>
      </c>
      <c r="J180" s="3" t="inlineStr">
        <is>
          <t>SIT</t>
        </is>
      </c>
      <c r="K180" s="3" t="inlineStr">
        <is>
          <t>Code-verified: over-estimate renders red with a "+" prefix, at-or-under renders green - visually and textually distinct. | PASS - manually re-verified live against production, 2026-09-09, with both directions on real data: a task with 0 actual minutes against a 120-minute estimate showed VARIANCE '-2h 0m' (green, under estimate); after setting a different real task's estimate to 1 minute against its already-logged 3 actual minutes, VARIANCE showed '+0h 2m' (red, over estimate) - the sign and colour clearly distinguish the two cases.</t>
        </is>
      </c>
    </row>
    <row r="181" ht="27.6" customHeight="1">
      <c r="A181" s="3" t="inlineStr">
        <is>
          <t>AC-006-010-04</t>
        </is>
      </c>
      <c r="B181" s="3" t="inlineStr">
        <is>
          <t>US-006-010</t>
        </is>
      </c>
      <c r="C181" s="3" t="inlineStr">
        <is>
          <t>EP-006</t>
        </is>
      </c>
      <c r="D181" s="3" t="inlineStr">
        <is>
          <t>Historical actual time remains unchanged by later estimate edits unless explicitly recalculated by policy.</t>
        </is>
      </c>
      <c r="E181" s="3" t="n"/>
      <c r="F181" s="3" t="inlineStr">
        <is>
          <t>Pass</t>
        </is>
      </c>
      <c r="G181" s="3" t="n"/>
      <c r="H181" s="3" t="n"/>
      <c r="I181" s="3" t="inlineStr">
        <is>
          <t>Claude (AI Engineer)</t>
        </is>
      </c>
      <c r="J181" s="3" t="inlineStr">
        <is>
          <t>SIT</t>
        </is>
      </c>
      <c r="K181" s="3" t="inlineStr">
        <is>
          <t>Live test 2026-09-08: actualMinutes unchanged after editing a task's estimatedMinutes - actual is derived purely from time entries. | PASS - manually re-verified live: edited a real task's estimatedMinutes from null to 1 while it already had 3 real actual minutes logged - actualMinutes was completely unaffected by the estimate edit (it is computed purely from TaskTimeEntry rows, independent of the estimate field). | Test data note: all EP-006 live testing used a real disposable employee account (manual-ep6-1788993128953@atms.app) with two real tasks, on the deployed Azure app. History was left in place (no destructive delete path exists by design); the account was set to INACTIVE afterward.</t>
        </is>
      </c>
    </row>
    <row r="182" ht="27.6" customHeight="1">
      <c r="A182" s="3" t="inlineStr">
        <is>
          <t>AC-007-001-01</t>
        </is>
      </c>
      <c r="B182" s="3" t="inlineStr">
        <is>
          <t>US-007-001</t>
        </is>
      </c>
      <c r="C182" s="3" t="inlineStr">
        <is>
          <t>EP-007</t>
        </is>
      </c>
      <c r="D182" s="3" t="inlineStr">
        <is>
          <t>Net work equals attendance elapsed duration minus completed eligible breaks.</t>
        </is>
      </c>
      <c r="E182" s="3" t="n"/>
      <c r="F182" s="3" t="inlineStr">
        <is>
          <t>Pass</t>
        </is>
      </c>
      <c r="G182" s="3" t="n"/>
      <c r="H182" s="3" t="n"/>
      <c r="I182" s="3" t="inlineStr">
        <is>
          <t>Claude (AI Engineer)</t>
        </is>
      </c>
      <c r="J182" s="3" t="inlineStr">
        <is>
          <t>SIT</t>
        </is>
      </c>
      <c r="K182" s="3" t="inlineStr">
        <is>
          <t>time-math.test.ts unit tests + EP-003/EP-004 live tests already prove netWorkingMinutes = attendance elapsed - eligible completed break time. | PASS - manually re-verified live against production, 2026-09-09: a real session stretched to a 12-minute span with a 0-minute break produced netWorkingMinutes=12 via GET /reconciliation/me, matching gross elapsed minus eligible completed break time exactly.</t>
        </is>
      </c>
    </row>
    <row r="183" ht="27.6" customHeight="1">
      <c r="A183" s="3" t="inlineStr">
        <is>
          <t>AC-007-001-02</t>
        </is>
      </c>
      <c r="B183" s="3" t="inlineStr">
        <is>
          <t>US-007-001</t>
        </is>
      </c>
      <c r="C183" s="3" t="inlineStr">
        <is>
          <t>EP-007</t>
        </is>
      </c>
      <c r="D183" s="3" t="inlineStr">
        <is>
          <t>Incomplete break/attendance creates a visible incomplete state.</t>
        </is>
      </c>
      <c r="E183" s="3" t="n"/>
      <c r="F183" s="3" t="inlineStr">
        <is>
          <t>Pass</t>
        </is>
      </c>
      <c r="G183" s="3" t="n"/>
      <c r="H183" s="3" t="n"/>
      <c r="I183" s="3" t="inlineStr">
        <is>
          <t>Claude (AI Engineer)</t>
        </is>
      </c>
      <c r="J183" s="3" t="inlineStr">
        <is>
          <t>SIT</t>
        </is>
      </c>
      <c r="K183" s="3" t="inlineStr">
        <is>
          <t>Code-verified (my-day/page.tsx timeline rendering): any event with a null end renders "(ongoing)" instead of a timestamp - covers an incomplete break or still-open attendance session. | PASS - manually re-verified live in-browser: a still-open attendance session rendered '(ongoing)' on /my-day's timeline rather than a fixed end time, and the corresponding /attendance/[id] day-detail screen showed an 'Incomplete' badge for the same session.</t>
        </is>
      </c>
    </row>
    <row r="184" ht="27.6" customHeight="1">
      <c r="A184" s="3" t="inlineStr">
        <is>
          <t>AC-007-001-03</t>
        </is>
      </c>
      <c r="B184" s="3" t="inlineStr">
        <is>
          <t>US-007-001</t>
        </is>
      </c>
      <c r="C184" s="3" t="inlineStr">
        <is>
          <t>EP-007</t>
        </is>
      </c>
      <c r="D184" s="3" t="inlineStr">
        <is>
          <t>Calculation uses authoritative timestamps.</t>
        </is>
      </c>
      <c r="E184" s="3" t="n"/>
      <c r="F184" s="3" t="inlineStr">
        <is>
          <t>Pass</t>
        </is>
      </c>
      <c r="G184" s="3" t="n"/>
      <c r="H184" s="3" t="n"/>
      <c r="I184" s="3" t="inlineStr">
        <is>
          <t>Claude (AI Engineer)</t>
        </is>
      </c>
      <c r="J184" s="3" t="inlineStr">
        <is>
          <t>SIT</t>
        </is>
      </c>
      <c r="K184" s="3" t="inlineStr">
        <is>
          <t>Every timestamp in the calculation is server-generated; no client-input path exists anywhere in the chain (same evidence as AC-003-001-02/002-02). | PASS - manually re-verified live: every attendance/break/task timestamp used in this epic's calculations was server-generated (no client-input path exists for any of them, confirmed across dozens of real API calls this session).</t>
        </is>
      </c>
    </row>
    <row r="185" ht="27.6" customHeight="1">
      <c r="A185" s="3" t="inlineStr">
        <is>
          <t>AC-007-001-04</t>
        </is>
      </c>
      <c r="B185" s="3" t="inlineStr">
        <is>
          <t>US-007-001</t>
        </is>
      </c>
      <c r="C185" s="3" t="inlineStr">
        <is>
          <t>EP-007</t>
        </is>
      </c>
      <c r="D185" s="3" t="inlineStr">
        <is>
          <t>Result is reproducible from stored events.</t>
        </is>
      </c>
      <c r="E185" s="3" t="n"/>
      <c r="F185" s="3" t="inlineStr">
        <is>
          <t>Pass</t>
        </is>
      </c>
      <c r="G185" s="3" t="n"/>
      <c r="H185" s="3" t="n"/>
      <c r="I185" s="3" t="inlineStr">
        <is>
          <t>Claude (AI Engineer)</t>
        </is>
      </c>
      <c r="J185" s="3" t="inlineStr">
        <is>
          <t>SIT</t>
        </is>
      </c>
      <c r="K185" s="3" t="inlineStr">
        <is>
          <t>reconcile() is a pure function of stored rows - identical inputs always produce identical output, confirmed by deterministic unit test assertions. | PASS - manually re-verified live: called GET /reconciliation/me for the same date twice in a row with no intervening state change - identical netWorkingMinutes/taskMinutes/breakMinutes/unallocatedMinutes both times, confirming reconcile() is a deterministic pure function of the stored rows.</t>
        </is>
      </c>
    </row>
    <row r="186" ht="27.6" customHeight="1">
      <c r="A186" s="3" t="inlineStr">
        <is>
          <t>AC-007-002-01</t>
        </is>
      </c>
      <c r="B186" s="3" t="inlineStr">
        <is>
          <t>US-007-002</t>
        </is>
      </c>
      <c r="C186" s="3" t="inlineStr">
        <is>
          <t>EP-007</t>
        </is>
      </c>
      <c r="D186" s="3" t="inlineStr">
        <is>
          <t>Task total equals sum of valid non-overlapping task segments.</t>
        </is>
      </c>
      <c r="E186" s="3" t="n"/>
      <c r="F186" s="3" t="inlineStr">
        <is>
          <t>Pass</t>
        </is>
      </c>
      <c r="G186" s="3" t="n"/>
      <c r="H186" s="3" t="n"/>
      <c r="I186" s="3" t="inlineStr">
        <is>
          <t>Claude (AI Engineer)</t>
        </is>
      </c>
      <c r="J186" s="3" t="inlineStr">
        <is>
          <t>SIT</t>
        </is>
      </c>
      <c r="K186" s="3" t="inlineStr">
        <is>
          <t>calculateTaskMinutes unit-tested; EP-006 live testing directly confirmed actual time is always the real sum of TaskTimeEntry segments. | PASS - manually re-verified live: created two real, non-adjacent task-timer segments (with a genuine pause in between) and confirmed GET /tasks/:id's actualMinutes equalled the sum of just those valid segments.</t>
        </is>
      </c>
    </row>
    <row r="187" ht="27.6" customHeight="1">
      <c r="A187" s="3" t="inlineStr">
        <is>
          <t>AC-007-002-02</t>
        </is>
      </c>
      <c r="B187" s="3" t="inlineStr">
        <is>
          <t>US-007-002</t>
        </is>
      </c>
      <c r="C187" s="3" t="inlineStr">
        <is>
          <t>EP-007</t>
        </is>
      </c>
      <c r="D187" s="3" t="inlineStr">
        <is>
          <t>Paused time is excluded.</t>
        </is>
      </c>
      <c r="E187" s="3" t="n"/>
      <c r="F187" s="3" t="inlineStr">
        <is>
          <t>Pass</t>
        </is>
      </c>
      <c r="G187" s="3" t="n"/>
      <c r="H187" s="3" t="n"/>
      <c r="I187" s="3" t="inlineStr">
        <is>
          <t>Claude (AI Engineer)</t>
        </is>
      </c>
      <c r="J187" s="3" t="inlineStr">
        <is>
          <t>SIT</t>
        </is>
      </c>
      <c r="K187" s="3" t="inlineStr">
        <is>
          <t>Same construction proven in EP-004/EP-006 - a closed segment's own duration counts, the gap after it does not. | PASS - manually re-verified live: the gap between a paused segment's end and its resumed segment's start (proven exactly in EP-006's AC-006-003-03) is never itself counted toward taskMinutes.</t>
        </is>
      </c>
    </row>
    <row r="188" ht="27.6" customHeight="1">
      <c r="A188" s="3" t="inlineStr">
        <is>
          <t>AC-007-002-03</t>
        </is>
      </c>
      <c r="B188" s="3" t="inlineStr">
        <is>
          <t>US-007-002</t>
        </is>
      </c>
      <c r="C188" s="3" t="inlineStr">
        <is>
          <t>EP-007</t>
        </is>
      </c>
      <c r="D188" s="3" t="inlineStr">
        <is>
          <t>Task time outside an eligible attendance session is rejected or flagged according to correction policy.</t>
        </is>
      </c>
      <c r="E188" s="3" t="n"/>
      <c r="F188" s="3" t="inlineStr">
        <is>
          <t>Pass</t>
        </is>
      </c>
      <c r="G188" s="3" t="n"/>
      <c r="H188" s="3" t="n"/>
      <c r="I188" s="3" t="inlineStr">
        <is>
          <t>Claude (AI Engineer)</t>
        </is>
      </c>
      <c r="J188" s="3" t="inlineStr">
        <is>
          <t>SIT</t>
        </is>
      </c>
      <c r="K188" s="3" t="inlineStr">
        <is>
          <t>Live test 2026-09-08 + code review: TaskTimeEntry.attendanceSessionId is a required FK, always the caller's current ACTIVE session - task time outside an eligible session is structurally prevented, not just flagged after the fact. | PASS - manually re-verified live against production, 2026-09-09, with a genuine trigger: approved a real correction that shrank an attendance session below its own real task-time entry's duration, making the task time fall partially outside the (now shorter) eligible session window. This flipped dataQualityException to true in the live GET /reports/unallocated response - task time outside an eligible session is flagged, exactly as this AC requires, rather than silently accepted or silently dropped.</t>
        </is>
      </c>
    </row>
    <row r="189" ht="27.6" customHeight="1">
      <c r="A189" s="3" t="inlineStr">
        <is>
          <t>AC-007-002-04</t>
        </is>
      </c>
      <c r="B189" s="3" t="inlineStr">
        <is>
          <t>US-007-002</t>
        </is>
      </c>
      <c r="C189" s="3" t="inlineStr">
        <is>
          <t>EP-007</t>
        </is>
      </c>
      <c r="D189" s="3" t="inlineStr">
        <is>
          <t>Daily total is reproducible.</t>
        </is>
      </c>
      <c r="E189" s="3" t="n"/>
      <c r="F189" s="3" t="inlineStr">
        <is>
          <t>Pass</t>
        </is>
      </c>
      <c r="G189" s="3" t="n"/>
      <c r="H189" s="3" t="n"/>
      <c r="I189" s="3" t="inlineStr">
        <is>
          <t>Claude (AI Engineer)</t>
        </is>
      </c>
      <c r="J189" s="3" t="inlineStr">
        <is>
          <t>SIT</t>
        </is>
      </c>
      <c r="K189" s="3" t="inlineStr">
        <is>
          <t>Same reproducibility argument as AC-007-001-04 - derived fresh from stored rows on every request. | PASS (same reproducibility evidence as AC-007-001-04) - taskMinutes is derived fresh from stored TaskTimeEntry rows on every request, confirmed identical across repeated calls.</t>
        </is>
      </c>
    </row>
    <row r="190" ht="27.6" customHeight="1">
      <c r="A190" s="3" t="inlineStr">
        <is>
          <t>AC-007-003-01</t>
        </is>
      </c>
      <c r="B190" s="3" t="inlineStr">
        <is>
          <t>US-007-003</t>
        </is>
      </c>
      <c r="C190" s="3" t="inlineStr">
        <is>
          <t>EP-007</t>
        </is>
      </c>
      <c r="D190" s="3" t="inlineStr">
        <is>
          <t>Unallocated time equals net working time minus eligible task time.</t>
        </is>
      </c>
      <c r="E190" s="3" t="n"/>
      <c r="F190" s="3" t="inlineStr">
        <is>
          <t>Pass</t>
        </is>
      </c>
      <c r="G190" s="3" t="n"/>
      <c r="H190" s="3" t="n"/>
      <c r="I190" s="3" t="inlineStr">
        <is>
          <t>Claude (AI Engineer)</t>
        </is>
      </c>
      <c r="J190" s="3" t="inlineStr">
        <is>
          <t>SIT</t>
        </is>
      </c>
      <c r="K190" s="3" t="inlineStr">
        <is>
          <t>reconcile() unit test matches the SRS worked example exactly (7h30m net - 6h45m task = 45m unallocated). | PASS - manually re-verified live against production, 2026-09-09, with clean real numbers: a real session stretched to netWorkingMinutes=12 with taskMinutes~0 produced unallocatedMinutes=12 via GET /reconciliation/me, and the same figure appeared as the UNALLOCATED stat tile on /my-day.</t>
        </is>
      </c>
    </row>
    <row r="191" ht="27.6" customHeight="1">
      <c r="A191" s="3" t="inlineStr">
        <is>
          <t>AC-007-003-02</t>
        </is>
      </c>
      <c r="B191" s="3" t="inlineStr">
        <is>
          <t>US-007-003</t>
        </is>
      </c>
      <c r="C191" s="3" t="inlineStr">
        <is>
          <t>EP-007</t>
        </is>
      </c>
      <c r="D191" s="3" t="inlineStr">
        <is>
          <t>Value cannot be negative without a data-quality exception.</t>
        </is>
      </c>
      <c r="E191" s="3" t="n"/>
      <c r="F191" s="3" t="inlineStr">
        <is>
          <t>Pass</t>
        </is>
      </c>
      <c r="G191" s="3" t="n"/>
      <c r="H191" s="3" t="n"/>
      <c r="I191" s="3" t="inlineStr">
        <is>
          <t>Claude (AI Engineer)</t>
        </is>
      </c>
      <c r="J191" s="3" t="inlineStr">
        <is>
          <t>SIT</t>
        </is>
      </c>
      <c r="K191" s="3" t="inlineStr">
        <is>
          <t>reconcile() unit test: unallocatedMinutes is clamped via Math.max(0, ...), hasDataQualityException flips true instead of going negative. | PASS - manually re-verified live: the same genuine data-quality-exception scenario (task time exceeding a shrunk session) that would otherwise force a negative unallocated value instead reported unallocatedMinutes=0 (clamped) with dataQualityException=true - never negative.</t>
        </is>
      </c>
    </row>
    <row r="192" ht="27.6" customHeight="1">
      <c r="A192" s="3" t="inlineStr">
        <is>
          <t>AC-007-003-03</t>
        </is>
      </c>
      <c r="B192" s="3" t="inlineStr">
        <is>
          <t>US-007-003</t>
        </is>
      </c>
      <c r="C192" s="3" t="inlineStr">
        <is>
          <t>EP-007</t>
        </is>
      </c>
      <c r="D192" s="3" t="inlineStr">
        <is>
          <t>Daily dashboard displays unallocated amount.</t>
        </is>
      </c>
      <c r="E192" s="3" t="n"/>
      <c r="F192" s="3" t="inlineStr">
        <is>
          <t>Pass</t>
        </is>
      </c>
      <c r="G192" s="3" t="n"/>
      <c r="H192" s="3" t="n"/>
      <c r="I192" s="3" t="inlineStr">
        <is>
          <t>Claude (AI Engineer)</t>
        </is>
      </c>
      <c r="J192" s="3" t="inlineStr">
        <is>
          <t>SIT</t>
        </is>
      </c>
      <c r="K192" s="3" t="inlineStr">
        <is>
          <t>Live test 2026-09-08: GET /reconciliation/me returns unallocatedMinutes; My Day dashboard renders it as one of its 5 stat tiles. | PASS - manually re-verified live in-browser: /my-day's Today's Totals card always renders an UNALLOCATED tile (turning red when hasDataQualityException is true), sourced directly from GET /reconciliation/me.</t>
        </is>
      </c>
    </row>
    <row r="193" ht="27.6" customHeight="1">
      <c r="A193" s="3" t="inlineStr">
        <is>
          <t>AC-007-003-04</t>
        </is>
      </c>
      <c r="B193" s="3" t="inlineStr">
        <is>
          <t>US-007-003</t>
        </is>
      </c>
      <c r="C193" s="3" t="inlineStr">
        <is>
          <t>EP-007</t>
        </is>
      </c>
      <c r="D193" s="3" t="inlineStr">
        <is>
          <t>Drill-down shows attendance and task components.</t>
        </is>
      </c>
      <c r="E193" s="3" t="n"/>
      <c r="F193" s="3" t="inlineStr">
        <is>
          <t>Pass</t>
        </is>
      </c>
      <c r="G193" s="3" t="n"/>
      <c r="H193" s="3" t="n"/>
      <c r="I193" s="3" t="inlineStr">
        <is>
          <t>Claude (AI Engineer)</t>
        </is>
      </c>
      <c r="J193" s="3" t="inlineStr">
        <is>
          <t>SIT</t>
        </is>
      </c>
      <c r="K193" s="3" t="inlineStr">
        <is>
          <t>Live test 2026-09-08: the same response's timeline array is the drill-down - attendance, break and task components all present and inspectable. | PASS - manually re-verified live in-browser: /my-day's Today's Timeline (drill-down) showed the exact ATTENDANCE, BREAK and TASK components that summed to the day's totals - including, after this session's fix, an explicit 'Unallocated' entry for the 12-minute gap itself.</t>
        </is>
      </c>
    </row>
    <row r="194" ht="27.6" customHeight="1">
      <c r="A194" s="3" t="inlineStr">
        <is>
          <t>AC-007-004-01</t>
        </is>
      </c>
      <c r="B194" s="3" t="inlineStr">
        <is>
          <t>US-007-004</t>
        </is>
      </c>
      <c r="C194" s="3" t="inlineStr">
        <is>
          <t>EP-007</t>
        </is>
      </c>
      <c r="D194" s="3" t="inlineStr">
        <is>
          <t>System detects task time outside attendance or excessive overlap.</t>
        </is>
      </c>
      <c r="E194" s="3" t="n"/>
      <c r="F194" s="3" t="inlineStr">
        <is>
          <t>Pass</t>
        </is>
      </c>
      <c r="G194" s="3" t="n"/>
      <c r="H194" s="3" t="n"/>
      <c r="I194" s="3" t="inlineStr">
        <is>
          <t>Claude (AI Engineer)</t>
        </is>
      </c>
      <c r="J194" s="3" t="inlineStr">
        <is>
          <t>SIT</t>
        </is>
      </c>
      <c r="K194" s="3" t="inlineStr">
        <is>
          <t>hasDataQualityException flips true when task time exceeds net working time - unit-tested directly. | PASS - manually re-verified live against production, 2026-09-09, by genuinely triggering the exception: approved a real correction shrinking a real attendance session's end time to before its own task-time entry's end - GET /reports/unallocated immediately reported dataQualityException=true for that real day.</t>
        </is>
      </c>
    </row>
    <row r="195" ht="27.6" customHeight="1">
      <c r="A195" s="3" t="inlineStr">
        <is>
          <t>AC-007-004-02</t>
        </is>
      </c>
      <c r="B195" s="3" t="inlineStr">
        <is>
          <t>US-007-004</t>
        </is>
      </c>
      <c r="C195" s="3" t="inlineStr">
        <is>
          <t>EP-007</t>
        </is>
      </c>
      <c r="D195" s="3" t="inlineStr">
        <is>
          <t>Data-quality exception is visible to administrator.</t>
        </is>
      </c>
      <c r="E195" s="3" t="n"/>
      <c r="F195" s="3" t="inlineStr">
        <is>
          <t>Pass</t>
        </is>
      </c>
      <c r="G195" s="3" t="n"/>
      <c r="H195" s="3" t="n"/>
      <c r="I195" s="3" t="inlineStr">
        <is>
          <t>Claude (AI Engineer)</t>
        </is>
      </c>
      <c r="J195" s="3" t="inlineStr">
        <is>
          <t>SIT</t>
        </is>
      </c>
      <c r="K195" s="3" t="inlineStr">
        <is>
          <t>The Admin Reports &gt; Unallocated Time report includes a dataQualityException column per row (reports.service.ts unallocatedReport), reusing the same unit-tested reconciliation logic — no separate screen was needed. | PASS - manually re-verified live in the actual admin UI: switched the Reports screen to 'Unallocated Time', filtered to the affected employee, and saw the DATAQUALITYEXCEPTION column read 'true' directly on screen - not just in a raw API response.</t>
        </is>
      </c>
    </row>
    <row r="196" ht="27.6" customHeight="1">
      <c r="A196" s="3" t="inlineStr">
        <is>
          <t>AC-007-004-03</t>
        </is>
      </c>
      <c r="B196" s="3" t="inlineStr">
        <is>
          <t>US-007-004</t>
        </is>
      </c>
      <c r="C196" s="3" t="inlineStr">
        <is>
          <t>EP-007</t>
        </is>
      </c>
      <c r="D196" s="3" t="inlineStr">
        <is>
          <t>System does not silently alter original records.</t>
        </is>
      </c>
      <c r="E196" s="3" t="n"/>
      <c r="F196" s="3" t="inlineStr">
        <is>
          <t>Pass</t>
        </is>
      </c>
      <c r="G196" s="3" t="n"/>
      <c r="H196" s="3" t="n"/>
      <c r="I196" s="3" t="inlineStr">
        <is>
          <t>Claude (AI Engineer)</t>
        </is>
      </c>
      <c r="J196" s="3" t="inlineStr">
        <is>
          <t>SIT</t>
        </is>
      </c>
      <c r="K196" s="3" t="inlineStr">
        <is>
          <t>reconcile() only reads attendance/break/task rows - it has no write path at all, cannot alter any record even in principle. | PASS - manually re-verified live: after the exception-triggering correction, fetched the raw AttendanceSession and TaskTimeEntry via GET /attendance/:id - the session's clockOutAt reflected the correction (the sanctioned mutation path I explicitly used), but the TaskTimeEntry's own startAt/endAt were completely untouched. reconcile() only ever reads these rows and has no write path, so it could not have silently 'fixed' the mismatch even in principle - it surfaced it as an exception instead.</t>
        </is>
      </c>
    </row>
    <row r="197" ht="27.6" customHeight="1">
      <c r="A197" s="3" t="inlineStr">
        <is>
          <t>AC-007-004-04</t>
        </is>
      </c>
      <c r="B197" s="3" t="inlineStr">
        <is>
          <t>US-007-004</t>
        </is>
      </c>
      <c r="C197" s="3" t="inlineStr">
        <is>
          <t>EP-007</t>
        </is>
      </c>
      <c r="D197" s="3" t="inlineStr">
        <is>
          <t>Correction workflow can resolve the issue.</t>
        </is>
      </c>
      <c r="E197" s="3" t="n"/>
      <c r="F197" s="3" t="inlineStr">
        <is>
          <t>Pass</t>
        </is>
      </c>
      <c r="G197" s="3" t="n"/>
      <c r="H197" s="3" t="n"/>
      <c r="I197" s="3" t="inlineStr">
        <is>
          <t>Claude (AI Engineer)</t>
        </is>
      </c>
      <c r="J197" s="3" t="inlineStr">
        <is>
          <t>SIT</t>
        </is>
      </c>
      <c r="K197" s="3" t="inlineStr">
        <is>
          <t>Corrections workflow (already proven working multiple times this session) is the mechanism that resolves reconciliation exceptions. | PASS - manually re-verified live against production, 2026-09-09, end-to-end: submitted a second, corrective correction restoring the session's real clock-out time, got it approved, and confirmed GET /reports/unallocated for the same day now read dataQualityException=false - the correction workflow genuinely resolved the exception, not just theoretically.</t>
        </is>
      </c>
    </row>
    <row r="198" ht="27.6" customHeight="1">
      <c r="A198" s="3" t="inlineStr">
        <is>
          <t>AC-007-005-01</t>
        </is>
      </c>
      <c r="B198" s="3" t="inlineStr">
        <is>
          <t>US-007-005</t>
        </is>
      </c>
      <c r="C198" s="3" t="inlineStr">
        <is>
          <t>EP-007</t>
        </is>
      </c>
      <c r="D198" s="3" t="inlineStr">
        <is>
          <t>Timeline includes clock-in/out, breaks and task intervals.</t>
        </is>
      </c>
      <c r="E198" s="3" t="n"/>
      <c r="F198" s="3" t="inlineStr">
        <is>
          <t>Pass</t>
        </is>
      </c>
      <c r="G198" s="3" t="n"/>
      <c r="H198" s="3" t="n"/>
      <c r="I198" s="3" t="inlineStr">
        <is>
          <t>Claude (AI Engineer)</t>
        </is>
      </c>
      <c r="J198" s="3" t="inlineStr">
        <is>
          <t>SIT</t>
        </is>
      </c>
      <c r="K198" s="3" t="inlineStr">
        <is>
          <t>Live test 2026-09-08: timeline includes ATTENDANCE, BREAK and TASK event types in one response. | PASS - manually re-verified live: a real day's timeline included ATTENDANCE ('Clocked in'), BREAK and TASK entries together in one GET /reconciliation/me response and on the /my-day screen.</t>
        </is>
      </c>
    </row>
    <row r="199" ht="27.6" customHeight="1">
      <c r="A199" s="3" t="inlineStr">
        <is>
          <t>AC-007-005-02</t>
        </is>
      </c>
      <c r="B199" s="3" t="inlineStr">
        <is>
          <t>US-007-005</t>
        </is>
      </c>
      <c r="C199" s="3" t="inlineStr">
        <is>
          <t>EP-007</t>
        </is>
      </c>
      <c r="D199" s="3" t="inlineStr">
        <is>
          <t>Events are ordered chronologically.</t>
        </is>
      </c>
      <c r="E199" s="3" t="n"/>
      <c r="F199" s="3" t="inlineStr">
        <is>
          <t>Pass</t>
        </is>
      </c>
      <c r="G199" s="3" t="n"/>
      <c r="H199" s="3" t="n"/>
      <c r="I199" s="3" t="inlineStr">
        <is>
          <t>Claude (AI Engineer)</t>
        </is>
      </c>
      <c r="J199" s="3" t="inlineStr">
        <is>
          <t>SIT</t>
        </is>
      </c>
      <c r="K199" s="3" t="inlineStr">
        <is>
          <t>Live test 2026-09-08: timeline events confirmed chronologically ordered. | PASS - manually re-verified live: all events (including the two real sessions, a break, and multiple task segments) rendered in strict chronological start-time order.</t>
        </is>
      </c>
    </row>
    <row r="200" ht="27.6" customHeight="1">
      <c r="A200" s="3" t="inlineStr">
        <is>
          <t>AC-007-005-03</t>
        </is>
      </c>
      <c r="B200" s="3" t="inlineStr">
        <is>
          <t>US-007-005</t>
        </is>
      </c>
      <c r="C200" s="3" t="inlineStr">
        <is>
          <t>EP-007</t>
        </is>
      </c>
      <c r="D200" s="3" t="inlineStr">
        <is>
          <t>Gaps are visually identifiable.</t>
        </is>
      </c>
      <c r="E200" s="3" t="n"/>
      <c r="F200" s="3" t="inlineStr">
        <is>
          <t>Pass</t>
        </is>
      </c>
      <c r="G200" s="3" t="n"/>
      <c r="H200" s="3" t="n"/>
      <c r="I200" s="3" t="inlineStr">
        <is>
          <t>Claude (AI Engineer)</t>
        </is>
      </c>
      <c r="J200" s="3" t="inlineStr">
        <is>
          <t>SIT</t>
        </is>
      </c>
      <c r="K200" s="3" t="inlineStr">
        <is>
          <t>Live test 2026-09-08: a deliberate gap (clocked in, not on break, no task running) between two real events is identifiable from their explicit start/end timestamps; an open-ended event separately renders "(ongoing)". | PASS (after a real fix) - manually testing this live surfaced a genuine gap: the timeline only ever rendered the ATTENDANCE/BREAK/TASK events themselves - an unallocated gap was only inferable by mentally comparing timestamps across separate rows, with no visual treatment at all. Added client-side gap computation (reconstructing each session's span and finding the portions not covered by any break/task event) rendered as distinct dashed, italicised 'Unallocated' entries. Verified live: a real 12-minute gap (06:44 PM to 06:56 PM) appeared explicitly in the timeline, matching the 0h 12m UNALLOCATED total shown above it.</t>
        </is>
      </c>
    </row>
    <row r="201" ht="27.6" customHeight="1">
      <c r="A201" s="3" t="inlineStr">
        <is>
          <t>AC-007-005-04</t>
        </is>
      </c>
      <c r="B201" s="3" t="inlineStr">
        <is>
          <t>US-007-005</t>
        </is>
      </c>
      <c r="C201" s="3" t="inlineStr">
        <is>
          <t>EP-007</t>
        </is>
      </c>
      <c r="D201" s="3" t="inlineStr">
        <is>
          <t>Timeline totals reconcile with summary metrics.</t>
        </is>
      </c>
      <c r="E201" s="3" t="n"/>
      <c r="F201" s="3" t="inlineStr">
        <is>
          <t>Pass</t>
        </is>
      </c>
      <c r="G201" s="3" t="n"/>
      <c r="H201" s="3" t="n"/>
      <c r="I201" s="3" t="inlineStr">
        <is>
          <t>Claude (AI Engineer)</t>
        </is>
      </c>
      <c r="J201" s="3" t="inlineStr">
        <is>
          <t>SIT</t>
        </is>
      </c>
      <c r="K201" s="3" t="inlineStr">
        <is>
          <t>Live test 2026-09-08: summary metrics and the timeline array come from the same reconcile() call over the same rows - cannot diverge from each other by construction. | PASS - manually re-verified live: the same GET /reconciliation/me call backs both the summary tiles and the timeline array, so they cannot diverge - confirmed the visible 12-minute gap in the timeline matched the 0h 12m unallocated figure in Today's Totals exactly. | Test data note: all EP-007 live testing used a real disposable employee account (manual-ep7-1788993646099@atms.app) and one real task on the deployed Azure app, including two real, admin-approved corrections used specifically to trigger and then resolve a genuine data-quality exception. History was left in place (no destructive delete path exists by design); the account was set to INACTIVE afterward.</t>
        </is>
      </c>
    </row>
    <row r="202" ht="27.6" customHeight="1">
      <c r="A202" s="3" t="inlineStr">
        <is>
          <t>AC-008-001-01</t>
        </is>
      </c>
      <c r="B202" s="3" t="inlineStr">
        <is>
          <t>US-008-001</t>
        </is>
      </c>
      <c r="C202" s="3" t="inlineStr">
        <is>
          <t>EP-008</t>
        </is>
      </c>
      <c r="D202" s="3" t="inlineStr">
        <is>
          <t>Dashboard shows current attendance state.</t>
        </is>
      </c>
      <c r="E202" s="3" t="n"/>
      <c r="F202" s="3" t="inlineStr">
        <is>
          <t>Pass</t>
        </is>
      </c>
      <c r="G202" s="3" t="n"/>
      <c r="H202" s="3" t="n"/>
      <c r="I202" s="3" t="inlineStr">
        <is>
          <t>Claude (AI Engineer)</t>
        </is>
      </c>
      <c r="J202" s="3" t="inlineStr">
        <is>
          <t>SIT</t>
        </is>
      </c>
      <c r="K202" s="3" t="inlineStr">
        <is>
          <t>GlobalTimerBar + My Day page both derive current attendance state live from GET /attendance/state on every load. | PASS - manually re-verified live in-browser, 2026-09-09: /my-day's ATTENDANCE card showed real state (Clocked out -&gt; Working) sourced from GET /attendance/state, updating immediately after a real clock-in.</t>
        </is>
      </c>
    </row>
    <row r="203" ht="27.6" customHeight="1">
      <c r="A203" s="3" t="inlineStr">
        <is>
          <t>AC-008-001-02</t>
        </is>
      </c>
      <c r="B203" s="3" t="inlineStr">
        <is>
          <t>US-008-001</t>
        </is>
      </c>
      <c r="C203" s="3" t="inlineStr">
        <is>
          <t>EP-008</t>
        </is>
      </c>
      <c r="D203" s="3" t="inlineStr">
        <is>
          <t>Dashboard shows current break/task state.</t>
        </is>
      </c>
      <c r="E203" s="3" t="n"/>
      <c r="F203" s="3" t="inlineStr">
        <is>
          <t>Pass</t>
        </is>
      </c>
      <c r="G203" s="3" t="n"/>
      <c r="H203" s="3" t="n"/>
      <c r="I203" s="3" t="inlineStr">
        <is>
          <t>Claude (AI Engineer)</t>
        </is>
      </c>
      <c r="J203" s="3" t="inlineStr">
        <is>
          <t>SIT</t>
        </is>
      </c>
      <c r="K203" s="3" t="inlineStr">
        <is>
          <t>The same /attendance/state response includes activeBreak and activeTimer - both break and task state in one call. | PASS - manually re-verified live: the same GET /attendance/state response's activeBreak/activeTimer fields drove the ACTIVE TASK card and the header's GlobalTimerBar simultaneously, both reflecting a real running task timer.</t>
        </is>
      </c>
    </row>
    <row r="204" ht="27.6" customHeight="1">
      <c r="A204" s="3" t="inlineStr">
        <is>
          <t>AC-008-001-03</t>
        </is>
      </c>
      <c r="B204" s="3" t="inlineStr">
        <is>
          <t>US-008-001</t>
        </is>
      </c>
      <c r="C204" s="3" t="inlineStr">
        <is>
          <t>EP-008</t>
        </is>
      </c>
      <c r="D204" s="3" t="inlineStr">
        <is>
          <t>Worked, break, task and unallocated time are shown.</t>
        </is>
      </c>
      <c r="E204" s="3" t="n"/>
      <c r="F204" s="3" t="inlineStr">
        <is>
          <t>Pass</t>
        </is>
      </c>
      <c r="G204" s="3" t="n"/>
      <c r="H204" s="3" t="n"/>
      <c r="I204" s="3" t="inlineStr">
        <is>
          <t>Claude (AI Engineer)</t>
        </is>
      </c>
      <c r="J204" s="3" t="inlineStr">
        <is>
          <t>SIT</t>
        </is>
      </c>
      <c r="K204" s="3" t="inlineStr">
        <is>
          <t>Live-verified in EP-004/EP-007 testing: My Day's 5 stat tiles show Worked, Task time, Break time, Unallocated, Sessions. | PASS - manually re-verified live: /my-day's Today's Totals showed real, non-zero Worked/Task time/Break time/Unallocated/Sessions figures for a genuine clock-in + task-timer day.</t>
        </is>
      </c>
    </row>
    <row r="205" ht="27.6" customHeight="1">
      <c r="A205" s="3" t="inlineStr">
        <is>
          <t>AC-008-001-04</t>
        </is>
      </c>
      <c r="B205" s="3" t="inlineStr">
        <is>
          <t>US-008-001</t>
        </is>
      </c>
      <c r="C205" s="3" t="inlineStr">
        <is>
          <t>EP-008</t>
        </is>
      </c>
      <c r="D205" s="3" t="inlineStr">
        <is>
          <t>Primary actions are available without navigating to separate administration screens.</t>
        </is>
      </c>
      <c r="E205" s="3" t="n"/>
      <c r="F205" s="3" t="inlineStr">
        <is>
          <t>Pass</t>
        </is>
      </c>
      <c r="G205" s="3" t="n"/>
      <c r="H205" s="3" t="n"/>
      <c r="I205" s="3" t="inlineStr">
        <is>
          <t>Claude (AI Engineer)</t>
        </is>
      </c>
      <c r="J205" s="3" t="inlineStr">
        <is>
          <t>SIT</t>
        </is>
      </c>
      <c r="K205" s="3" t="inlineStr">
        <is>
          <t>My Day itself renders Clock In/Out, Break, and task timer Start/Pause/Stop/Switch controls directly - no navigation elsewhere required. | PASS - manually re-verified live in-browser: Clock In/Out, Start/End Break, and Start/Pause/Stop/Switch task-timer controls were all used directly from /my-day itself throughout this epic's testing, with no navigation to any other screen required.</t>
        </is>
      </c>
    </row>
    <row r="206" ht="27.6" customHeight="1">
      <c r="A206" s="3" t="inlineStr">
        <is>
          <t>AC-008-002-01</t>
        </is>
      </c>
      <c r="B206" s="3" t="inlineStr">
        <is>
          <t>US-008-002</t>
        </is>
      </c>
      <c r="C206" s="3" t="inlineStr">
        <is>
          <t>EP-008</t>
        </is>
      </c>
      <c r="D206" s="3" t="inlineStr">
        <is>
          <t>Dashboard shows registered/active users, currently working, on break and not clocked in.</t>
        </is>
      </c>
      <c r="E206" s="3" t="n"/>
      <c r="F206" s="3" t="inlineStr">
        <is>
          <t>Pass</t>
        </is>
      </c>
      <c r="G206" s="3" t="n"/>
      <c r="H206" s="3" t="n"/>
      <c r="I206" s="3" t="inlineStr">
        <is>
          <t>Claude (AI Engineer)</t>
        </is>
      </c>
      <c r="J206" s="3" t="inlineStr">
        <is>
          <t>SIT</t>
        </is>
      </c>
      <c r="K206" s="3" t="inlineStr">
        <is>
          <t>Live test 2026-09-08: KPIs reflect a real just-clocked-in user (working, totalActiveUsers, notClockedIn all update). | PASS - manually re-verified live against production, 2026-09-09, with real before/after deltas: created and clocked in a fresh employee, and GET /dashboard/admin/kpis genuinely moved from {totalActiveUsers:5, working:1} to {totalActiveUsers:6, working:2} in the very next call.</t>
        </is>
      </c>
    </row>
    <row r="207" ht="27.6" customHeight="1">
      <c r="A207" s="3" t="inlineStr">
        <is>
          <t>AC-008-002-02</t>
        </is>
      </c>
      <c r="B207" s="3" t="inlineStr">
        <is>
          <t>US-008-002</t>
        </is>
      </c>
      <c r="C207" s="3" t="inlineStr">
        <is>
          <t>EP-008</t>
        </is>
      </c>
      <c r="D207" s="3" t="inlineStr">
        <is>
          <t>Dashboard shows active task timers.</t>
        </is>
      </c>
      <c r="E207" s="3" t="n"/>
      <c r="F207" s="3" t="inlineStr">
        <is>
          <t>Pass</t>
        </is>
      </c>
      <c r="G207" s="3" t="n"/>
      <c r="H207" s="3" t="n"/>
      <c r="I207" s="3" t="inlineStr">
        <is>
          <t>Claude (AI Engineer)</t>
        </is>
      </c>
      <c r="J207" s="3" t="inlineStr">
        <is>
          <t>SIT</t>
        </is>
      </c>
      <c r="K207" s="3" t="inlineStr">
        <is>
          <t>Live test 2026-09-08: runningTaskTimers present in the KPI response. | PASS (same live delta as AC-008-002-01) - runningTaskTimers moved from 0 to 1 the instant a real task timer was started, confirmed via the same before/after KPI comparison.</t>
        </is>
      </c>
    </row>
    <row r="208" ht="27.6" customHeight="1">
      <c r="A208" s="3" t="inlineStr">
        <is>
          <t>AC-008-002-03</t>
        </is>
      </c>
      <c r="B208" s="3" t="inlineStr">
        <is>
          <t>US-008-002</t>
        </is>
      </c>
      <c r="C208" s="3" t="inlineStr">
        <is>
          <t>EP-008</t>
        </is>
      </c>
      <c r="D208" s="3" t="inlineStr">
        <is>
          <t>Counts update on refresh and may update live where implemented.</t>
        </is>
      </c>
      <c r="E208" s="3" t="n"/>
      <c r="F208" s="3" t="inlineStr">
        <is>
          <t>Pass</t>
        </is>
      </c>
      <c r="G208" s="3" t="n"/>
      <c r="H208" s="3" t="n"/>
      <c r="I208" s="3" t="inlineStr">
        <is>
          <t>Claude (AI Engineer)</t>
        </is>
      </c>
      <c r="J208" s="3" t="inlineStr">
        <is>
          <t>SIT</t>
        </is>
      </c>
      <c r="K208" s="3" t="inlineStr">
        <is>
          <t>Code-verified: both admin/dashboard and admin/live use refetchInterval (20s/15s) - counts update automatically. | PASS - manually re-verified live: both admin/dashboard and admin/live use refetchInterval (20s/15s respectively), and a hard reload of either page always shows the current server state immediately regardless of the interval.</t>
        </is>
      </c>
    </row>
    <row r="209" ht="27.6" customHeight="1">
      <c r="A209" s="3" t="inlineStr">
        <is>
          <t>AC-008-002-04</t>
        </is>
      </c>
      <c r="B209" s="3" t="inlineStr">
        <is>
          <t>US-008-002</t>
        </is>
      </c>
      <c r="C209" s="3" t="inlineStr">
        <is>
          <t>EP-008</t>
        </is>
      </c>
      <c r="D209" s="3" t="inlineStr">
        <is>
          <t>KPIs link to filtered detail views.</t>
        </is>
      </c>
      <c r="E209" s="3" t="n"/>
      <c r="F209" s="3" t="inlineStr">
        <is>
          <t>Pass</t>
        </is>
      </c>
      <c r="G209" s="3" t="n"/>
      <c r="H209" s="3" t="n"/>
      <c r="I209" s="3" t="inlineStr">
        <is>
          <t>Claude (AI Engineer)</t>
        </is>
      </c>
      <c r="J209" s="3" t="inlineStr">
        <is>
          <t>SIT</t>
        </is>
      </c>
      <c r="K209" s="3" t="inlineStr">
        <is>
          <t>FIXED 2026-09-08: KPI tiles were static numbers with no link at all. Added real Links to filtered views (commit d1d8c6b); also fixed admin/tasks and admin/users silently ignoring URL query params entirely. Verified live: clicking a KPI navigates to the correctly pre-filtered list. | PASS - manually re-verified live in-browser: clicked the real 'overdue' KPI tile on the admin dashboard and landed on /admin/tasks?overdue=1 pre-filtered to exactly the one genuinely overdue task created this session.</t>
        </is>
      </c>
    </row>
    <row r="210" ht="27.6" customHeight="1">
      <c r="A210" s="3" t="inlineStr">
        <is>
          <t>AC-008-003-01</t>
        </is>
      </c>
      <c r="B210" s="3" t="inlineStr">
        <is>
          <t>US-008-003</t>
        </is>
      </c>
      <c r="C210" s="3" t="inlineStr">
        <is>
          <t>EP-008</t>
        </is>
      </c>
      <c r="D210" s="3" t="inlineStr">
        <is>
          <t>Table shows user, attendance status, clock-in time, break status and current task.</t>
        </is>
      </c>
      <c r="E210" s="3" t="n"/>
      <c r="F210" s="3" t="inlineStr">
        <is>
          <t>Pass</t>
        </is>
      </c>
      <c r="G210" s="3" t="n"/>
      <c r="H210" s="3" t="n"/>
      <c r="I210" s="3" t="inlineStr">
        <is>
          <t>Claude (AI Engineer)</t>
        </is>
      </c>
      <c r="J210" s="3" t="inlineStr">
        <is>
          <t>SIT</t>
        </is>
      </c>
      <c r="K210" s="3" t="inlineStr">
        <is>
          <t>Live test 2026-09-08: live table row includes user, status, clockInAt, currentTask. | PASS - manually re-verified live: the Live Attendance table showed employee name, department, status (Working), clocked-in-since time, live duration and current task for a real active session.</t>
        </is>
      </c>
    </row>
    <row r="211" ht="27.6" customHeight="1">
      <c r="A211" s="3" t="inlineStr">
        <is>
          <t>AC-008-003-02</t>
        </is>
      </c>
      <c r="B211" s="3" t="inlineStr">
        <is>
          <t>US-008-003</t>
        </is>
      </c>
      <c r="C211" s="3" t="inlineStr">
        <is>
          <t>EP-008</t>
        </is>
      </c>
      <c r="D211" s="3" t="inlineStr">
        <is>
          <t>Only authorised administrators can access it.</t>
        </is>
      </c>
      <c r="E211" s="3" t="n"/>
      <c r="F211" s="3" t="inlineStr">
        <is>
          <t>Pass</t>
        </is>
      </c>
      <c r="G211" s="3" t="n"/>
      <c r="H211" s="3" t="n"/>
      <c r="I211" s="3" t="inlineStr">
        <is>
          <t>Claude (AI Engineer)</t>
        </is>
      </c>
      <c r="J211" s="3" t="inlineStr">
        <is>
          <t>SIT</t>
        </is>
      </c>
      <c r="K211" s="3" t="inlineStr">
        <is>
          <t>Existing evidence (EP-003 AC-003-008-04): employee attempting GET /attendance/admin/live -&gt; 403. | PASS - manually re-verified live: a genuine employee session's GET /attendance/admin/live -&gt; 403 'Insufficient permissions' (cross-referenced with the identical live test in EP-003's AC-003-008-04).</t>
        </is>
      </c>
    </row>
    <row r="212" ht="27.6" customHeight="1">
      <c r="A212" s="3" t="inlineStr">
        <is>
          <t>AC-008-003-03</t>
        </is>
      </c>
      <c r="B212" s="3" t="inlineStr">
        <is>
          <t>US-008-003</t>
        </is>
      </c>
      <c r="C212" s="3" t="inlineStr">
        <is>
          <t>EP-008</t>
        </is>
      </c>
      <c r="D212" s="3" t="inlineStr">
        <is>
          <t>Inactive users are excluded by default.</t>
        </is>
      </c>
      <c r="E212" s="3" t="n"/>
      <c r="F212" s="3" t="inlineStr">
        <is>
          <t>Pass</t>
        </is>
      </c>
      <c r="G212" s="3" t="n"/>
      <c r="H212" s="3" t="n"/>
      <c r="I212" s="3" t="inlineStr">
        <is>
          <t>Claude (AI Engineer)</t>
        </is>
      </c>
      <c r="J212" s="3" t="inlineStr">
        <is>
          <t>SIT</t>
        </is>
      </c>
      <c r="K212" s="3" t="inlineStr">
        <is>
          <t>Structural: getLive() only queries sessions with status ACTIVE/ON_BREAK - a user who is inactive/suspended cannot have one (JwtStrategy blocks them from all writes), so exclusion is automatic, not a separate filter. | PASS (after a real fix) - manually testing this live surfaced a genuine bug: an employee account deactivated (INACTIVE) mid-session still had its open AttendanceSession, and GET /attendance/admin/live never filtered by the user's current account status - so a real INACTIVE test account ('Ep5 Manual') kept appearing in the live table as 'Working' with a live-incrementing duration, indefinitely. Added a `user: { status: ACTIVE }` filter to getLive(). Verified live: after deploying the fix, the same INACTIVE account's stale row disappeared from the table entirely, while a genuinely active employee still appeared correctly. | Test data note: all EP-008 live testing used two real disposable employee accounts (manual-ep8-1788994700858@atms.app and the already-existing manual-ep5-... account whose stale session surfaced the AC-008-003-03 bug) and one real task with a deliberately past due date, on the deployed Azure app. Both test accounts were properly clocked out and then set to INACTIVE afterward via the admin Users screen.</t>
        </is>
      </c>
    </row>
    <row r="213" ht="27.6" customHeight="1">
      <c r="A213" s="3" t="inlineStr">
        <is>
          <t>AC-008-003-04</t>
        </is>
      </c>
      <c r="B213" s="3" t="inlineStr">
        <is>
          <t>US-008-003</t>
        </is>
      </c>
      <c r="C213" s="3" t="inlineStr">
        <is>
          <t>EP-008</t>
        </is>
      </c>
      <c r="D213" s="3" t="inlineStr">
        <is>
          <t>Table can be searched/filter by user/department.</t>
        </is>
      </c>
      <c r="E213" s="3" t="n"/>
      <c r="F213" s="3" t="inlineStr">
        <is>
          <t>Pass</t>
        </is>
      </c>
      <c r="G213" s="3" t="n"/>
      <c r="H213" s="3" t="n"/>
      <c r="I213" s="3" t="inlineStr">
        <is>
          <t>Claude (AI Engineer)</t>
        </is>
      </c>
      <c r="J213" s="3" t="inlineStr">
        <is>
          <t>SIT</t>
        </is>
      </c>
      <c r="K213" s="3" t="inlineStr">
        <is>
          <t>FIXED 2026-09-08: found zero search/filter capability existed at all (confirmed via grep). Added department name to the API response (was only a raw id) and a name/email search box + department dropdown to the live table (commit c00e7b3). Verified live: UI renders correctly with real data. | PASS - manually re-verified live in-browser: typed a real employee's name into the Search box and the table narrowed from 2 rows to exactly 1 matching row; selecting the Engineering department filter (with no employee actually assigned to that department) correctly showed 'No one matches this search/filter.'</t>
        </is>
      </c>
    </row>
    <row r="214" ht="27.6" customHeight="1">
      <c r="A214" s="3" t="inlineStr">
        <is>
          <t>AC-008-004-01</t>
        </is>
      </c>
      <c r="B214" s="3" t="inlineStr">
        <is>
          <t>US-008-004</t>
        </is>
      </c>
      <c r="C214" s="3" t="inlineStr">
        <is>
          <t>EP-008</t>
        </is>
      </c>
      <c r="D214" s="3" t="inlineStr">
        <is>
          <t>Dashboard shows tasks by status.</t>
        </is>
      </c>
      <c r="E214" s="3" t="n"/>
      <c r="F214" s="3" t="inlineStr">
        <is>
          <t>Pass</t>
        </is>
      </c>
      <c r="G214" s="3" t="n"/>
      <c r="H214" s="3" t="n"/>
      <c r="I214" s="3" t="inlineStr">
        <is>
          <t>Claude (AI Engineer)</t>
        </is>
      </c>
      <c r="J214" s="3" t="inlineStr">
        <is>
          <t>SIT</t>
        </is>
      </c>
      <c r="K214" s="3" t="inlineStr">
        <is>
          <t>Live test 2026-09-08: tasksByStatus reflects real task counts by status. | PASS - manually re-verified live: GET /dashboard/admin/kpis' tasksByStatus reflected real counts that changed correctly as tasks were created and moved between statuses throughout this session's testing.</t>
        </is>
      </c>
    </row>
    <row r="215" ht="27.6" customHeight="1">
      <c r="A215" s="3" t="inlineStr">
        <is>
          <t>AC-008-004-02</t>
        </is>
      </c>
      <c r="B215" s="3" t="inlineStr">
        <is>
          <t>US-008-004</t>
        </is>
      </c>
      <c r="C215" s="3" t="inlineStr">
        <is>
          <t>EP-008</t>
        </is>
      </c>
      <c r="D215" s="3" t="inlineStr">
        <is>
          <t>Overdue task count uses due date and status.</t>
        </is>
      </c>
      <c r="E215" s="3" t="n"/>
      <c r="F215" s="3" t="inlineStr">
        <is>
          <t>Pass</t>
        </is>
      </c>
      <c r="G215" s="3" t="n"/>
      <c r="H215" s="3" t="n"/>
      <c r="I215" s="3" t="inlineStr">
        <is>
          <t>Claude (AI Engineer)</t>
        </is>
      </c>
      <c r="J215" s="3" t="inlineStr">
        <is>
          <t>SIT</t>
        </is>
      </c>
      <c r="K215" s="3" t="inlineStr">
        <is>
          <t>Live test 2026-09-08: overdueTaskCount correctly increments for a TO_DO task with a past due date (uses both fields, confirmed by the exact query in dashboard.controller.ts). | PASS - manually re-verified live against production, 2026-09-09: created a real task with a due date of 2020-01-01 (deliberately in the past) and status TO_DO - the KPI response's overdueTaskCount immediately incremented by exactly 1, and the admin dashboard visibly showed '1 overdue'.</t>
        </is>
      </c>
    </row>
    <row r="216" ht="27.6" customHeight="1">
      <c r="A216" s="3" t="inlineStr">
        <is>
          <t>AC-008-004-03</t>
        </is>
      </c>
      <c r="B216" s="3" t="inlineStr">
        <is>
          <t>US-008-004</t>
        </is>
      </c>
      <c r="C216" s="3" t="inlineStr">
        <is>
          <t>EP-008</t>
        </is>
      </c>
      <c r="D216" s="3" t="inlineStr">
        <is>
          <t>Administrator can drill down to task list.</t>
        </is>
      </c>
      <c r="E216" s="3" t="n"/>
      <c r="F216" s="3" t="inlineStr">
        <is>
          <t>Pass</t>
        </is>
      </c>
      <c r="G216" s="3" t="n"/>
      <c r="H216" s="3" t="n"/>
      <c r="I216" s="3" t="inlineStr">
        <is>
          <t>Claude (AI Engineer)</t>
        </is>
      </c>
      <c r="J216" s="3" t="inlineStr">
        <is>
          <t>SIT</t>
        </is>
      </c>
      <c r="K216" s="3" t="inlineStr">
        <is>
          <t>Same fix/evidence as AC-008-002-04 - tasks-by-status entries and the overdue count are both real links to /admin/tasks with the matching filter applied. | PASS (same evidence as AC-008-002-04) - clicking the real overdue KPI and a real 'IN PROGRESS' status tile both navigated to /admin/tasks with the matching filter query param pre-applied and the list genuinely narrowed accordingly.</t>
        </is>
      </c>
    </row>
    <row r="217" ht="27.6" customHeight="1">
      <c r="A217" s="3" t="inlineStr">
        <is>
          <t>AC-008-004-04</t>
        </is>
      </c>
      <c r="B217" s="3" t="inlineStr">
        <is>
          <t>US-008-004</t>
        </is>
      </c>
      <c r="C217" s="3" t="inlineStr">
        <is>
          <t>EP-008</t>
        </is>
      </c>
      <c r="D217" s="3" t="inlineStr">
        <is>
          <t>Actual task time is available where recorded.</t>
        </is>
      </c>
      <c r="E217" s="3" t="n"/>
      <c r="F217" s="3" t="inlineStr">
        <is>
          <t>Pass</t>
        </is>
      </c>
      <c r="G217" s="3" t="n"/>
      <c r="H217" s="3" t="n"/>
      <c r="I217" s="3" t="inlineStr">
        <is>
          <t>Claude (AI Engineer)</t>
        </is>
      </c>
      <c r="J217" s="3" t="inlineStr">
        <is>
          <t>SIT</t>
        </is>
      </c>
      <c r="K217" s="3" t="inlineStr">
        <is>
          <t>Same getActualMinutes() evidence proven throughout EP-005/006 - actual time available on every task detail fetch. | PASS - manually re-verified live: the same overdue task's row in the filtered /admin/tasks list showed a real, non-zero Actual Time figure once task-timer work had been logged against it.</t>
        </is>
      </c>
    </row>
    <row r="218" ht="27.6" customHeight="1">
      <c r="A218" s="3" t="inlineStr">
        <is>
          <t>AC-008-005-01</t>
        </is>
      </c>
      <c r="B218" s="3" t="inlineStr">
        <is>
          <t>US-008-005</t>
        </is>
      </c>
      <c r="C218" s="3" t="inlineStr">
        <is>
          <t>EP-008</t>
        </is>
      </c>
      <c r="D218" s="3" t="inlineStr">
        <is>
          <t>Primary actions remain usable at supported mobile widths.</t>
        </is>
      </c>
      <c r="E218" s="3" t="n"/>
      <c r="F218" s="3" t="inlineStr">
        <is>
          <t>Pass</t>
        </is>
      </c>
      <c r="G218" s="3" t="n"/>
      <c r="H218" s="3" t="n"/>
      <c r="I218" s="3" t="inlineStr">
        <is>
          <t>Claude (AI Engineer)</t>
        </is>
      </c>
      <c r="J218" s="3" t="inlineStr">
        <is>
          <t>SIT</t>
        </is>
      </c>
      <c r="K218" s="3" t="inlineStr">
        <is>
          <t>Verified: with the hamburger nav fix, every primary action (clock/break/timer + full navigation) is reachable at 375px width. | PASS - manually re-verified live at a real 375px viewport: logged in, opened the hamburger menu (confirmed via a screenshot showing every nav link, including all admin-only ones, fully readable), and used the real Clock In/Start Break/Pause/Stop controls directly on /my-day - every primary action was reachable and functional at mobile width.</t>
        </is>
      </c>
    </row>
    <row r="219" ht="27.6" customHeight="1">
      <c r="A219" s="3" t="inlineStr">
        <is>
          <t>AC-008-005-02</t>
        </is>
      </c>
      <c r="B219" s="3" t="inlineStr">
        <is>
          <t>US-008-005</t>
        </is>
      </c>
      <c r="C219" s="3" t="inlineStr">
        <is>
          <t>EP-008</t>
        </is>
      </c>
      <c r="D219" s="3" t="inlineStr">
        <is>
          <t>No critical control requires horizontal scrolling.</t>
        </is>
      </c>
      <c r="E219" s="3" t="n"/>
      <c r="F219" s="3" t="inlineStr">
        <is>
          <t>Pass</t>
        </is>
      </c>
      <c r="G219" s="3" t="n"/>
      <c r="H219" s="3" t="n"/>
      <c r="I219" s="3" t="inlineStr">
        <is>
          <t>Claude (AI Engineer)</t>
        </is>
      </c>
      <c r="J219" s="3" t="inlineStr">
        <is>
          <t>SIT</t>
        </is>
      </c>
      <c r="K219" s="3" t="inlineStr">
        <is>
          <t>Verified: no element requires horizontal scrolling at 375px width across My Day, login and the mobile nav panel. | PASS - manually re-verified live at 375px: document.documentElement.scrollWidth exactly equalled window.innerWidth (375 = 375) on /my-day, confirming zero horizontal overflow; the login page and mobile nav panel were also visually confirmed to fit with no horizontal scrollbar.</t>
        </is>
      </c>
    </row>
    <row r="220" ht="27.6" customHeight="1">
      <c r="A220" s="3" t="inlineStr">
        <is>
          <t>AC-008-005-03</t>
        </is>
      </c>
      <c r="B220" s="3" t="inlineStr">
        <is>
          <t>US-008-005</t>
        </is>
      </c>
      <c r="C220" s="3" t="inlineStr">
        <is>
          <t>EP-008</t>
        </is>
      </c>
      <c r="D220" s="3" t="inlineStr">
        <is>
          <t>Timer and clock state remain visible.</t>
        </is>
      </c>
      <c r="E220" s="3" t="n"/>
      <c r="F220" s="3" t="inlineStr">
        <is>
          <t>Pass</t>
        </is>
      </c>
      <c r="G220" s="3" t="n"/>
      <c r="H220" s="3" t="n"/>
      <c r="I220" s="3" t="inlineStr">
        <is>
          <t>Claude (AI Engineer)</t>
        </is>
      </c>
      <c r="J220" s="3" t="inlineStr">
        <is>
          <t>SIT</t>
        </is>
      </c>
      <c r="K220" s="3" t="inlineStr">
        <is>
          <t>Verified: the header's attendance-state badge stays visible above the fold regardless of scroll position. | PASS (after a real fix) - manually testing this live at a real 375px viewport surfaced a genuine bug: the header carrying the GlobalTimerBar (live clock/timer state) used position:static inside a container with min-h-screen instead of h-screen, so &lt;main&gt;'s own overflow-y-auto never actually engaged - the whole page scrolled instead, dragging the header (and the visible timer) completely out of view on any page tall enough to need scrolling, which is most pages at mobile width. Fixed by switching the app shell's outer container to h-screen so main scrolls internally while the header stays fixed. Verified live with before/after screenshots on a real running timer: before the fix, scrolling down hid the 'Working · 00:05:30' bar entirely; after deploying the fix, the same bar (now showing 00:13:13 and still ticking) remained pinned at the top of the screen throughout scrolling.</t>
        </is>
      </c>
    </row>
    <row r="221" ht="27.6" customHeight="1">
      <c r="A221" s="3" t="inlineStr">
        <is>
          <t>AC-008-005-04</t>
        </is>
      </c>
      <c r="B221" s="3" t="inlineStr">
        <is>
          <t>US-008-005</t>
        </is>
      </c>
      <c r="C221" s="3" t="inlineStr">
        <is>
          <t>EP-008</t>
        </is>
      </c>
      <c r="D221" s="3" t="inlineStr">
        <is>
          <t>Accessibility labels are provided for interactive controls.</t>
        </is>
      </c>
      <c r="E221" s="3" t="n"/>
      <c r="F221" s="3" t="inlineStr">
        <is>
          <t>Pass</t>
        </is>
      </c>
      <c r="G221" s="3" t="n"/>
      <c r="H221" s="3" t="n"/>
      <c r="I221" s="3" t="inlineStr">
        <is>
          <t>Claude (AI Engineer)</t>
        </is>
      </c>
      <c r="J221" s="3" t="inlineStr">
        <is>
          <t>SIT</t>
        </is>
      </c>
      <c r="K221" s="3" t="inlineStr">
        <is>
          <t>Verified: the mobile menu toggle has aria-label and aria-expanded attributes. | PASS - manually re-verified live at 375px: the mobile menu toggle button carried aria-label ('Open menu' / 'Close menu', correctly toggling) and aria-expanded ('false' / 'true', correctly toggling) confirmed via direct DOM inspection before and after a real click; the notifications bell also carried an aria-label ('Notifications').</t>
        </is>
      </c>
    </row>
    <row r="222" ht="27.6" customHeight="1">
      <c r="A222" s="3" t="inlineStr">
        <is>
          <t>AC-009-001-01</t>
        </is>
      </c>
      <c r="B222" s="3" t="inlineStr">
        <is>
          <t>US-009-001</t>
        </is>
      </c>
      <c r="C222" s="3" t="inlineStr">
        <is>
          <t>EP-009</t>
        </is>
      </c>
      <c r="D222" s="3" t="inlineStr">
        <is>
          <t>User can identify the attendance record and proposed correction.</t>
        </is>
      </c>
      <c r="E222" s="3" t="n"/>
      <c r="F222" s="3" t="inlineStr">
        <is>
          <t>Pass</t>
        </is>
      </c>
      <c r="G222" s="3" t="n"/>
      <c r="H222" s="3" t="n"/>
      <c r="I222" s="3" t="inlineStr">
        <is>
          <t>Claude (AI Engineer)</t>
        </is>
      </c>
      <c r="J222" s="3" t="inlineStr">
        <is>
          <t>SIT</t>
        </is>
      </c>
      <c r="K222" s="3" t="inlineStr">
        <is>
          <t>Live test 2026-09-08: POST /corrections identifying an exact target session -&gt; 201. | PASS - manually re-verified live in-browser, 2026-09-09: the real Corrections page's 'Attendance record' dropdown listed the real session by its exact clock-in/out timestamps, letting the user identify it unambiguously before proposing a correction.</t>
        </is>
      </c>
    </row>
    <row r="223" ht="27.6" customHeight="1">
      <c r="A223" s="3" t="inlineStr">
        <is>
          <t>AC-009-001-02</t>
        </is>
      </c>
      <c r="B223" s="3" t="inlineStr">
        <is>
          <t>US-009-001</t>
        </is>
      </c>
      <c r="C223" s="3" t="inlineStr">
        <is>
          <t>EP-009</t>
        </is>
      </c>
      <c r="D223" s="3" t="inlineStr">
        <is>
          <t>Reason is mandatory.</t>
        </is>
      </c>
      <c r="E223" s="3" t="n"/>
      <c r="F223" s="3" t="inlineStr">
        <is>
          <t>Pass</t>
        </is>
      </c>
      <c r="G223" s="3" t="n"/>
      <c r="H223" s="3" t="n"/>
      <c r="I223" s="3" t="inlineStr">
        <is>
          <t>Claude (AI Engineer)</t>
        </is>
      </c>
      <c r="J223" s="3" t="inlineStr">
        <is>
          <t>SIT</t>
        </is>
      </c>
      <c r="K223" s="3" t="inlineStr">
        <is>
          <t>Live test 2026-09-08: POST /corrections with no reason -&gt; 400 "reason: Required". | PASS (after a real fix) - manually testing this live surfaced a genuine UX gap: submitting with a reason under 10 characters (or blank) did nothing at all - the Submit button was simply disabled with zero visible error or hint anywhere near the field, so a real user would have no way to know why nothing happened. Added a live character-count hint ('At least 10 characters required (n/10)'). Verified live: the hint appears and updates as the user types, disappearing once the minimum is met.</t>
        </is>
      </c>
    </row>
    <row r="224" ht="27.6" customHeight="1">
      <c r="A224" s="3" t="inlineStr">
        <is>
          <t>AC-009-001-03</t>
        </is>
      </c>
      <c r="B224" s="3" t="inlineStr">
        <is>
          <t>US-009-001</t>
        </is>
      </c>
      <c r="C224" s="3" t="inlineStr">
        <is>
          <t>EP-009</t>
        </is>
      </c>
      <c r="D224" s="3" t="inlineStr">
        <is>
          <t>Request does not overwrite original values before approval.</t>
        </is>
      </c>
      <c r="E224" s="3" t="n"/>
      <c r="F224" s="3" t="inlineStr">
        <is>
          <t>Pass</t>
        </is>
      </c>
      <c r="G224" s="3" t="n"/>
      <c r="H224" s="3" t="n"/>
      <c r="I224" s="3" t="inlineStr">
        <is>
          <t>Claude (AI Engineer)</t>
        </is>
      </c>
      <c r="J224" s="3" t="inlineStr">
        <is>
          <t>SIT</t>
        </is>
      </c>
      <c r="K224" s="3" t="inlineStr">
        <is>
          <t>Live test 2026-09-08: original clockInAt unchanged immediately after requesting a correction, before any approval. | PASS - manually re-verified live: fetched the real attendance session's clockOutAt immediately after submitting a correction request on it - unchanged from before the request, confirming the original is never touched until approval.</t>
        </is>
      </c>
    </row>
    <row r="225" ht="27.6" customHeight="1">
      <c r="A225" s="3" t="inlineStr">
        <is>
          <t>AC-009-001-04</t>
        </is>
      </c>
      <c r="B225" s="3" t="inlineStr">
        <is>
          <t>US-009-001</t>
        </is>
      </c>
      <c r="C225" s="3" t="inlineStr">
        <is>
          <t>EP-009</t>
        </is>
      </c>
      <c r="D225" s="3" t="inlineStr">
        <is>
          <t>Request status is visible to user.</t>
        </is>
      </c>
      <c r="E225" s="3" t="n"/>
      <c r="F225" s="3" t="inlineStr">
        <is>
          <t>Pass</t>
        </is>
      </c>
      <c r="G225" s="3" t="n"/>
      <c r="H225" s="3" t="n"/>
      <c r="I225" s="3" t="inlineStr">
        <is>
          <t>Claude (AI Engineer)</t>
        </is>
      </c>
      <c r="J225" s="3" t="inlineStr">
        <is>
          <t>SIT</t>
        </is>
      </c>
      <c r="K225" s="3" t="inlineStr">
        <is>
          <t>Live test 2026-09-08: GET /corrections/mine shows status=PENDING for the just-submitted request. | PASS - manually re-verified live in-browser: the real 'My Requests' list showed PENDING immediately after submission, then correctly updated to APPROVED or REJECTED (with the admin's decision comment) after the admin decided.</t>
        </is>
      </c>
    </row>
    <row r="226" ht="27.6" customHeight="1">
      <c r="A226" s="3" t="inlineStr">
        <is>
          <t>AC-009-002-01</t>
        </is>
      </c>
      <c r="B226" s="3" t="inlineStr">
        <is>
          <t>US-009-002</t>
        </is>
      </c>
      <c r="C226" s="3" t="inlineStr">
        <is>
          <t>EP-009</t>
        </is>
      </c>
      <c r="D226" s="3" t="inlineStr">
        <is>
          <t>Administrator sees original, proposed value and reason.</t>
        </is>
      </c>
      <c r="E226" s="3" t="n"/>
      <c r="F226" s="3" t="inlineStr">
        <is>
          <t>Pass</t>
        </is>
      </c>
      <c r="G226" s="3" t="n"/>
      <c r="H226" s="3" t="n"/>
      <c r="I226" s="3" t="inlineStr">
        <is>
          <t>Claude (AI Engineer)</t>
        </is>
      </c>
      <c r="J226" s="3" t="inlineStr">
        <is>
          <t>SIT</t>
        </is>
      </c>
      <c r="K226" s="3" t="inlineStr">
        <is>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 | PASS - manually re-verified live: GET /corrections/pending's currentStart/currentEnd correctly showed the real, current TaskTimeEntry values (re-fetched fresh, not the stale value at request time) right alongside the proposed ones for a real pending correction.</t>
        </is>
      </c>
    </row>
    <row r="227" ht="27.6" customHeight="1">
      <c r="A227" s="3" t="inlineStr">
        <is>
          <t>AC-009-002-02</t>
        </is>
      </c>
      <c r="B227" s="3" t="inlineStr">
        <is>
          <t>US-009-002</t>
        </is>
      </c>
      <c r="C227" s="3" t="inlineStr">
        <is>
          <t>EP-009</t>
        </is>
      </c>
      <c r="D227" s="3" t="inlineStr">
        <is>
          <t>Approval creates corrected effective values while retaining original audit history.</t>
        </is>
      </c>
      <c r="E227" s="3" t="n"/>
      <c r="F227" s="3" t="inlineStr">
        <is>
          <t>Pass</t>
        </is>
      </c>
      <c r="G227" s="3" t="n"/>
      <c r="H227" s="3" t="n"/>
      <c r="I227" s="3" t="inlineStr">
        <is>
          <t>Claude (AI Engineer)</t>
        </is>
      </c>
      <c r="J227" s="3" t="inlineStr">
        <is>
          <t>SIT</t>
        </is>
      </c>
      <c r="K227" s="3" t="inlineStr">
        <is>
          <t>Live test 2026-09-08: approve -&gt; 201 (NestJS default for POST, no @HttpCode override), status=APPROVED, record shows the corrected value immediately after. | PASS - manually re-verified live: approving a real correction returned status=APPROVED and the underlying record's value changed to the approved proposal in the very next fetch, while the original before-value remained permanently visible in the audit trail (not lost).</t>
        </is>
      </c>
    </row>
    <row r="228" ht="27.6" customHeight="1">
      <c r="A228" s="3" t="inlineStr">
        <is>
          <t>AC-009-002-03</t>
        </is>
      </c>
      <c r="B228" s="3" t="inlineStr">
        <is>
          <t>US-009-002</t>
        </is>
      </c>
      <c r="C228" s="3" t="inlineStr">
        <is>
          <t>EP-009</t>
        </is>
      </c>
      <c r="D228" s="3" t="inlineStr">
        <is>
          <t>Rejection records decision and optional comment.</t>
        </is>
      </c>
      <c r="E228" s="3" t="n"/>
      <c r="F228" s="3" t="inlineStr">
        <is>
          <t>Pass</t>
        </is>
      </c>
      <c r="G228" s="3" t="n"/>
      <c r="H228" s="3" t="n"/>
      <c r="I228" s="3" t="inlineStr">
        <is>
          <t>Claude (AI Engineer)</t>
        </is>
      </c>
      <c r="J228" s="3" t="inlineStr">
        <is>
          <t>SIT</t>
        </is>
      </c>
      <c r="K228" s="3" t="inlineStr">
        <is>
          <t>Live test 2026-09-08: reject with a comment -&gt; 201, status=REJECTED, decisionComment persisted exactly as submitted. | PASS (after a real fix) - manually testing this live surfaced a genuine gap: the backend already accepted an optional decision comment on both approve and reject, but the admin Correction Review screen never had a field to enter one - rejections could only ever be submitted with comment=undefined through the UI. Added a 'Decision comment (optional)' input wired to the decide mutation. Verified live via a real rejection: submitted with a comment, and GET /corrections/mine showed the exact comment text under 'Admin note' on the requester's side.</t>
        </is>
      </c>
    </row>
    <row r="229" ht="27.6" customHeight="1">
      <c r="A229" s="3" t="inlineStr">
        <is>
          <t>AC-009-002-04</t>
        </is>
      </c>
      <c r="B229" s="3" t="inlineStr">
        <is>
          <t>US-009-002</t>
        </is>
      </c>
      <c r="C229" s="3" t="inlineStr">
        <is>
          <t>EP-009</t>
        </is>
      </c>
      <c r="D229" s="3" t="inlineStr">
        <is>
          <t>Decision is audited.</t>
        </is>
      </c>
      <c r="E229" s="3" t="n"/>
      <c r="F229" s="3" t="inlineStr">
        <is>
          <t>Pass</t>
        </is>
      </c>
      <c r="G229" s="3" t="n"/>
      <c r="H229" s="3" t="n"/>
      <c r="I229" s="3" t="inlineStr">
        <is>
          <t>Claude (AI Engineer)</t>
        </is>
      </c>
      <c r="J229" s="3" t="inlineStr">
        <is>
          <t>SIT</t>
        </is>
      </c>
      <c r="K229" s="3" t="inlineStr">
        <is>
          <t>Live test 2026-09-08: audit log contains CORRECTION_APPROVED with real before/after values. | PASS - manually re-verified live: a real rejection produced a CORRECTION_REJECTED audit entry with the correct actor and the decision comment in metadataJson; a real approval produced CORRECTION_APPROVED with genuine before/after interval values.</t>
        </is>
      </c>
    </row>
    <row r="230" ht="27.6" customHeight="1">
      <c r="A230" s="3" t="inlineStr">
        <is>
          <t>AC-009-003-01</t>
        </is>
      </c>
      <c r="B230" s="3" t="inlineStr">
        <is>
          <t>US-009-003</t>
        </is>
      </c>
      <c r="C230" s="3" t="inlineStr">
        <is>
          <t>EP-009</t>
        </is>
      </c>
      <c r="D230" s="3" t="inlineStr">
        <is>
          <t>User selects affected task interval.</t>
        </is>
      </c>
      <c r="E230" s="3" t="n"/>
      <c r="F230" s="3" t="inlineStr">
        <is>
          <t>Pass</t>
        </is>
      </c>
      <c r="G230" s="3" t="n"/>
      <c r="H230" s="3" t="n"/>
      <c r="I230" s="3" t="inlineStr">
        <is>
          <t>Claude (AI Engineer)</t>
        </is>
      </c>
      <c r="J230" s="3" t="inlineStr">
        <is>
          <t>SIT</t>
        </is>
      </c>
      <c r="K230" s="3" t="inlineStr">
        <is>
          <t>Live test 2026-09-08: correction request targets the exact TaskTimeEntry id. | PASS (after a real fix) - manually testing this live surfaced a genuine, complete gap: US-009-003 (request a task-time correction) had NO frontend at all - the corrections form was hardcoded to targetType: 'ATTENDANCE_SESSION' only, even though the backend fully supported TASK_TIME_ENTRY. Extended GET /attendance/me to also return taskTimeEntries, and added a full 'Request a Task Time Correction' section to the corrections page. Verified live: the new form listed real task-time segments by task title and exact start/end, and a real submission correctly targeted the exact TaskTimeEntry id.</t>
        </is>
      </c>
    </row>
    <row r="231" ht="27.6" customHeight="1">
      <c r="A231" s="3" t="inlineStr">
        <is>
          <t>AC-009-003-02</t>
        </is>
      </c>
      <c r="B231" s="3" t="inlineStr">
        <is>
          <t>US-009-003</t>
        </is>
      </c>
      <c r="C231" s="3" t="inlineStr">
        <is>
          <t>EP-009</t>
        </is>
      </c>
      <c r="D231" s="3" t="inlineStr">
        <is>
          <t>Proposed start/end/duration and reason are captured.</t>
        </is>
      </c>
      <c r="E231" s="3" t="n"/>
      <c r="F231" s="3" t="inlineStr">
        <is>
          <t>Pass</t>
        </is>
      </c>
      <c r="G231" s="3" t="n"/>
      <c r="H231" s="3" t="n"/>
      <c r="I231" s="3" t="inlineStr">
        <is>
          <t>Claude (AI Engineer)</t>
        </is>
      </c>
      <c r="J231" s="3" t="inlineStr">
        <is>
          <t>SIT</t>
        </is>
      </c>
      <c r="K231" s="3" t="inlineStr">
        <is>
          <t>Live test 2026-09-08: proposed start, end and reason all captured on the request record. | PASS (same fix as AC-009-003-01) - the new form captures proposed start, proposed end and reason exactly like the attendance form; verified live with a real submission carrying all three.</t>
        </is>
      </c>
    </row>
    <row r="232" ht="27.6" customHeight="1">
      <c r="A232" s="3" t="inlineStr">
        <is>
          <t>AC-009-003-03</t>
        </is>
      </c>
      <c r="B232" s="3" t="inlineStr">
        <is>
          <t>US-009-003</t>
        </is>
      </c>
      <c r="C232" s="3" t="inlineStr">
        <is>
          <t>EP-009</t>
        </is>
      </c>
      <c r="D232" s="3" t="inlineStr">
        <is>
          <t>Original interval remains intact until approval.</t>
        </is>
      </c>
      <c r="E232" s="3" t="n"/>
      <c r="F232" s="3" t="inlineStr">
        <is>
          <t>Pass</t>
        </is>
      </c>
      <c r="G232" s="3" t="n"/>
      <c r="H232" s="3" t="n"/>
      <c r="I232" s="3" t="inlineStr">
        <is>
          <t>Claude (AI Engineer)</t>
        </is>
      </c>
      <c r="J232" s="3" t="inlineStr">
        <is>
          <t>SIT</t>
        </is>
      </c>
      <c r="K232" s="3" t="inlineStr">
        <is>
          <t>Live test 2026-09-08: the task time entry's endAt is unchanged immediately after requesting, before approval. | PASS - manually re-verified live: fetched the real TaskTimeEntry's endAt immediately after submitting a correction proposing a different end - unchanged, confirming the original interval remains intact until approval.</t>
        </is>
      </c>
    </row>
    <row r="233" ht="27.6" customHeight="1">
      <c r="A233" s="3" t="inlineStr">
        <is>
          <t>AC-009-003-04</t>
        </is>
      </c>
      <c r="B233" s="3" t="inlineStr">
        <is>
          <t>US-009-003</t>
        </is>
      </c>
      <c r="C233" s="3" t="inlineStr">
        <is>
          <t>EP-009</t>
        </is>
      </c>
      <c r="D233" s="3" t="inlineStr">
        <is>
          <t>Overlaps are validated before approval.</t>
        </is>
      </c>
      <c r="E233" s="3" t="n"/>
      <c r="F233" s="3" t="inlineStr">
        <is>
          <t>Pass</t>
        </is>
      </c>
      <c r="G233" s="3" t="n"/>
      <c r="H233" s="3" t="n"/>
      <c r="I233" s="3" t="inlineStr">
        <is>
          <t>Claude (AI Engineer)</t>
        </is>
      </c>
      <c r="J233" s="3" t="inlineStr">
        <is>
          <t>SIT</t>
        </is>
      </c>
      <c r="K233" s="3" t="inlineStr">
        <is>
          <t>Live test 2026-09-08: approving a correction whose proposed end now overlaps a second, later-recorded task segment -&gt; 400 "Proposed times overlap another recorded task time entry" - validated at approval time, not just at request time. | PASS (after a real, significant fix) - manually testing this live uncovered a genuine bug, not just re-confirmed existing behaviour: decide() only ran the overlap check when a correction had BOTH proposedStart and proposedEnd set. A real correction proposing only a new end (the realistic case - 'I forgot to stop my timer') skipped the check entirely. Proved live: approved a real single-boundary correction whose new end genuinely overlapped a later, real task segment, and it went through with no error at all. Fixed by falling back to the record's own unchanged boundary before checking overlap. Re-verified live post-fix with the identical scenario: the same kind of proposal now correctly failed with 400 'Proposed times overlap another recorded task time entry'.</t>
        </is>
      </c>
    </row>
    <row r="234" ht="27.6" customHeight="1">
      <c r="A234" s="3" t="inlineStr">
        <is>
          <t>AC-009-004-01</t>
        </is>
      </c>
      <c r="B234" s="3" t="inlineStr">
        <is>
          <t>US-009-004</t>
        </is>
      </c>
      <c r="C234" s="3" t="inlineStr">
        <is>
          <t>EP-009</t>
        </is>
      </c>
      <c r="D234" s="3" t="inlineStr">
        <is>
          <t>Correction requires reason.</t>
        </is>
      </c>
      <c r="E234" s="3" t="n"/>
      <c r="F234" s="3" t="inlineStr">
        <is>
          <t>Pass</t>
        </is>
      </c>
      <c r="G234" s="3" t="n"/>
      <c r="H234" s="3" t="n"/>
      <c r="I234" s="3" t="inlineStr">
        <is>
          <t>Claude (AI Engineer)</t>
        </is>
      </c>
      <c r="J234" s="3" t="inlineStr">
        <is>
          <t>SIT</t>
        </is>
      </c>
      <c r="K234" s="3" t="inlineStr">
        <is>
          <t>Live test 2026-09-08: a reason under the 10-character minimum -&gt; 400 (same validation shared with attendance/break corrections). | PASS - manually re-verified live: the new 'Apply a Direct Correction' admin form disables submission below 10 reason characters (same shared validation as the employee forms) and POST /corrections/direct with a short reason -&gt; 400.</t>
        </is>
      </c>
    </row>
    <row r="235" ht="27.6" customHeight="1">
      <c r="A235" s="3" t="inlineStr">
        <is>
          <t>AC-009-004-02</t>
        </is>
      </c>
      <c r="B235" s="3" t="inlineStr">
        <is>
          <t>US-009-004</t>
        </is>
      </c>
      <c r="C235" s="3" t="inlineStr">
        <is>
          <t>EP-009</t>
        </is>
      </c>
      <c r="D235" s="3" t="inlineStr">
        <is>
          <t>Before and after values are captured.</t>
        </is>
      </c>
      <c r="E235" s="3" t="n"/>
      <c r="F235" s="3" t="inlineStr">
        <is>
          <t>Pass</t>
        </is>
      </c>
      <c r="G235" s="3" t="n"/>
      <c r="H235" s="3" t="n"/>
      <c r="I235" s="3" t="inlineStr">
        <is>
          <t>Claude (AI Engineer)</t>
        </is>
      </c>
      <c r="J235" s="3" t="inlineStr">
        <is>
          <t>SIT</t>
        </is>
      </c>
      <c r="K235" s="3" t="inlineStr">
        <is>
          <t>Live test 2026-09-08: audit before/after values captured for a task time correction the same way as an attendance correction. | PASS - manually re-verified live: applying a real direct correction (closing a stray open attendance session) produced a CORRECTION_APPROVED-equivalent audit trail with genuine before/after interval values, same as the request-then-approve path.</t>
        </is>
      </c>
    </row>
    <row r="236" ht="27.6" customHeight="1">
      <c r="A236" s="3" t="inlineStr">
        <is>
          <t>AC-009-004-03</t>
        </is>
      </c>
      <c r="B236" s="3" t="inlineStr">
        <is>
          <t>US-009-004</t>
        </is>
      </c>
      <c r="C236" s="3" t="inlineStr">
        <is>
          <t>EP-009</t>
        </is>
      </c>
      <c r="D236" s="3" t="inlineStr">
        <is>
          <t>Correction cannot create invalid overlapping active records.</t>
        </is>
      </c>
      <c r="E236" s="3" t="n"/>
      <c r="F236" s="3" t="inlineStr">
        <is>
          <t>Pass</t>
        </is>
      </c>
      <c r="G236" s="3" t="n"/>
      <c r="H236" s="3" t="n"/>
      <c r="I236" s="3" t="inlineStr">
        <is>
          <t>Claude (AI Engineer)</t>
        </is>
      </c>
      <c r="J236" s="3" t="inlineStr">
        <is>
          <t>SIT</t>
        </is>
      </c>
      <c r="K236" s="3" t="inlineStr">
        <is>
          <t>Same overlap-validation evidence as AC-009-003-04 - prevents an approval from creating an invalid overlapping active record. | PASS (same fix and re-verification as AC-009-003-04) - adminDirectCorrection() already used the correct effective-boundary fallback pattern before this fix; decide() now matches it, so both correction paths consistently reject invalid overlapping results.</t>
        </is>
      </c>
    </row>
    <row r="237" ht="27.6" customHeight="1">
      <c r="A237" s="3" t="inlineStr">
        <is>
          <t>AC-009-004-04</t>
        </is>
      </c>
      <c r="B237" s="3" t="inlineStr">
        <is>
          <t>US-009-004</t>
        </is>
      </c>
      <c r="C237" s="3" t="inlineStr">
        <is>
          <t>EP-009</t>
        </is>
      </c>
      <c r="D237" s="3" t="inlineStr">
        <is>
          <t>Action is written to audit log.</t>
        </is>
      </c>
      <c r="E237" s="3" t="n"/>
      <c r="F237" s="3" t="inlineStr">
        <is>
          <t>Pass</t>
        </is>
      </c>
      <c r="G237" s="3" t="n"/>
      <c r="H237" s="3" t="n"/>
      <c r="I237" s="3" t="inlineStr">
        <is>
          <t>Claude (AI Engineer)</t>
        </is>
      </c>
      <c r="J237" s="3" t="inlineStr">
        <is>
          <t>SIT</t>
        </is>
      </c>
      <c r="K237" s="3" t="inlineStr">
        <is>
          <t>Same audit entry evidence as AC-009-002-04 - every correction decision, on any target type, is written to the audit log. | PASS (after a real fix) - manually testing this live surfaced a genuine, complete gap: POST /corrections/direct (US-009-004's whole feature - 'administrator corrects authorised records directly') had zero UI anywhere, and there wasn't even a way for an admin to discover another user's record ids to correct - admins could not fix an employee's attendance/task-time record through the product at all. Added GET /attendance/admin/history (admin-only, lets an admin browse a specific employee's real sessions/breaks/task-time-entries) and a full 'Apply a Direct Correction' UI. Verified live end-to-end: selected a real employee, selected one of their real open attendance sessions, proposed a close-out time, submitted, and confirmed via the network response (201) and a follow-up fetch that the session was genuinely updated immediately, with the action written to the audit log. | Test data note: all EP-009 live testing used a real disposable employee account (manual-ep9-1788995912283@atms.app) with a real task, on the deployed Azure app, including two genuine attendance sessions and two real task-time segments used specifically to construct and then re-verify the overlap-check bug. History was left in place (no destructive delete path exists by design); the account was set to INACTIVE afterward.</t>
        </is>
      </c>
    </row>
    <row r="238" ht="27.6" customHeight="1">
      <c r="A238" s="3" t="inlineStr">
        <is>
          <t>AC-009-005-01</t>
        </is>
      </c>
      <c r="B238" s="3" t="inlineStr">
        <is>
          <t>US-009-005</t>
        </is>
      </c>
      <c r="C238" s="3" t="inlineStr">
        <is>
          <t>EP-009</t>
        </is>
      </c>
      <c r="D238" s="3" t="inlineStr">
        <is>
          <t>Audit captures actor, action, timestamp, object and change details.</t>
        </is>
      </c>
      <c r="E238" s="3" t="n"/>
      <c r="F238" s="3" t="inlineStr">
        <is>
          <t>Pass</t>
        </is>
      </c>
      <c r="G238" s="3" t="n"/>
      <c r="H238" s="3" t="n"/>
      <c r="I238" s="3" t="inlineStr">
        <is>
          <t>Claude (AI Engineer)</t>
        </is>
      </c>
      <c r="J238" s="3" t="inlineStr">
        <is>
          <t>SIT</t>
        </is>
      </c>
      <c r="K238" s="3" t="inlineStr">
        <is>
          <t>Live test 2026-09-08: a single audit entry carries actorId, action, createdAt, targetType, targetId, and before/after change details. | PASS - manually re-verified live: a real audit entry for this epic's testing carried actorId, action (CORRECTION_REJECTED), createdAt, targetType, targetId and the decision comment in metadataJson - all in one row.</t>
        </is>
      </c>
    </row>
    <row r="239" ht="27.6" customHeight="1">
      <c r="A239" s="3" t="inlineStr">
        <is>
          <t>AC-009-005-02</t>
        </is>
      </c>
      <c r="B239" s="3" t="inlineStr">
        <is>
          <t>US-009-005</t>
        </is>
      </c>
      <c r="C239" s="3" t="inlineStr">
        <is>
          <t>EP-009</t>
        </is>
      </c>
      <c r="D239" s="3" t="inlineStr">
        <is>
          <t>Ordinary employees cannot edit audit records.</t>
        </is>
      </c>
      <c r="E239" s="3" t="n"/>
      <c r="F239" s="3" t="inlineStr">
        <is>
          <t>Pass</t>
        </is>
      </c>
      <c r="G239" s="3" t="n"/>
      <c r="H239" s="3" t="n"/>
      <c r="I239" s="3" t="inlineStr">
        <is>
          <t>Claude (AI Engineer)</t>
        </is>
      </c>
      <c r="J239" s="3" t="inlineStr">
        <is>
          <t>SIT</t>
        </is>
      </c>
      <c r="K239" s="3" t="inlineStr">
        <is>
          <t>Live test 2026-09-08: employee GET /audit -&gt; 403. No edit route exists on audit records for anyone, admin included - they are write-once by design. | PASS - manually re-verified live against production, 2026-09-09, thoroughly: a real employee session's GET /audit -&gt; 403; PATCH and DELETE on a real audit entry id -&gt; 404 for everyone, admin included - there is no edit or delete route on audit records at all, not just an employee restriction.</t>
        </is>
      </c>
    </row>
    <row r="240" ht="27.6" customHeight="1">
      <c r="A240" s="3" t="inlineStr">
        <is>
          <t>AC-009-005-03</t>
        </is>
      </c>
      <c r="B240" s="3" t="inlineStr">
        <is>
          <t>US-009-005</t>
        </is>
      </c>
      <c r="C240" s="3" t="inlineStr">
        <is>
          <t>EP-009</t>
        </is>
      </c>
      <c r="D240" s="3" t="inlineStr">
        <is>
          <t>Audit can be filtered by user/date/action.</t>
        </is>
      </c>
      <c r="E240" s="3" t="n"/>
      <c r="F240" s="3" t="inlineStr">
        <is>
          <t>Pass</t>
        </is>
      </c>
      <c r="G240" s="3" t="n"/>
      <c r="H240" s="3" t="n"/>
      <c r="I240" s="3" t="inlineStr">
        <is>
          <t>Claude (AI Engineer)</t>
        </is>
      </c>
      <c r="J240" s="3" t="inlineStr">
        <is>
          <t>SIT</t>
        </is>
      </c>
      <c r="K240" s="3" t="inlineStr">
        <is>
          <t>Live test 2026-09-08: GET /audit?action=X returns only matching entries; actorId/from/to filters proven the same way elsewhere this session (EP-002 testing). | PASS - manually re-verified live: GET /audit?action=CORRECTION_REJECTED returned only the matching entry among many other real entries created this session, confirming the action filter works on live data (actorId/date filters proven the same way in EP-002 testing).</t>
        </is>
      </c>
    </row>
    <row r="241" ht="27.6" customHeight="1">
      <c r="A241" s="3" t="inlineStr">
        <is>
          <t>AC-009-005-04</t>
        </is>
      </c>
      <c r="B241" s="3" t="inlineStr">
        <is>
          <t>US-009-005</t>
        </is>
      </c>
      <c r="C241" s="3" t="inlineStr">
        <is>
          <t>EP-009</t>
        </is>
      </c>
      <c r="D241" s="3" t="inlineStr">
        <is>
          <t>Sensitive secrets/password data are never logged.</t>
        </is>
      </c>
      <c r="E241" s="3" t="n"/>
      <c r="F241" s="3" t="inlineStr">
        <is>
          <t>Pass</t>
        </is>
      </c>
      <c r="G241" s="3" t="n"/>
      <c r="H241" s="3" t="n"/>
      <c r="I241" s="3" t="inlineStr">
        <is>
          <t>Claude (AI Engineer)</t>
        </is>
      </c>
      <c r="J241" s="3" t="inlineStr">
        <is>
          <t>SIT</t>
        </is>
      </c>
      <c r="K241" s="3" t="inlineStr">
        <is>
          <t>Code-verified (apps/api/src/config/logger.ts): cookie/authorization headers redacted, request bodies never logged by default - confirmed manually earlier this session (AC-012-004-03). | PASS - manually re-verified live: apps/api/src/config/logger.ts explicitly redacts req.body.password and req.body.confirmPassword (plus cookies/auth headers per the existing AC-012-004-03 evidence) - confirmed the redaction config is still present and unchanged.</t>
        </is>
      </c>
    </row>
    <row r="242" ht="27.6" customHeight="1">
      <c r="A242" s="3" t="inlineStr">
        <is>
          <t>AC-010-001-01</t>
        </is>
      </c>
      <c r="B242" s="3" t="inlineStr">
        <is>
          <t>US-010-001</t>
        </is>
      </c>
      <c r="C242" s="3" t="inlineStr">
        <is>
          <t>EP-010</t>
        </is>
      </c>
      <c r="D242" s="3" t="inlineStr">
        <is>
          <t>Report includes clock-in/out, break total and net work.</t>
        </is>
      </c>
      <c r="E242" s="3" t="n"/>
      <c r="F242" s="3" t="inlineStr">
        <is>
          <t>Pass</t>
        </is>
      </c>
      <c r="G242" s="3" t="n"/>
      <c r="H242" s="3" t="n"/>
      <c r="I242" s="3" t="inlineStr">
        <is>
          <t>Claude (AI Engineer)</t>
        </is>
      </c>
      <c r="J242" s="3" t="inlineStr">
        <is>
          <t>SIT</t>
        </is>
      </c>
      <c r="K242" s="3" t="inlineStr">
        <is>
          <t>PASS - live GET /reports/attendance?format=json against Azure: row carries clockIn, clockOut, breakMinutes, netWorkingMinutes as real ISO timestamps/numbers for a real clock-in/break/clock-out session.</t>
        </is>
      </c>
    </row>
    <row r="243" ht="27.6" customHeight="1">
      <c r="A243" s="3" t="inlineStr">
        <is>
          <t>AC-010-001-02</t>
        </is>
      </c>
      <c r="B243" s="3" t="inlineStr">
        <is>
          <t>US-010-001</t>
        </is>
      </c>
      <c r="C243" s="3" t="inlineStr">
        <is>
          <t>EP-010</t>
        </is>
      </c>
      <c r="D243" s="3" t="inlineStr">
        <is>
          <t>Report can filter by date and user/department.</t>
        </is>
      </c>
      <c r="E243" s="3" t="n"/>
      <c r="F243" s="3" t="inlineStr">
        <is>
          <t>Pass</t>
        </is>
      </c>
      <c r="G243" s="3" t="n"/>
      <c r="H243" s="3" t="n"/>
      <c r="I243" s="3" t="inlineStr">
        <is>
          <t>Claude (AI Engineer)</t>
        </is>
      </c>
      <c r="J243" s="3" t="inlineStr">
        <is>
          <t>SIT</t>
        </is>
      </c>
      <c r="K243" s="3" t="inlineStr">
        <is>
          <t>PASS - live test: ?userId=&lt;empA&gt; returns only empA's row; ?departmentId=&lt;deptB&gt; returns only the employee actually in that department (empB), with a second employee in a different department correctly excluded.</t>
        </is>
      </c>
    </row>
    <row r="244" ht="27.6" customHeight="1">
      <c r="A244" s="3" t="inlineStr">
        <is>
          <t>AC-010-001-03</t>
        </is>
      </c>
      <c r="B244" s="3" t="inlineStr">
        <is>
          <t>US-010-001</t>
        </is>
      </c>
      <c r="C244" s="3" t="inlineStr">
        <is>
          <t>EP-010</t>
        </is>
      </c>
      <c r="D244" s="3" t="inlineStr">
        <is>
          <t>Incomplete records are clearly flagged.</t>
        </is>
      </c>
      <c r="E244" s="3" t="n"/>
      <c r="F244" s="3" t="inlineStr">
        <is>
          <t>Pass</t>
        </is>
      </c>
      <c r="G244" s="3" t="n"/>
      <c r="H244" s="3" t="n"/>
      <c r="I244" s="3" t="inlineStr">
        <is>
          <t>Claude (AI Engineer)</t>
        </is>
      </c>
      <c r="J244" s="3" t="inlineStr">
        <is>
          <t>SIT</t>
        </is>
      </c>
      <c r="K244" s="3" t="inlineStr">
        <is>
          <t>PASS - live test: a session left clocked-in with no clock-out reports incomplete=true; a completed session reports incomplete=false.</t>
        </is>
      </c>
    </row>
    <row r="245" ht="27.6" customHeight="1">
      <c r="A245" s="3" t="inlineStr">
        <is>
          <t>AC-010-001-04</t>
        </is>
      </c>
      <c r="B245" s="3" t="inlineStr">
        <is>
          <t>US-010-001</t>
        </is>
      </c>
      <c r="C245" s="3" t="inlineStr">
        <is>
          <t>EP-010</t>
        </is>
      </c>
      <c r="D245" s="3" t="inlineStr">
        <is>
          <t>Totals are derived from source records.</t>
        </is>
      </c>
      <c r="E245" s="3" t="n"/>
      <c r="F245" s="3" t="inlineStr">
        <is>
          <t>Pass</t>
        </is>
      </c>
      <c r="G245" s="3" t="n"/>
      <c r="H245" s="3" t="n"/>
      <c r="I245" s="3" t="inlineStr">
        <is>
          <t>Claude (AI Engineer)</t>
        </is>
      </c>
      <c r="J245" s="3" t="inlineStr">
        <is>
          <t>SIT</t>
        </is>
      </c>
      <c r="K245" s="3" t="inlineStr">
        <is>
          <t>PASS - live test: independently recomputed net = gross(clockOut-clockIn) - breakMinutes from the raw timestamps and matched the report's netWorkingMinutes within rounding, confirming totals are derived from source records, not a separate stored value.</t>
        </is>
      </c>
    </row>
    <row r="246" ht="27.6" customHeight="1">
      <c r="A246" s="3" t="inlineStr">
        <is>
          <t>AC-010-002-01</t>
        </is>
      </c>
      <c r="B246" s="3" t="inlineStr">
        <is>
          <t>US-010-002</t>
        </is>
      </c>
      <c r="C246" s="3" t="inlineStr">
        <is>
          <t>EP-010</t>
        </is>
      </c>
      <c r="D246" s="3" t="inlineStr">
        <is>
          <t>Report aggregates net work and break hours by user.</t>
        </is>
      </c>
      <c r="E246" s="3" t="n"/>
      <c r="F246" s="3" t="inlineStr">
        <is>
          <t>Pass</t>
        </is>
      </c>
      <c r="G246" s="3" t="n"/>
      <c r="H246" s="3" t="n"/>
      <c r="I246" s="3" t="inlineStr">
        <is>
          <t>Claude (AI Engineer)</t>
        </is>
      </c>
      <c r="J246" s="3" t="inlineStr">
        <is>
          <t>SIT</t>
        </is>
      </c>
      <c r="K246" s="3" t="inlineStr">
        <is>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t>
        </is>
      </c>
    </row>
    <row r="247" ht="27.6" customHeight="1">
      <c r="A247" s="3" t="inlineStr">
        <is>
          <t>AC-010-002-02</t>
        </is>
      </c>
      <c r="B247" s="3" t="inlineStr">
        <is>
          <t>US-010-002</t>
        </is>
      </c>
      <c r="C247" s="3" t="inlineStr">
        <is>
          <t>EP-010</t>
        </is>
      </c>
      <c r="D247" s="3" t="inlineStr">
        <is>
          <t>Date period can be selected.</t>
        </is>
      </c>
      <c r="E247" s="3" t="n"/>
      <c r="F247" s="3" t="inlineStr">
        <is>
          <t>Pass</t>
        </is>
      </c>
      <c r="G247" s="3" t="n"/>
      <c r="H247" s="3" t="n"/>
      <c r="I247" s="3" t="inlineStr">
        <is>
          <t>Claude (AI Engineer)</t>
        </is>
      </c>
      <c r="J247" s="3" t="inlineStr">
        <is>
          <t>SIT</t>
        </is>
      </c>
      <c r="K247" s="3" t="inlineStr">
        <is>
          <t>PASS - the summary view reuses the same From/To date inputs as daily detail; live-verified the summary title reflects the selected period ("TOTALS BY EMPLOYEE, 2026-08-10 - 2026-09-09") and updates when Run is re-clicked.</t>
        </is>
      </c>
    </row>
    <row r="248" ht="27.6" customHeight="1">
      <c r="A248" s="3" t="inlineStr">
        <is>
          <t>AC-010-002-03</t>
        </is>
      </c>
      <c r="B248" s="3" t="inlineStr">
        <is>
          <t>US-010-002</t>
        </is>
      </c>
      <c r="C248" s="3" t="inlineStr">
        <is>
          <t>EP-010</t>
        </is>
      </c>
      <c r="D248" s="3" t="inlineStr">
        <is>
          <t>Daily detail can be drilled from summary.</t>
        </is>
      </c>
      <c r="E248" s="3" t="n"/>
      <c r="F248" s="3" t="inlineStr">
        <is>
          <t>Pass</t>
        </is>
      </c>
      <c r="G248" s="3" t="n"/>
      <c r="H248" s="3" t="n"/>
      <c r="I248" s="3" t="inlineStr">
        <is>
          <t>Claude (AI Engineer)</t>
        </is>
      </c>
      <c r="J248" s="3" t="inlineStr">
        <is>
          <t>SIT</t>
        </is>
      </c>
      <c r="K248" s="3" t="inlineStr">
        <is>
          <t>PASS (after fix) - live-verified: clicking "View daily detail" on a summary row drills into exactly that employee's raw sessions (2 rows for a 2-day employee), with a working "Back to summary" link.</t>
        </is>
      </c>
    </row>
    <row r="249" ht="27.6" customHeight="1">
      <c r="A249" s="3" t="inlineStr">
        <is>
          <t>AC-010-002-04</t>
        </is>
      </c>
      <c r="B249" s="3" t="inlineStr">
        <is>
          <t>US-010-002</t>
        </is>
      </c>
      <c r="C249" s="3" t="inlineStr">
        <is>
          <t>EP-010</t>
        </is>
      </c>
      <c r="D249" s="3" t="inlineStr">
        <is>
          <t>Aggregate totals reconcile to daily records.</t>
        </is>
      </c>
      <c r="E249" s="3" t="n"/>
      <c r="F249" s="3" t="inlineStr">
        <is>
          <t>Pass</t>
        </is>
      </c>
      <c r="G249" s="3" t="n"/>
      <c r="H249" s="3" t="n"/>
      <c r="I249" s="3" t="inlineStr">
        <is>
          <t>Claude (AI Engineer)</t>
        </is>
      </c>
      <c r="J249" s="3" t="inlineStr">
        <is>
          <t>SIT</t>
        </is>
      </c>
      <c r="K249" s="3" t="inlineStr">
        <is>
          <t>PASS (after fix) - the summary is computed as a client-side reduce/sum over the same rows shown in daily detail (not a separate query), so totals reconcile to daily records by construction; live-verified the employee/day counts in the summary matched the drilled-down daily rows exactly.</t>
        </is>
      </c>
    </row>
    <row r="250" ht="27.6" customHeight="1">
      <c r="A250" s="3" t="inlineStr">
        <is>
          <t>AC-010-003-01</t>
        </is>
      </c>
      <c r="B250" s="3" t="inlineStr">
        <is>
          <t>US-010-003</t>
        </is>
      </c>
      <c r="C250" s="3" t="inlineStr">
        <is>
          <t>EP-010</t>
        </is>
      </c>
      <c r="D250" s="3" t="inlineStr">
        <is>
          <t>Report can group by user, task and date.</t>
        </is>
      </c>
      <c r="E250" s="3" t="n"/>
      <c r="F250" s="3" t="inlineStr">
        <is>
          <t>Pass</t>
        </is>
      </c>
      <c r="G250" s="3" t="n"/>
      <c r="H250" s="3" t="n"/>
      <c r="I250" s="3" t="inlineStr">
        <is>
          <t>Claude (AI Engineer)</t>
        </is>
      </c>
      <c r="J250" s="3" t="inlineStr">
        <is>
          <t>SIT</t>
        </is>
      </c>
      <c r="K250" s="3" t="inlineStr">
        <is>
          <t>PASS - live test: ?taskId=&lt;x&gt; scopes the task-time report to exactly 1 row for that task; ?userId=&lt;empA&gt; scopes to that employee's entries only (2 rows, both tasks); date field present on every row.</t>
        </is>
      </c>
    </row>
    <row r="251" ht="27.6" customHeight="1">
      <c r="A251" s="3" t="inlineStr">
        <is>
          <t>AC-010-003-02</t>
        </is>
      </c>
      <c r="B251" s="3" t="inlineStr">
        <is>
          <t>US-010-003</t>
        </is>
      </c>
      <c r="C251" s="3" t="inlineStr">
        <is>
          <t>EP-010</t>
        </is>
      </c>
      <c r="D251" s="3" t="inlineStr">
        <is>
          <t>Shows actual duration and task status.</t>
        </is>
      </c>
      <c r="E251" s="3" t="n"/>
      <c r="F251" s="3" t="inlineStr">
        <is>
          <t>Pass</t>
        </is>
      </c>
      <c r="G251" s="3" t="n"/>
      <c r="H251" s="3" t="n"/>
      <c r="I251" s="3" t="inlineStr">
        <is>
          <t>Claude (AI Engineer)</t>
        </is>
      </c>
      <c r="J251" s="3" t="inlineStr">
        <is>
          <t>SIT</t>
        </is>
      </c>
      <c r="K251" s="3" t="inlineStr">
        <is>
          <t>PASS - live test: row carries durationMinutes (numeric, correctly rounds a sub-minute timer run to 0 per Math.round((end-start)/60000) in reports.service.ts) and taskStatus=IN_PROGRESS (auto-transitioned from TO_DO on timer start).</t>
        </is>
      </c>
    </row>
    <row r="252" ht="27.6" customHeight="1">
      <c r="A252" s="3" t="inlineStr">
        <is>
          <t>AC-010-003-03</t>
        </is>
      </c>
      <c r="B252" s="3" t="inlineStr">
        <is>
          <t>US-010-003</t>
        </is>
      </c>
      <c r="C252" s="3" t="inlineStr">
        <is>
          <t>EP-010</t>
        </is>
      </c>
      <c r="D252" s="3" t="inlineStr">
        <is>
          <t>Estimate versus actual is shown where estimate exists.</t>
        </is>
      </c>
      <c r="E252" s="3" t="n"/>
      <c r="F252" s="3" t="inlineStr">
        <is>
          <t>Pass</t>
        </is>
      </c>
      <c r="G252" s="3" t="n"/>
      <c r="H252" s="3" t="n"/>
      <c r="I252" s="3" t="inlineStr">
        <is>
          <t>Claude (AI Engineer)</t>
        </is>
      </c>
      <c r="J252" s="3" t="inlineStr">
        <is>
          <t>SIT</t>
        </is>
      </c>
      <c r="K252" s="3" t="inlineStr">
        <is>
          <t>PASS - live test: a task created with estimatedMinutes=120 shows estimatedMinutes=120 in the report; a task created with no estimate shows null.</t>
        </is>
      </c>
    </row>
    <row r="253" ht="27.6" customHeight="1">
      <c r="A253" s="3" t="inlineStr">
        <is>
          <t>AC-010-003-04</t>
        </is>
      </c>
      <c r="B253" s="3" t="inlineStr">
        <is>
          <t>US-010-003</t>
        </is>
      </c>
      <c r="C253" s="3" t="inlineStr">
        <is>
          <t>EP-010</t>
        </is>
      </c>
      <c r="D253" s="3" t="inlineStr">
        <is>
          <t>Filters apply consistently to export.</t>
        </is>
      </c>
      <c r="E253" s="3" t="n"/>
      <c r="F253" s="3" t="inlineStr">
        <is>
          <t>Pass</t>
        </is>
      </c>
      <c r="G253" s="3" t="n"/>
      <c r="H253" s="3" t="n"/>
      <c r="I253" s="3" t="inlineStr">
        <is>
          <t>Claude (AI Engineer)</t>
        </is>
      </c>
      <c r="J253" s="3" t="inlineStr">
        <is>
          <t>SIT</t>
        </is>
      </c>
      <c r="K253" s="3" t="inlineStr">
        <is>
          <t>PASS - live test: CSV export with ?taskId=&lt;x&gt; returned exactly 1 data row, matching the JSON response's row count for the same filter.</t>
        </is>
      </c>
    </row>
    <row r="254" ht="27.6" customHeight="1">
      <c r="A254" s="3" t="inlineStr">
        <is>
          <t>AC-010-004-01</t>
        </is>
      </c>
      <c r="B254" s="3" t="inlineStr">
        <is>
          <t>US-010-004</t>
        </is>
      </c>
      <c r="C254" s="3" t="inlineStr">
        <is>
          <t>EP-010</t>
        </is>
      </c>
      <c r="D254" s="3" t="inlineStr">
        <is>
          <t>Report shows net work, task time and unallocated time.</t>
        </is>
      </c>
      <c r="E254" s="3" t="n"/>
      <c r="F254" s="3" t="inlineStr">
        <is>
          <t>Pass</t>
        </is>
      </c>
      <c r="G254" s="3" t="n"/>
      <c r="H254" s="3" t="n"/>
      <c r="I254" s="3" t="inlineStr">
        <is>
          <t>Claude (AI Engineer)</t>
        </is>
      </c>
      <c r="J254" s="3" t="inlineStr">
        <is>
          <t>SIT</t>
        </is>
      </c>
      <c r="K254" s="3" t="inlineStr">
        <is>
          <t>PASS - live test: unallocated-report row carries netWorkingMinutes, taskMinutes and unallocatedMinutes as real computed numbers (reconcile() from packages/shared/time-math.ts).</t>
        </is>
      </c>
    </row>
    <row r="255" ht="27.6" customHeight="1">
      <c r="A255" s="3" t="inlineStr">
        <is>
          <t>AC-010-004-02</t>
        </is>
      </c>
      <c r="B255" s="3" t="inlineStr">
        <is>
          <t>US-010-004</t>
        </is>
      </c>
      <c r="C255" s="3" t="inlineStr">
        <is>
          <t>EP-010</t>
        </is>
      </c>
      <c r="D255" s="3" t="inlineStr">
        <is>
          <t>Users/days with zero unallocated time can be included/excluded.</t>
        </is>
      </c>
      <c r="E255" s="3" t="n"/>
      <c r="F255" s="3" t="inlineStr">
        <is>
          <t>Pass</t>
        </is>
      </c>
      <c r="G255" s="3" t="n"/>
      <c r="H255" s="3" t="n"/>
      <c r="I255" s="3" t="inlineStr">
        <is>
          <t>Claude (AI Engineer)</t>
        </is>
      </c>
      <c r="J255" s="3" t="inlineStr">
        <is>
          <t>SIT</t>
        </is>
      </c>
      <c r="K255" s="3" t="inlineStr">
        <is>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t>
        </is>
      </c>
    </row>
    <row r="256" ht="27.6" customHeight="1">
      <c r="A256" s="3" t="inlineStr">
        <is>
          <t>AC-010-004-03</t>
        </is>
      </c>
      <c r="B256" s="3" t="inlineStr">
        <is>
          <t>US-010-004</t>
        </is>
      </c>
      <c r="C256" s="3" t="inlineStr">
        <is>
          <t>EP-010</t>
        </is>
      </c>
      <c r="D256" s="3" t="inlineStr">
        <is>
          <t>Negative/impossible values are flagged as exceptions.</t>
        </is>
      </c>
      <c r="E256" s="3" t="n"/>
      <c r="F256" s="3" t="inlineStr">
        <is>
          <t>Pass</t>
        </is>
      </c>
      <c r="G256" s="3" t="n"/>
      <c r="H256" s="3" t="n"/>
      <c r="I256" s="3" t="inlineStr">
        <is>
          <t>Claude (AI Engineer)</t>
        </is>
      </c>
      <c r="J256" s="3" t="inlineStr">
        <is>
          <t>SIT</t>
        </is>
      </c>
      <c r="K256" s="3" t="inlineStr">
        <is>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t>
        </is>
      </c>
    </row>
    <row r="257" ht="27.6" customHeight="1">
      <c r="A257" s="3" t="inlineStr">
        <is>
          <t>AC-010-004-04</t>
        </is>
      </c>
      <c r="B257" s="3" t="inlineStr">
        <is>
          <t>US-010-004</t>
        </is>
      </c>
      <c r="C257" s="3" t="inlineStr">
        <is>
          <t>EP-010</t>
        </is>
      </c>
      <c r="D257" s="3" t="inlineStr">
        <is>
          <t>Report supports date and user filters.</t>
        </is>
      </c>
      <c r="E257" s="3" t="n"/>
      <c r="F257" s="3" t="inlineStr">
        <is>
          <t>Pass</t>
        </is>
      </c>
      <c r="G257" s="3" t="n"/>
      <c r="H257" s="3" t="n"/>
      <c r="I257" s="3" t="inlineStr">
        <is>
          <t>Claude (AI Engineer)</t>
        </is>
      </c>
      <c r="J257" s="3" t="inlineStr">
        <is>
          <t>SIT</t>
        </is>
      </c>
      <c r="K257" s="3" t="inlineStr">
        <is>
          <t>PASS - ?userId= filter proven above (scoped to 1 employee); ?from/?to are required by parseRange() and drive every row in the report, same mechanism proven for AC-010-001-02.</t>
        </is>
      </c>
    </row>
    <row r="258" ht="27.6" customHeight="1">
      <c r="A258" s="3" t="inlineStr">
        <is>
          <t>AC-010-005-01</t>
        </is>
      </c>
      <c r="B258" s="3" t="inlineStr">
        <is>
          <t>US-010-005</t>
        </is>
      </c>
      <c r="C258" s="3" t="inlineStr">
        <is>
          <t>EP-010</t>
        </is>
      </c>
      <c r="D258" s="3" t="inlineStr">
        <is>
          <t>MVP supports CSV and XLSX export.</t>
        </is>
      </c>
      <c r="E258" s="3" t="n"/>
      <c r="F258" s="3" t="inlineStr">
        <is>
          <t>Pass</t>
        </is>
      </c>
      <c r="G258" s="3" t="n"/>
      <c r="H258" s="3" t="n"/>
      <c r="I258" s="3" t="inlineStr">
        <is>
          <t>Claude (AI Engineer)</t>
        </is>
      </c>
      <c r="J258" s="3" t="inlineStr">
        <is>
          <t>SIT</t>
        </is>
      </c>
      <c r="K258" s="3" t="inlineStr">
        <is>
          <t>PASS - live test: GET .../attendance?format=csv -&gt; 200, content-type text/csv; XLSX format exercised (and timed) in AC-010-005-04.</t>
        </is>
      </c>
    </row>
    <row r="259" ht="27.6" customHeight="1">
      <c r="A259" s="3" t="inlineStr">
        <is>
          <t>AC-010-005-02</t>
        </is>
      </c>
      <c r="B259" s="3" t="inlineStr">
        <is>
          <t>US-010-005</t>
        </is>
      </c>
      <c r="C259" s="3" t="inlineStr">
        <is>
          <t>EP-010</t>
        </is>
      </c>
      <c r="D259" s="3" t="inlineStr">
        <is>
          <t>Export respects active filters and permissions.</t>
        </is>
      </c>
      <c r="E259" s="3" t="n"/>
      <c r="F259" s="3" t="inlineStr">
        <is>
          <t>Pass</t>
        </is>
      </c>
      <c r="G259" s="3" t="n"/>
      <c r="H259" s="3" t="n"/>
      <c r="I259" s="3" t="inlineStr">
        <is>
          <t>Claude (AI Engineer)</t>
        </is>
      </c>
      <c r="J259" s="3" t="inlineStr">
        <is>
          <t>SIT</t>
        </is>
      </c>
      <c r="K259" s="3" t="inlineStr">
        <is>
          <t>PASS - live test: ?userId= filter applied to a CSV export returns only that employee's 1 data row; a non-admin employee attempting the same export -&gt; 403 (Roles(ADMINISTRATOR) enforced identically to the JSON endpoint).</t>
        </is>
      </c>
    </row>
    <row r="260" ht="27.6" customHeight="1">
      <c r="A260" s="3" t="inlineStr">
        <is>
          <t>AC-010-005-03</t>
        </is>
      </c>
      <c r="B260" s="3" t="inlineStr">
        <is>
          <t>US-010-005</t>
        </is>
      </c>
      <c r="C260" s="3" t="inlineStr">
        <is>
          <t>EP-010</t>
        </is>
      </c>
      <c r="D260" s="3" t="inlineStr">
        <is>
          <t>Export includes generation date/time and report period.</t>
        </is>
      </c>
      <c r="E260" s="3" t="n"/>
      <c r="F260" s="3" t="inlineStr">
        <is>
          <t>Pass</t>
        </is>
      </c>
      <c r="G260" s="3" t="n"/>
      <c r="H260" s="3" t="n"/>
      <c r="I260" s="3" t="inlineStr">
        <is>
          <t>Claude (AI Engineer)</t>
        </is>
      </c>
      <c r="J260" s="3" t="inlineStr">
        <is>
          <t>SIT</t>
        </is>
      </c>
      <c r="K260" s="3" t="inlineStr">
        <is>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t>
        </is>
      </c>
    </row>
    <row r="261" ht="27.6" customHeight="1">
      <c r="A261" s="3" t="inlineStr">
        <is>
          <t>AC-010-005-04</t>
        </is>
      </c>
      <c r="B261" s="3" t="inlineStr">
        <is>
          <t>US-010-005</t>
        </is>
      </c>
      <c r="C261" s="3" t="inlineStr">
        <is>
          <t>EP-010</t>
        </is>
      </c>
      <c r="D261" s="3" t="inlineStr">
        <is>
          <t>Large exports are handled without blocking the main request indefinitely.</t>
        </is>
      </c>
      <c r="E261" s="3" t="n"/>
      <c r="F261" s="3" t="inlineStr">
        <is>
          <t>Pass</t>
        </is>
      </c>
      <c r="G261" s="3" t="n"/>
      <c r="H261" s="3" t="n"/>
      <c r="I261" s="3" t="inlineStr">
        <is>
          <t>Claude (AI Engineer)</t>
        </is>
      </c>
      <c r="J261" s="3" t="inlineStr">
        <is>
          <t>SIT</t>
        </is>
      </c>
      <c r="K261" s="3" t="inlineStr">
        <is>
          <t>PASS - code-verified: sendCsv/sendXlsx build the whole payload in-memory and stream a single synchronous response, no queue/background job exists. Live-timed a 90-day, all-users XLSX export at 66-93ms, well within a normal request timeout.</t>
        </is>
      </c>
    </row>
    <row r="262" ht="27.6" customHeight="1">
      <c r="A262" s="3" t="inlineStr">
        <is>
          <t>AC-011-001-01</t>
        </is>
      </c>
      <c r="B262" s="3" t="inlineStr">
        <is>
          <t>US-011-001</t>
        </is>
      </c>
      <c r="C262" s="3" t="inlineStr">
        <is>
          <t>EP-011</t>
        </is>
      </c>
      <c r="D262" s="3" t="inlineStr">
        <is>
          <t>Assignment can generate in-app/email notification according to settings.</t>
        </is>
      </c>
      <c r="E262" s="3" t="n"/>
      <c r="F262" s="3" t="inlineStr">
        <is>
          <t>Pass</t>
        </is>
      </c>
      <c r="G262" s="3" t="n"/>
      <c r="H262" s="3" t="n"/>
      <c r="I262" s="3" t="inlineStr">
        <is>
          <t>Claude (AI Engineer)</t>
        </is>
      </c>
      <c r="J262" s="3" t="inlineStr">
        <is>
          <t>SIT</t>
        </is>
      </c>
      <c r="K262" s="3" t="inlineStr">
        <is>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t>
        </is>
      </c>
    </row>
    <row r="263" ht="27.6" customHeight="1">
      <c r="A263" s="3" t="inlineStr">
        <is>
          <t>AC-011-001-02</t>
        </is>
      </c>
      <c r="B263" s="3" t="inlineStr">
        <is>
          <t>US-011-001</t>
        </is>
      </c>
      <c r="C263" s="3" t="inlineStr">
        <is>
          <t>EP-011</t>
        </is>
      </c>
      <c r="D263" s="3" t="inlineStr">
        <is>
          <t>Notification identifies task and assigner.</t>
        </is>
      </c>
      <c r="E263" s="3" t="n"/>
      <c r="F263" s="3" t="inlineStr">
        <is>
          <t>Pass</t>
        </is>
      </c>
      <c r="G263" s="3" t="n"/>
      <c r="H263" s="3" t="n"/>
      <c r="I263" s="3" t="inlineStr">
        <is>
          <t>Claude (AI Engineer)</t>
        </is>
      </c>
      <c r="J263" s="3" t="inlineStr">
        <is>
          <t>SIT</t>
        </is>
      </c>
      <c r="K263" s="3" t="inlineStr">
        <is>
          <t>PASS - live test: notification title/body identify both the task ("New task assigned: &lt;title&gt;") and the real assigner by name ("System Administrator assigned you this task."), not just a generic message.</t>
        </is>
      </c>
    </row>
    <row r="264" ht="27.6" customHeight="1">
      <c r="A264" s="3" t="inlineStr">
        <is>
          <t>AC-011-001-03</t>
        </is>
      </c>
      <c r="B264" s="3" t="inlineStr">
        <is>
          <t>US-011-001</t>
        </is>
      </c>
      <c r="C264" s="3" t="inlineStr">
        <is>
          <t>EP-011</t>
        </is>
      </c>
      <c r="D264" s="3" t="inlineStr">
        <is>
          <t>Selecting notification opens task detail.</t>
        </is>
      </c>
      <c r="E264" s="3" t="n"/>
      <c r="F264" s="3" t="inlineStr">
        <is>
          <t>Pass</t>
        </is>
      </c>
      <c r="G264" s="3" t="n"/>
      <c r="H264" s="3" t="n"/>
      <c r="I264" s="3" t="inlineStr">
        <is>
          <t>Claude (AI Engineer)</t>
        </is>
      </c>
      <c r="J264" s="3" t="inlineStr">
        <is>
          <t>SIT</t>
        </is>
      </c>
      <c r="K264" s="3" t="inlineStr">
        <is>
          <t>PASS - live test: notification carries taskId matching the assigned task; code-verified the frontend's notificationHref() (use-notifications.ts) routes a click to /tasks/&lt;taskId&gt;, and NotificationBell marks it read and navigates on click - verified live in-browser locally before deploying.</t>
        </is>
      </c>
    </row>
    <row r="265" ht="27.6" customHeight="1">
      <c r="A265" s="3" t="inlineStr">
        <is>
          <t>AC-011-001-04</t>
        </is>
      </c>
      <c r="B265" s="3" t="inlineStr">
        <is>
          <t>US-011-001</t>
        </is>
      </c>
      <c r="C265" s="3" t="inlineStr">
        <is>
          <t>EP-011</t>
        </is>
      </c>
      <c r="D265" s="3" t="inlineStr">
        <is>
          <t>Duplicate notifications are avoided for the same event.</t>
        </is>
      </c>
      <c r="E265" s="3" t="n"/>
      <c r="F265" s="3" t="inlineStr">
        <is>
          <t>Pass</t>
        </is>
      </c>
      <c r="G265" s="3" t="n"/>
      <c r="H265" s="3" t="n"/>
      <c r="I265" s="3" t="inlineStr">
        <is>
          <t>Claude (AI Engineer)</t>
        </is>
      </c>
      <c r="J265" s="3" t="inlineStr">
        <is>
          <t>SIT</t>
        </is>
      </c>
      <c r="K265" s="3" t="inlineStr">
        <is>
          <t>PASS - live test: a no-op re-PATCH with the identical assigneeId produced zero new notifications (dedupe key task:&lt;id&gt;:assignee:&lt;id&gt; blocks it while unread); a genuine reassignment to a different employee correctly produced exactly one new notification for the new assignee.</t>
        </is>
      </c>
    </row>
    <row r="266" ht="27.6" customHeight="1">
      <c r="A266" s="3" t="inlineStr">
        <is>
          <t>AC-011-002-01</t>
        </is>
      </c>
      <c r="B266" s="3" t="inlineStr">
        <is>
          <t>US-011-002</t>
        </is>
      </c>
      <c r="C266" s="3" t="inlineStr">
        <is>
          <t>EP-011</t>
        </is>
      </c>
      <c r="D266" s="3" t="inlineStr">
        <is>
          <t>Reminder threshold is configurable.</t>
        </is>
      </c>
      <c r="E266" s="3" t="n"/>
      <c r="F266" s="3" t="inlineStr">
        <is>
          <t>Pass</t>
        </is>
      </c>
      <c r="G266" s="3" t="n"/>
      <c r="H266" s="3" t="n"/>
      <c r="I266" s="3" t="inlineStr">
        <is>
          <t>Claude (AI Engineer)</t>
        </is>
      </c>
      <c r="J266" s="3" t="inlineStr">
        <is>
          <t>SIT</t>
        </is>
      </c>
      <c r="K266" s="3" t="inlineStr">
        <is>
          <t>PASS - live test: PATCH /settings missingClockOutThresholdMinutes persists and is read live by the scan (locally, changing it to 1 minute caused a 2-minute-old session to be flagged despite the 600min default, proving the live value is used, not a cached default).</t>
        </is>
      </c>
    </row>
    <row r="267" ht="27.6" customHeight="1">
      <c r="A267" s="3" t="inlineStr">
        <is>
          <t>AC-011-002-02</t>
        </is>
      </c>
      <c r="B267" s="3" t="inlineStr">
        <is>
          <t>US-011-002</t>
        </is>
      </c>
      <c r="C267" s="3" t="inlineStr">
        <is>
          <t>EP-011</t>
        </is>
      </c>
      <c r="D267" s="3" t="inlineStr">
        <is>
          <t>Reminder is only sent for active attendance sessions meeting the rule.</t>
        </is>
      </c>
      <c r="E267" s="3" t="n"/>
      <c r="F267" s="3" t="inlineStr">
        <is>
          <t>Pass</t>
        </is>
      </c>
      <c r="G267" s="3" t="n"/>
      <c r="H267" s="3" t="n"/>
      <c r="I267" s="3" t="inlineStr">
        <is>
          <t>Claude (AI Engineer)</t>
        </is>
      </c>
      <c r="J267" s="3" t="inlineStr">
        <is>
          <t>SIT</t>
        </is>
      </c>
      <c r="K267" s="3" t="inlineStr">
        <is>
          <t>PASS - live test against Azure: seeded an ACTIVE attendance session clocked in 11 hours ago (past the 600min/10h threshold); the real production cron (not a manual trigger) picked it up on its own 5-minute schedule and created the MISSING_CLOCK_OUT notification.</t>
        </is>
      </c>
    </row>
    <row r="268" ht="27.6" customHeight="1">
      <c r="A268" s="3" t="inlineStr">
        <is>
          <t>AC-011-002-03</t>
        </is>
      </c>
      <c r="B268" s="3" t="inlineStr">
        <is>
          <t>US-011-002</t>
        </is>
      </c>
      <c r="C268" s="3" t="inlineStr">
        <is>
          <t>EP-011</t>
        </is>
      </c>
      <c r="D268" s="3" t="inlineStr">
        <is>
          <t>Reminder does not automatically clock the user out.</t>
        </is>
      </c>
      <c r="E268" s="3" t="n"/>
      <c r="F268" s="3" t="inlineStr">
        <is>
          <t>Pass</t>
        </is>
      </c>
      <c r="G268" s="3" t="n"/>
      <c r="H268" s="3" t="n"/>
      <c r="I268" s="3" t="inlineStr">
        <is>
          <t>Claude (AI Engineer)</t>
        </is>
      </c>
      <c r="J268" s="3" t="inlineStr">
        <is>
          <t>SIT</t>
        </is>
      </c>
      <c r="K268" s="3" t="inlineStr">
        <is>
          <t>PASS (code-verified) - scanMissingClockOuts() (notifications.service.ts) only calls prisma.notification.create and audit.record; it never calls attendanceService.clockOut or writes to AttendanceSession.status/clockOutAt.</t>
        </is>
      </c>
    </row>
    <row r="269" ht="27.6" customHeight="1">
      <c r="A269" s="3" t="inlineStr">
        <is>
          <t>AC-011-002-04</t>
        </is>
      </c>
      <c r="B269" s="3" t="inlineStr">
        <is>
          <t>US-011-002</t>
        </is>
      </c>
      <c r="C269" s="3" t="inlineStr">
        <is>
          <t>EP-011</t>
        </is>
      </c>
      <c r="D269" s="3" t="inlineStr">
        <is>
          <t>Reminder event is logged.</t>
        </is>
      </c>
      <c r="E269" s="3" t="n"/>
      <c r="F269" s="3" t="inlineStr">
        <is>
          <t>Pass</t>
        </is>
      </c>
      <c r="G269" s="3" t="n"/>
      <c r="H269" s="3" t="n"/>
      <c r="I269" s="3" t="inlineStr">
        <is>
          <t>Claude (AI Engineer)</t>
        </is>
      </c>
      <c r="J269" s="3" t="inlineStr">
        <is>
          <t>SIT</t>
        </is>
      </c>
      <c r="K269" s="3" t="inlineStr">
        <is>
          <t>PASS - live test: a REMINDER_SENT audit log entry (GET /audit?action=REMINDER_SENT) exists for the missing-clock-out event, with targetType=AttendanceSession and metadata identifying the reminder type and user.</t>
        </is>
      </c>
    </row>
    <row r="270" ht="27.6" customHeight="1">
      <c r="A270" s="3" t="inlineStr">
        <is>
          <t>AC-011-003-01</t>
        </is>
      </c>
      <c r="B270" s="3" t="inlineStr">
        <is>
          <t>US-011-003</t>
        </is>
      </c>
      <c r="C270" s="3" t="inlineStr">
        <is>
          <t>EP-011</t>
        </is>
      </c>
      <c r="D270" s="3" t="inlineStr">
        <is>
          <t>Threshold is configurable.</t>
        </is>
      </c>
      <c r="E270" s="3" t="n"/>
      <c r="F270" s="3" t="inlineStr">
        <is>
          <t>Pass</t>
        </is>
      </c>
      <c r="G270" s="3" t="n"/>
      <c r="H270" s="3" t="n"/>
      <c r="I270" s="3" t="inlineStr">
        <is>
          <t>Claude (AI Engineer)</t>
        </is>
      </c>
      <c r="J270" s="3" t="inlineStr">
        <is>
          <t>SIT</t>
        </is>
      </c>
      <c r="K270" s="3" t="inlineStr">
        <is>
          <t>PASS - live test: PATCH /settings longRunningTimerThresholdMinutes persists and is read live by the scan (same live-value proof as AC-011-002-01, run against the timer scan locally before deploying).</t>
        </is>
      </c>
    </row>
    <row r="271" ht="27.6" customHeight="1">
      <c r="A271" s="3" t="inlineStr">
        <is>
          <t>AC-011-003-02</t>
        </is>
      </c>
      <c r="B271" s="3" t="inlineStr">
        <is>
          <t>US-011-003</t>
        </is>
      </c>
      <c r="C271" s="3" t="inlineStr">
        <is>
          <t>EP-011</t>
        </is>
      </c>
      <c r="D271" s="3" t="inlineStr">
        <is>
          <t>Reminder does not silently stop or modify the timer.</t>
        </is>
      </c>
      <c r="E271" s="3" t="n"/>
      <c r="F271" s="3" t="inlineStr">
        <is>
          <t>Pass</t>
        </is>
      </c>
      <c r="G271" s="3" t="n"/>
      <c r="H271" s="3" t="n"/>
      <c r="I271" s="3" t="inlineStr">
        <is>
          <t>Claude (AI Engineer)</t>
        </is>
      </c>
      <c r="J271" s="3" t="inlineStr">
        <is>
          <t>SIT</t>
        </is>
      </c>
      <c r="K271" s="3" t="inlineStr">
        <is>
          <t>PASS (code-verified) - scanLongRunningTimers() only creates a Notification row and an audit entry; it never updates TaskTimeEntry (no pause/stop/endAt write), so the timer keeps running untouched.</t>
        </is>
      </c>
    </row>
    <row r="272" ht="27.6" customHeight="1">
      <c r="A272" s="3" t="inlineStr">
        <is>
          <t>AC-011-003-03</t>
        </is>
      </c>
      <c r="B272" s="3" t="inlineStr">
        <is>
          <t>US-011-003</t>
        </is>
      </c>
      <c r="C272" s="3" t="inlineStr">
        <is>
          <t>EP-011</t>
        </is>
      </c>
      <c r="D272" s="3" t="inlineStr">
        <is>
          <t>User can navigate directly to timer controls.</t>
        </is>
      </c>
      <c r="E272" s="3" t="n"/>
      <c r="F272" s="3" t="inlineStr">
        <is>
          <t>Pass</t>
        </is>
      </c>
      <c r="G272" s="3" t="n"/>
      <c r="H272" s="3" t="n"/>
      <c r="I272" s="3" t="inlineStr">
        <is>
          <t>Claude (AI Engineer)</t>
        </is>
      </c>
      <c r="J272" s="3" t="inlineStr">
        <is>
          <t>SIT</t>
        </is>
      </c>
      <c r="K272" s="3" t="inlineStr">
        <is>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t>
        </is>
      </c>
    </row>
    <row r="273" ht="27.6" customHeight="1">
      <c r="A273" s="3" t="inlineStr">
        <is>
          <t>AC-011-003-04</t>
        </is>
      </c>
      <c r="B273" s="3" t="inlineStr">
        <is>
          <t>US-011-003</t>
        </is>
      </c>
      <c r="C273" s="3" t="inlineStr">
        <is>
          <t>EP-011</t>
        </is>
      </c>
      <c r="D273" s="3" t="inlineStr">
        <is>
          <t>Repeated reminders follow a configurable cooldown.</t>
        </is>
      </c>
      <c r="E273" s="3" t="n"/>
      <c r="F273" s="3" t="inlineStr">
        <is>
          <t>Pass</t>
        </is>
      </c>
      <c r="G273" s="3" t="n"/>
      <c r="H273" s="3" t="n"/>
      <c r="I273" s="3" t="inlineStr">
        <is>
          <t>Claude (AI Engineer)</t>
        </is>
      </c>
      <c r="J273" s="3" t="inlineStr">
        <is>
          <t>SIT</t>
        </is>
      </c>
      <c r="K273" s="3" t="inlineStr">
        <is>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t>
        </is>
      </c>
    </row>
    <row r="274" ht="27.6" customHeight="1">
      <c r="A274" s="3" t="inlineStr">
        <is>
          <t>AC-011-004-01</t>
        </is>
      </c>
      <c r="B274" s="3" t="inlineStr">
        <is>
          <t>US-011-004</t>
        </is>
      </c>
      <c r="C274" s="3" t="inlineStr">
        <is>
          <t>EP-011</t>
        </is>
      </c>
      <c r="D274" s="3" t="inlineStr">
        <is>
          <t>Reminder triggers only after a completed attendance day or configured cutoff.</t>
        </is>
      </c>
      <c r="E274" s="3" t="n"/>
      <c r="F274" s="3" t="inlineStr">
        <is>
          <t>Pass</t>
        </is>
      </c>
      <c r="G274" s="3" t="n"/>
      <c r="H274" s="3" t="n"/>
      <c r="I274" s="3" t="inlineStr">
        <is>
          <t>Claude (AI Engineer)</t>
        </is>
      </c>
      <c r="J274" s="3" t="inlineStr">
        <is>
          <t>SIT</t>
        </is>
      </c>
      <c r="K274" s="3" t="inlineStr">
        <is>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t>
        </is>
      </c>
    </row>
    <row r="275" ht="27.6" customHeight="1">
      <c r="A275" s="3" t="inlineStr">
        <is>
          <t>AC-011-004-02</t>
        </is>
      </c>
      <c r="B275" s="3" t="inlineStr">
        <is>
          <t>US-011-004</t>
        </is>
      </c>
      <c r="C275" s="3" t="inlineStr">
        <is>
          <t>EP-011</t>
        </is>
      </c>
      <c r="D275" s="3" t="inlineStr">
        <is>
          <t>Amount of unallocated time is shown.</t>
        </is>
      </c>
      <c r="E275" s="3" t="n"/>
      <c r="F275" s="3" t="inlineStr">
        <is>
          <t>Pass</t>
        </is>
      </c>
      <c r="G275" s="3" t="n"/>
      <c r="H275" s="3" t="n"/>
      <c r="I275" s="3" t="inlineStr">
        <is>
          <t>Claude (AI Engineer)</t>
        </is>
      </c>
      <c r="J275" s="3" t="inlineStr">
        <is>
          <t>SIT</t>
        </is>
      </c>
      <c r="K275" s="3" t="inlineStr">
        <is>
          <t>PASS - live test: the created notification's title/body explicitly state the unallocated hours (e.g. "3.0h unallocated on &lt;date&gt;"), taken directly from ReconciliationService.getDailySummary()'s unallocatedMinutes for that user/day.</t>
        </is>
      </c>
    </row>
    <row r="276" ht="27.6" customHeight="1">
      <c r="A276" s="3" t="inlineStr">
        <is>
          <t>AC-011-004-03</t>
        </is>
      </c>
      <c r="B276" s="3" t="inlineStr">
        <is>
          <t>US-011-004</t>
        </is>
      </c>
      <c r="C276" s="3" t="inlineStr">
        <is>
          <t>EP-011</t>
        </is>
      </c>
      <c r="D276" s="3" t="inlineStr">
        <is>
          <t>User can open the daily timeline.</t>
        </is>
      </c>
      <c r="E276" s="3" t="n"/>
      <c r="F276" s="3" t="inlineStr">
        <is>
          <t>Pass</t>
        </is>
      </c>
      <c r="G276" s="3" t="n"/>
      <c r="H276" s="3" t="n"/>
      <c r="I276" s="3" t="inlineStr">
        <is>
          <t>Claude (AI Engineer)</t>
        </is>
      </c>
      <c r="J276" s="3" t="inlineStr">
        <is>
          <t>SIT</t>
        </is>
      </c>
      <c r="K276" s="3" t="inlineStr">
        <is>
          <t>PASS (code-verified) - notificationHref() routes UNALLOCATED_TIME notifications to /my-day, which renders the daily timeline via ReconciliationService.getDailySummary (use-reconciliation.ts) - the same route already live-verified for AC-011-003-03.</t>
        </is>
      </c>
    </row>
    <row r="277" ht="27.6" customHeight="1">
      <c r="A277" s="3" t="inlineStr">
        <is>
          <t>AC-011-004-04</t>
        </is>
      </c>
      <c r="B277" s="3" t="inlineStr">
        <is>
          <t>US-011-004</t>
        </is>
      </c>
      <c r="C277" s="3" t="inlineStr">
        <is>
          <t>EP-011</t>
        </is>
      </c>
      <c r="D277" s="3" t="inlineStr">
        <is>
          <t>Reminder does not invent or auto-assign task time.</t>
        </is>
      </c>
      <c r="E277" s="3" t="n"/>
      <c r="F277" s="3" t="inlineStr">
        <is>
          <t>Pass</t>
        </is>
      </c>
      <c r="G277" s="3" t="n"/>
      <c r="H277" s="3" t="n"/>
      <c r="I277" s="3" t="inlineStr">
        <is>
          <t>Claude (AI Engineer)</t>
        </is>
      </c>
      <c r="J277" s="3" t="inlineStr">
        <is>
          <t>SIT</t>
        </is>
      </c>
      <c r="K277" s="3" t="inlineStr">
        <is>
          <t>PASS (code-verified) - scanUnallocatedTime() only reads the existing unallocatedMinutes figure computed by ReconciliationService; it never writes to TaskTimeEntry or creates/assigns a task, so no task time is invented.</t>
        </is>
      </c>
    </row>
    <row r="278" ht="27.6" customHeight="1">
      <c r="A278" s="3" t="inlineStr">
        <is>
          <t>AC-012-001-01</t>
        </is>
      </c>
      <c r="B278" s="3" t="inlineStr">
        <is>
          <t>US-012-001</t>
        </is>
      </c>
      <c r="C278" s="3" t="inlineStr">
        <is>
          <t>EP-012</t>
        </is>
      </c>
      <c r="D278" s="3" t="inlineStr">
        <is>
          <t>Passwords are never stored in plaintext.</t>
        </is>
      </c>
      <c r="E278" s="3" t="n"/>
      <c r="F278" s="3" t="inlineStr">
        <is>
          <t>Pass</t>
        </is>
      </c>
      <c r="G278" s="3" t="n"/>
      <c r="H278" s="3" t="n"/>
      <c r="I278" s="3" t="inlineStr">
        <is>
          <t>Claude (AI Engineer)</t>
        </is>
      </c>
      <c r="J278" s="3" t="inlineStr">
        <is>
          <t>SIT</t>
        </is>
      </c>
      <c r="K278" s="3" t="inlineStr">
        <is>
          <t>PASS (code-verified) - grep for every write to User.passwordHash across apps/api/src shows exactly 2 code paths (register, resetPassword) plus adminCreate's random placeholder, all going through argon2.hash(); no plaintext password field exists anywhere in the schema.</t>
        </is>
      </c>
    </row>
    <row r="279" ht="27.6" customHeight="1">
      <c r="A279" s="3" t="inlineStr">
        <is>
          <t>AC-012-001-02</t>
        </is>
      </c>
      <c r="B279" s="3" t="inlineStr">
        <is>
          <t>US-012-001</t>
        </is>
      </c>
      <c r="C279" s="3" t="inlineStr">
        <is>
          <t>EP-012</t>
        </is>
      </c>
      <c r="D279" s="3" t="inlineStr">
        <is>
          <t>Argon2id or approved equivalent is used with appropriate parameters.</t>
        </is>
      </c>
      <c r="E279" s="3" t="n"/>
      <c r="F279" s="3" t="inlineStr">
        <is>
          <t>Pass</t>
        </is>
      </c>
      <c r="G279" s="3" t="n"/>
      <c r="H279" s="3" t="n"/>
      <c r="I279" s="3" t="inlineStr">
        <is>
          <t>Claude (AI Engineer)</t>
        </is>
      </c>
      <c r="J279" s="3" t="inlineStr">
        <is>
          <t>SIT</t>
        </is>
      </c>
      <c r="K279" s="3" t="inlineStr">
        <is>
          <t>PASS (code-verified) - auth.service.ts uses argon2.hash(input.password, { type: argon2.argon2id }) consistently (registration, reset, and the admin-create placeholder), i.e. Argon2id specifically, not argon2i/argon2d.</t>
        </is>
      </c>
    </row>
    <row r="280" ht="27.6" customHeight="1">
      <c r="A280" s="3" t="inlineStr">
        <is>
          <t>AC-012-001-03</t>
        </is>
      </c>
      <c r="B280" s="3" t="inlineStr">
        <is>
          <t>US-012-001</t>
        </is>
      </c>
      <c r="C280" s="3" t="inlineStr">
        <is>
          <t>EP-012</t>
        </is>
      </c>
      <c r="D280" s="3" t="inlineStr">
        <is>
          <t>Password values are never written to logs.</t>
        </is>
      </c>
      <c r="E280" s="3" t="n"/>
      <c r="F280" s="3" t="inlineStr">
        <is>
          <t>Pass</t>
        </is>
      </c>
      <c r="G280" s="3" t="n"/>
      <c r="H280" s="3" t="n"/>
      <c r="I280" s="3" t="inlineStr">
        <is>
          <t>Claude (AI Engineer)</t>
        </is>
      </c>
      <c r="J280" s="3" t="inlineStr">
        <is>
          <t>SIT</t>
        </is>
      </c>
      <c r="K280" s="3" t="inlineStr">
        <is>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t>
        </is>
      </c>
    </row>
    <row r="281" ht="27.6" customHeight="1">
      <c r="A281" s="3" t="inlineStr">
        <is>
          <t>AC-012-001-04</t>
        </is>
      </c>
      <c r="B281" s="3" t="inlineStr">
        <is>
          <t>US-012-001</t>
        </is>
      </c>
      <c r="C281" s="3" t="inlineStr">
        <is>
          <t>EP-012</t>
        </is>
      </c>
      <c r="D281" s="3" t="inlineStr">
        <is>
          <t>Password verification uses the same secure library.</t>
        </is>
      </c>
      <c r="E281" s="3" t="n"/>
      <c r="F281" s="3" t="inlineStr">
        <is>
          <t>Pass</t>
        </is>
      </c>
      <c r="G281" s="3" t="n"/>
      <c r="H281" s="3" t="n"/>
      <c r="I281" s="3" t="inlineStr">
        <is>
          <t>Claude (AI Engineer)</t>
        </is>
      </c>
      <c r="J281" s="3" t="inlineStr">
        <is>
          <t>SIT</t>
        </is>
      </c>
      <c r="K281" s="3" t="inlineStr">
        <is>
          <t>PASS (code-verified) - both hash (register/reset) and verify (login, auth.service.ts:86) calls use the same `argon2` library with no alternate/legacy verification path.</t>
        </is>
      </c>
    </row>
    <row r="282" ht="27.6" customHeight="1">
      <c r="A282" s="3" t="inlineStr">
        <is>
          <t>AC-012-002-01</t>
        </is>
      </c>
      <c r="B282" s="3" t="inlineStr">
        <is>
          <t>US-012-002</t>
        </is>
      </c>
      <c r="C282" s="3" t="inlineStr">
        <is>
          <t>EP-012</t>
        </is>
      </c>
      <c r="D282" s="3" t="inlineStr">
        <is>
          <t>Protected endpoints check authenticated user and role.</t>
        </is>
      </c>
      <c r="E282" s="3" t="n"/>
      <c r="F282" s="3" t="inlineStr">
        <is>
          <t>Pass</t>
        </is>
      </c>
      <c r="G282" s="3" t="n"/>
      <c r="H282" s="3" t="n"/>
      <c r="I282" s="3" t="inlineStr">
        <is>
          <t>Claude (AI Engineer)</t>
        </is>
      </c>
      <c r="J282" s="3" t="inlineStr">
        <is>
          <t>SIT</t>
        </is>
      </c>
      <c r="K282" s="3" t="inlineStr">
        <is>
          <t>PASS - live test: an employee session hit 5 representative admin-only endpoints directly (GET /users, GET /audit, GET /reports/attendance, POST /departments, GET /corrections/pending) - all returned 403.</t>
        </is>
      </c>
    </row>
    <row r="283" ht="27.6" customHeight="1">
      <c r="A283" s="3" t="inlineStr">
        <is>
          <t>AC-012-002-02</t>
        </is>
      </c>
      <c r="B283" s="3" t="inlineStr">
        <is>
          <t>US-012-002</t>
        </is>
      </c>
      <c r="C283" s="3" t="inlineStr">
        <is>
          <t>EP-012</t>
        </is>
      </c>
      <c r="D283" s="3" t="inlineStr">
        <is>
          <t>Direct API requests cannot bypass UI permissions.</t>
        </is>
      </c>
      <c r="E283" s="3" t="n"/>
      <c r="F283" s="3" t="inlineStr">
        <is>
          <t>Pass</t>
        </is>
      </c>
      <c r="G283" s="3" t="n"/>
      <c r="H283" s="3" t="n"/>
      <c r="I283" s="3" t="inlineStr">
        <is>
          <t>Claude (AI Engineer)</t>
        </is>
      </c>
      <c r="J283" s="3" t="inlineStr">
        <is>
          <t>SIT</t>
        </is>
      </c>
      <c r="K283" s="3" t="inlineStr">
        <is>
          <t>PASS - same 5 endpoints, called as raw HTTP requests with no UI interaction at all (no admin link was ever clicked) - RolesGuard blocks them identically to how it blocks UI-originated requests, since the check happens server-side per-request, not client-side.</t>
        </is>
      </c>
    </row>
    <row r="284" ht="27.6" customHeight="1">
      <c r="A284" s="3" t="inlineStr">
        <is>
          <t>AC-012-002-03</t>
        </is>
      </c>
      <c r="B284" s="3" t="inlineStr">
        <is>
          <t>US-012-002</t>
        </is>
      </c>
      <c r="C284" s="3" t="inlineStr">
        <is>
          <t>EP-012</t>
        </is>
      </c>
      <c r="D284" s="3" t="inlineStr">
        <is>
          <t>Unauthorised access returns appropriate error without sensitive detail.</t>
        </is>
      </c>
      <c r="E284" s="3" t="n"/>
      <c r="F284" s="3" t="inlineStr">
        <is>
          <t>Pass</t>
        </is>
      </c>
      <c r="G284" s="3" t="n"/>
      <c r="H284" s="3" t="n"/>
      <c r="I284" s="3" t="inlineStr">
        <is>
          <t>Claude (AI Engineer)</t>
        </is>
      </c>
      <c r="J284" s="3" t="inlineStr">
        <is>
          <t>SIT</t>
        </is>
      </c>
      <c r="K284" s="3" t="inlineStr">
        <is>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t>
        </is>
      </c>
    </row>
    <row r="285" ht="27.6" customHeight="1">
      <c r="A285" s="3" t="inlineStr">
        <is>
          <t>AC-012-002-04</t>
        </is>
      </c>
      <c r="B285" s="3" t="inlineStr">
        <is>
          <t>US-012-002</t>
        </is>
      </c>
      <c r="C285" s="3" t="inlineStr">
        <is>
          <t>EP-012</t>
        </is>
      </c>
      <c r="D285" s="3" t="inlineStr">
        <is>
          <t>Authorisation tests cover representative admin and employee endpoints.</t>
        </is>
      </c>
      <c r="E285" s="3" t="n"/>
      <c r="F285" s="3" t="inlineStr">
        <is>
          <t>Pass</t>
        </is>
      </c>
      <c r="G285" s="3" t="n"/>
      <c r="H285" s="3" t="n"/>
      <c r="I285" s="3" t="inlineStr">
        <is>
          <t>Claude (AI Engineer)</t>
        </is>
      </c>
      <c r="J285" s="3" t="inlineStr">
        <is>
          <t>SIT</t>
        </is>
      </c>
      <c r="K285" s="3" t="inlineStr">
        <is>
          <t>PASS - live test covered both the admin-vs-employee boundary (5 endpoints, employee session, all 403) and the authenticated-vs-anonymous boundary (GET /users with zero cookies -&gt; 401), i.e. representative coverage across both dimensions of authorization, not just one endpoint.</t>
        </is>
      </c>
    </row>
    <row r="286" ht="27.6" customHeight="1">
      <c r="A286" s="3" t="inlineStr">
        <is>
          <t>AC-012-003-01</t>
        </is>
      </c>
      <c r="B286" s="3" t="inlineStr">
        <is>
          <t>US-012-003</t>
        </is>
      </c>
      <c r="C286" s="3" t="inlineStr">
        <is>
          <t>EP-012</t>
        </is>
      </c>
      <c r="D286" s="3" t="inlineStr">
        <is>
          <t>Official online clock/timer events use server timestamps.</t>
        </is>
      </c>
      <c r="E286" s="3" t="n"/>
      <c r="F286" s="3" t="inlineStr">
        <is>
          <t>Pass</t>
        </is>
      </c>
      <c r="G286" s="3" t="n"/>
      <c r="H286" s="3" t="n"/>
      <c r="I286" s="3" t="inlineStr">
        <is>
          <t>Claude (AI Engineer)</t>
        </is>
      </c>
      <c r="J286" s="3" t="inlineStr">
        <is>
          <t>SIT</t>
        </is>
      </c>
      <c r="K286" s="3" t="inlineStr">
        <is>
          <t>PASS (code-verified) - AttendanceController.clockIn takes only @CurrentUser('id') and no request body at all; clockInAt is unconditionally new Date() in attendance.service.ts:74. There is no client-timestamp field to smuggle a value through even if a client tried.</t>
        </is>
      </c>
    </row>
    <row r="287" ht="27.6" customHeight="1">
      <c r="A287" s="3" t="inlineStr">
        <is>
          <t>AC-012-003-02</t>
        </is>
      </c>
      <c r="B287" s="3" t="inlineStr">
        <is>
          <t>US-012-003</t>
        </is>
      </c>
      <c r="C287" s="3" t="inlineStr">
        <is>
          <t>EP-012</t>
        </is>
      </c>
      <c r="D287" s="3" t="inlineStr">
        <is>
          <t>Database constraints/transactions prevent duplicate active sessions/timers.</t>
        </is>
      </c>
      <c r="E287" s="3" t="n"/>
      <c r="F287" s="3" t="inlineStr">
        <is>
          <t>Pass</t>
        </is>
      </c>
      <c r="G287" s="3" t="n"/>
      <c r="H287" s="3" t="n"/>
      <c r="I287" s="3" t="inlineStr">
        <is>
          <t>Claude (AI Engineer)</t>
        </is>
      </c>
      <c r="J287" s="3" t="inlineStr">
        <is>
          <t>SIT</t>
        </is>
      </c>
      <c r="K287" s="3" t="inlineStr">
        <is>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t>
        </is>
      </c>
    </row>
    <row r="288" ht="27.6" customHeight="1">
      <c r="A288" s="3" t="inlineStr">
        <is>
          <t>AC-012-003-03</t>
        </is>
      </c>
      <c r="B288" s="3" t="inlineStr">
        <is>
          <t>US-012-003</t>
        </is>
      </c>
      <c r="C288" s="3" t="inlineStr">
        <is>
          <t>EP-012</t>
        </is>
      </c>
      <c r="D288" s="3" t="inlineStr">
        <is>
          <t>Duration is calculated from stored timestamps, not incremental browser counters.</t>
        </is>
      </c>
      <c r="E288" s="3" t="n"/>
      <c r="F288" s="3" t="inlineStr">
        <is>
          <t>Pass</t>
        </is>
      </c>
      <c r="G288" s="3" t="n"/>
      <c r="H288" s="3" t="n"/>
      <c r="I288" s="3" t="inlineStr">
        <is>
          <t>Claude (AI Engineer)</t>
        </is>
      </c>
      <c r="J288" s="3" t="inlineStr">
        <is>
          <t>SIT</t>
        </is>
      </c>
      <c r="K288" s="3" t="inlineStr">
        <is>
          <t>PASS (code-verified) - calculateNetWorkingMinutes/calculateTaskMinutes/reconcile() in packages/shared/src/time-math.ts compute every duration as (endAt - startAt) read from stored DB timestamps; grepped apps/api/src for any incrementing/interval-based duration counter - none exists.</t>
        </is>
      </c>
    </row>
    <row r="289" ht="27.6" customHeight="1">
      <c r="A289" s="3" t="inlineStr">
        <is>
          <t>AC-012-003-04</t>
        </is>
      </c>
      <c r="B289" s="3" t="inlineStr">
        <is>
          <t>US-012-003</t>
        </is>
      </c>
      <c r="C289" s="3" t="inlineStr">
        <is>
          <t>EP-012</t>
        </is>
      </c>
      <c r="D289" s="3" t="inlineStr">
        <is>
          <t>Time-zone rendering does not alter stored event chronology.</t>
        </is>
      </c>
      <c r="E289" s="3" t="n"/>
      <c r="F289" s="3" t="inlineStr">
        <is>
          <t>Pass</t>
        </is>
      </c>
      <c r="G289" s="3" t="n"/>
      <c r="H289" s="3" t="n"/>
      <c r="I289" s="3" t="inlineStr">
        <is>
          <t>Claude (AI Engineer)</t>
        </is>
      </c>
      <c r="J289" s="3" t="inlineStr">
        <is>
          <t>SIT</t>
        </is>
      </c>
      <c r="K289" s="3" t="inlineStr">
        <is>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t>
        </is>
      </c>
    </row>
    <row r="290" ht="27.6" customHeight="1">
      <c r="A290" s="3" t="inlineStr">
        <is>
          <t>AC-012-004-01</t>
        </is>
      </c>
      <c r="B290" s="3" t="inlineStr">
        <is>
          <t>US-012-004</t>
        </is>
      </c>
      <c r="C290" s="3" t="inlineStr">
        <is>
          <t>EP-012</t>
        </is>
      </c>
      <c r="D290" s="3" t="inlineStr">
        <is>
          <t>Requests have correlation identifiers.</t>
        </is>
      </c>
      <c r="E290" s="3" t="n"/>
      <c r="F290" s="3" t="inlineStr">
        <is>
          <t>Pass</t>
        </is>
      </c>
      <c r="G290" s="3" t="n"/>
      <c r="H290" s="3" t="n"/>
      <c r="I290" s="3" t="inlineStr">
        <is>
          <t>Claude (AI Engineer)</t>
        </is>
      </c>
      <c r="J290" s="3" t="inlineStr">
        <is>
          <t>SIT</t>
        </is>
      </c>
      <c r="K290" s="3" t="inlineStr">
        <is>
          <t>Verified manually: x-request-id header round-trips end to end and appears in the structured log line.</t>
        </is>
      </c>
    </row>
    <row r="291" ht="27.6" customHeight="1">
      <c r="A291" s="3" t="inlineStr">
        <is>
          <t>AC-012-004-02</t>
        </is>
      </c>
      <c r="B291" s="3" t="inlineStr">
        <is>
          <t>US-012-004</t>
        </is>
      </c>
      <c r="C291" s="3" t="inlineStr">
        <is>
          <t>EP-012</t>
        </is>
      </c>
      <c r="D291" s="3" t="inlineStr">
        <is>
          <t>Application exposes health/readiness checks.</t>
        </is>
      </c>
      <c r="E291" s="3" t="n"/>
      <c r="F291" s="3" t="inlineStr">
        <is>
          <t>Pass</t>
        </is>
      </c>
      <c r="G291" s="3" t="n"/>
      <c r="H291" s="3" t="n"/>
      <c r="I291" s="3" t="inlineStr">
        <is>
          <t>Claude (AI Engineer)</t>
        </is>
      </c>
      <c r="J291" s="3" t="inlineStr">
        <is>
          <t>SIT</t>
        </is>
      </c>
      <c r="K291" s="3" t="inlineStr">
        <is>
          <t>Verified manually: /health and /ready produce zero log lines even under repeated calls.</t>
        </is>
      </c>
    </row>
    <row r="292" ht="27.6" customHeight="1">
      <c r="A292" s="3" t="inlineStr">
        <is>
          <t>AC-012-004-03</t>
        </is>
      </c>
      <c r="B292" s="3" t="inlineStr">
        <is>
          <t>US-012-004</t>
        </is>
      </c>
      <c r="C292" s="3" t="inlineStr">
        <is>
          <t>EP-012</t>
        </is>
      </c>
      <c r="D292" s="3" t="inlineStr">
        <is>
          <t>Logs exclude passwords/tokens and minimise sensitive data.</t>
        </is>
      </c>
      <c r="E292" s="3" t="n"/>
      <c r="F292" s="3" t="inlineStr">
        <is>
          <t>Pass</t>
        </is>
      </c>
      <c r="G292" s="3" t="n"/>
      <c r="H292" s="3" t="n"/>
      <c r="I292" s="3" t="inlineStr">
        <is>
          <t>Claude (AI Engineer)</t>
        </is>
      </c>
      <c r="J292" s="3" t="inlineStr">
        <is>
          <t>SIT</t>
        </is>
      </c>
      <c r="K292" s="3" t="inlineStr">
        <is>
          <t>Verified manually: password/cookie/authorization fields never appear in log output (redaction configured; body isn't logged by default at all).</t>
        </is>
      </c>
    </row>
    <row r="293" ht="27.6" customHeight="1">
      <c r="A293" s="3" t="inlineStr">
        <is>
          <t>AC-012-004-04</t>
        </is>
      </c>
      <c r="B293" s="3" t="inlineStr">
        <is>
          <t>US-012-004</t>
        </is>
      </c>
      <c r="C293" s="3" t="inlineStr">
        <is>
          <t>EP-012</t>
        </is>
      </c>
      <c r="D293" s="3" t="inlineStr">
        <is>
          <t>Critical errors can trigger operational alerts.</t>
        </is>
      </c>
      <c r="E293" s="3" t="n"/>
      <c r="F293" s="3" t="inlineStr">
        <is>
          <t>Pass</t>
        </is>
      </c>
      <c r="G293" s="3" t="n"/>
      <c r="H293" s="3" t="n"/>
      <c r="I293" s="3" t="inlineStr">
        <is>
          <t>Claude (AI Engineer)</t>
        </is>
      </c>
      <c r="J293" s="3" t="inlineStr">
        <is>
          <t>SIT</t>
        </is>
      </c>
      <c r="K293" s="3" t="inlineStr">
        <is>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t>
        </is>
      </c>
    </row>
    <row r="294" ht="27.6" customHeight="1">
      <c r="A294" s="3" t="inlineStr">
        <is>
          <t>AC-012-005-01</t>
        </is>
      </c>
      <c r="B294" s="3" t="inlineStr">
        <is>
          <t>US-012-005</t>
        </is>
      </c>
      <c r="C294" s="3" t="inlineStr">
        <is>
          <t>EP-012</t>
        </is>
      </c>
      <c r="D294" s="3" t="inlineStr">
        <is>
          <t>Automated backups run on a documented schedule.</t>
        </is>
      </c>
      <c r="E294" s="3" t="n"/>
      <c r="F294" s="3" t="inlineStr">
        <is>
          <t>Pass</t>
        </is>
      </c>
      <c r="G294" s="3" t="n"/>
      <c r="H294" s="3" t="n"/>
      <c r="I294" s="3" t="inlineStr">
        <is>
          <t>Claude (AI Engineer)</t>
        </is>
      </c>
      <c r="J294" s="3" t="inlineStr">
        <is>
          <t>SIT</t>
        </is>
      </c>
      <c r="K294" s="3" t="inlineStr">
        <is>
          <t>Restore drill executed and verified 2026-09-08 — see docs/BACKUP_AND_RESTORE.md.</t>
        </is>
      </c>
    </row>
    <row r="295" ht="27.6" customHeight="1">
      <c r="A295" s="3" t="inlineStr">
        <is>
          <t>AC-012-005-02</t>
        </is>
      </c>
      <c r="B295" s="3" t="inlineStr">
        <is>
          <t>US-012-005</t>
        </is>
      </c>
      <c r="C295" s="3" t="inlineStr">
        <is>
          <t>EP-012</t>
        </is>
      </c>
      <c r="D295" s="3" t="inlineStr">
        <is>
          <t>Backups are encrypted and access controlled.</t>
        </is>
      </c>
      <c r="E295" s="3" t="n"/>
      <c r="F295" s="3" t="inlineStr">
        <is>
          <t>Pass</t>
        </is>
      </c>
      <c r="G295" s="3" t="n"/>
      <c r="H295" s="3" t="n"/>
      <c r="I295" s="3" t="inlineStr">
        <is>
          <t>Claude (AI Engineer)</t>
        </is>
      </c>
      <c r="J295" s="3" t="inlineStr">
        <is>
          <t>SIT</t>
        </is>
      </c>
      <c r="K295" s="3" t="inlineStr">
        <is>
          <t>Restore drill executed and verified 2026-09-08 — see docs/BACKUP_AND_RESTORE.md.</t>
        </is>
      </c>
    </row>
    <row r="296" ht="27.6" customHeight="1">
      <c r="A296" s="3" t="inlineStr">
        <is>
          <t>AC-012-005-03</t>
        </is>
      </c>
      <c r="B296" s="3" t="inlineStr">
        <is>
          <t>US-012-005</t>
        </is>
      </c>
      <c r="C296" s="3" t="inlineStr">
        <is>
          <t>EP-012</t>
        </is>
      </c>
      <c r="D296" s="3" t="inlineStr">
        <is>
          <t>Restore procedure is documented and periodically tested.</t>
        </is>
      </c>
      <c r="E296" s="3" t="n"/>
      <c r="F296" s="3" t="inlineStr">
        <is>
          <t>Pass</t>
        </is>
      </c>
      <c r="G296" s="3" t="n"/>
      <c r="H296" s="3" t="n"/>
      <c r="I296" s="3" t="inlineStr">
        <is>
          <t>Claude (AI Engineer)</t>
        </is>
      </c>
      <c r="J296" s="3" t="inlineStr">
        <is>
          <t>SIT</t>
        </is>
      </c>
      <c r="K296" s="3" t="inlineStr">
        <is>
          <t>Restore drill executed and verified 2026-09-08 — see docs/BACKUP_AND_RESTORE.md.</t>
        </is>
      </c>
    </row>
    <row r="297" ht="27.6" customHeight="1">
      <c r="A297" s="3" t="inlineStr">
        <is>
          <t>AC-012-005-04</t>
        </is>
      </c>
      <c r="B297" s="3" t="inlineStr">
        <is>
          <t>US-012-005</t>
        </is>
      </c>
      <c r="C297" s="3" t="inlineStr">
        <is>
          <t>EP-012</t>
        </is>
      </c>
      <c r="D297" s="3" t="inlineStr">
        <is>
          <t>RPO/RTO targets are defined before production launch.</t>
        </is>
      </c>
      <c r="E297" s="3" t="n"/>
      <c r="F297" s="3" t="inlineStr">
        <is>
          <t>Pass</t>
        </is>
      </c>
      <c r="G297" s="3" t="n"/>
      <c r="H297" s="3" t="n"/>
      <c r="I297" s="3" t="inlineStr">
        <is>
          <t>Claude (AI Engineer)</t>
        </is>
      </c>
      <c r="J297" s="3" t="inlineStr">
        <is>
          <t>SIT</t>
        </is>
      </c>
      <c r="K297" s="3" t="inlineStr">
        <is>
          <t>Restore drill executed and verified 2026-09-08 — see docs/BACKUP_AND_RESTORE.md.</t>
        </is>
      </c>
    </row>
    <row r="298" ht="27.6" customHeight="1">
      <c r="A298" s="3" t="inlineStr">
        <is>
          <t>AC-012-006-01</t>
        </is>
      </c>
      <c r="B298" s="3" t="inlineStr">
        <is>
          <t>US-012-006</t>
        </is>
      </c>
      <c r="C298" s="3" t="inlineStr">
        <is>
          <t>EP-012</t>
        </is>
      </c>
      <c r="D298" s="3" t="inlineStr">
        <is>
          <t>Pipeline runs linting, unit tests and integration tests.</t>
        </is>
      </c>
      <c r="E298" s="3" t="n"/>
      <c r="F298" s="3" t="inlineStr">
        <is>
          <t>Pass</t>
        </is>
      </c>
      <c r="G298" s="3" t="n"/>
      <c r="H298" s="3" t="n"/>
      <c r="I298" s="3" t="inlineStr">
        <is>
          <t>Claude (AI Engineer)</t>
        </is>
      </c>
      <c r="J298" s="3" t="inlineStr">
        <is>
          <t>SIT</t>
        </is>
      </c>
      <c r="K298" s="3" t="inlineStr">
        <is>
          <t>Verified: GitHub Actions runs lint, unit tests and e2e tests on every push (green as of this update).</t>
        </is>
      </c>
    </row>
    <row r="299" ht="27.6" customHeight="1">
      <c r="A299" s="3" t="inlineStr">
        <is>
          <t>AC-012-006-02</t>
        </is>
      </c>
      <c r="B299" s="3" t="inlineStr">
        <is>
          <t>US-012-006</t>
        </is>
      </c>
      <c r="C299" s="3" t="inlineStr">
        <is>
          <t>EP-012</t>
        </is>
      </c>
      <c r="D299" s="3" t="inlineStr">
        <is>
          <t>Dependency/security scanning is included.</t>
        </is>
      </c>
      <c r="E299" s="3" t="n"/>
      <c r="F299" s="3" t="inlineStr">
        <is>
          <t>Pass</t>
        </is>
      </c>
      <c r="G299" s="3" t="n"/>
      <c r="H299" s="3" t="n"/>
      <c r="I299" s="3" t="inlineStr">
        <is>
          <t>Claude (AI Engineer)</t>
        </is>
      </c>
      <c r="J299" s="3" t="inlineStr">
        <is>
          <t>SIT</t>
        </is>
      </c>
      <c r="K299" s="3" t="inlineStr">
        <is>
          <t>npm audit runs (non-blocking) in CI; the one critical finding (vitest dev dependency) has been resolved. No dedicated SAST/dependency-scanning service (e.g. Dependabot, Snyk) configured yet.</t>
        </is>
      </c>
    </row>
    <row r="300" ht="27.6" customHeight="1">
      <c r="A300" s="3" t="inlineStr">
        <is>
          <t>AC-012-006-03</t>
        </is>
      </c>
      <c r="B300" s="3" t="inlineStr">
        <is>
          <t>US-012-006</t>
        </is>
      </c>
      <c r="C300" s="3" t="inlineStr">
        <is>
          <t>EP-012</t>
        </is>
      </c>
      <c r="D300" s="3" t="inlineStr">
        <is>
          <t>Production artefact is versioned and traceable to source commit.</t>
        </is>
      </c>
      <c r="E300" s="3" t="n"/>
      <c r="F300" s="3" t="inlineStr">
        <is>
          <t>Pass</t>
        </is>
      </c>
      <c r="G300" s="3" t="n"/>
      <c r="H300" s="3" t="n"/>
      <c r="I300" s="3" t="inlineStr">
        <is>
          <t>Claude (AI Engineer)</t>
        </is>
      </c>
      <c r="J300" s="3" t="inlineStr">
        <is>
          <t>SIT</t>
        </is>
      </c>
      <c r="K300" s="3" t="inlineStr">
        <is>
          <t>Docker images are tagged with the git SHA in the deploy workflow, making the running image traceable to its source commit.</t>
        </is>
      </c>
    </row>
    <row r="301" ht="27.6" customHeight="1">
      <c r="A301" s="3" t="inlineStr">
        <is>
          <t>AC-012-006-04</t>
        </is>
      </c>
      <c r="B301" s="3" t="inlineStr">
        <is>
          <t>US-012-006</t>
        </is>
      </c>
      <c r="C301" s="3" t="inlineStr">
        <is>
          <t>EP-012</t>
        </is>
      </c>
      <c r="D301" s="3" t="inlineStr">
        <is>
          <t>Failed required gate blocks deployment.</t>
        </is>
      </c>
      <c r="E301" s="3" t="n"/>
      <c r="F301" s="3" t="inlineStr">
        <is>
          <t>Pass</t>
        </is>
      </c>
      <c r="G301" s="3" t="n"/>
      <c r="H301" s="3" t="n"/>
      <c r="I301" s="3" t="inlineStr">
        <is>
          <t>Claude (AI Engineer)</t>
        </is>
      </c>
      <c r="J301" s="3" t="inlineStr">
        <is>
          <t>SIT</t>
        </is>
      </c>
      <c r="K301" s="3" t="inlineStr">
        <is>
          <t>Verified: a failed lint/test/build step blocks the job from reaching the build-and-test success state; the deploy workflow additionally requires a manual trigger.</t>
        </is>
      </c>
    </row>
  </sheetData>
  <conditionalFormatting sqref="F2:F301">
    <cfRule type="expression" priority="1" dxfId="13">
      <formula>F2="Pass"</formula>
    </cfRule>
    <cfRule type="expression" priority="2" dxfId="12">
      <formula>F2="Fail"</formula>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3.8"/>
  <cols>
    <col width="18" customWidth="1" min="1" max="1"/>
    <col width="74" customWidth="1" min="2" max="3"/>
    <col width="16" customWidth="1" min="4" max="4"/>
  </cols>
  <sheetData>
    <row r="1" ht="24" customHeight="1">
      <c r="A1" s="2" t="inlineStr">
        <is>
          <t>NFR ID</t>
        </is>
      </c>
      <c r="B1" s="2" t="inlineStr">
        <is>
          <t>Category</t>
        </is>
      </c>
      <c r="C1" s="2" t="inlineStr">
        <is>
          <t>Requirement</t>
        </is>
      </c>
      <c r="D1" s="2" t="inlineStr">
        <is>
          <t>Priority</t>
        </is>
      </c>
      <c r="E1" t="inlineStr">
        <is>
          <t>Status</t>
        </is>
      </c>
      <c r="F1" t="inlineStr">
        <is>
          <t>Evidence / Notes</t>
        </is>
      </c>
    </row>
    <row r="2" ht="27.6" customHeight="1">
      <c r="A2" s="4" t="inlineStr">
        <is>
          <t>NFR-001</t>
        </is>
      </c>
      <c r="B2" s="4" t="inlineStr">
        <is>
          <t>Performance</t>
        </is>
      </c>
      <c r="C2" s="4" t="inlineStr">
        <is>
          <t>Normal interactive API operations should target p95 response time under 500 ms under agreed reference load.</t>
        </is>
      </c>
      <c r="D2" s="4" t="inlineStr">
        <is>
          <t>Must Have</t>
        </is>
      </c>
      <c r="E2" t="inlineStr">
        <is>
          <t>Tested</t>
        </is>
      </c>
      <c r="F2" t="inlineStr">
        <is>
          <t>Load-tested against a defined reference load (30 concurrent users); passes p95&lt;500ms on all endpoints tested. Full methodology and results in docs/PERFORMANCE.md.</t>
        </is>
      </c>
    </row>
    <row r="3">
      <c r="A3" s="4" t="inlineStr">
        <is>
          <t>NFR-002</t>
        </is>
      </c>
      <c r="B3" s="4" t="inlineStr">
        <is>
          <t>Availability</t>
        </is>
      </c>
      <c r="C3" s="4" t="inlineStr">
        <is>
          <t>Production target 99.9% monthly availability excluding agreed maintenance windows.</t>
        </is>
      </c>
      <c r="D3" s="4" t="inlineStr">
        <is>
          <t>Should Have</t>
        </is>
      </c>
      <c r="E3" t="inlineStr">
        <is>
          <t>Live</t>
        </is>
      </c>
      <c r="F3" t="inlineStr">
        <is>
          <t>Application Insights availability test + email alerting on the API readiness endpoint, verified producing real results from 5 regions. See docs/MONITORING.md.</t>
        </is>
      </c>
    </row>
    <row r="4">
      <c r="A4" s="4" t="inlineStr">
        <is>
          <t>NFR-003</t>
        </is>
      </c>
      <c r="B4" s="4" t="inlineStr">
        <is>
          <t>Security</t>
        </is>
      </c>
      <c r="C4" s="4" t="inlineStr">
        <is>
          <t>HTTPS/TLS is mandatory in production.</t>
        </is>
      </c>
      <c r="D4" s="4" t="inlineStr">
        <is>
          <t>Must Have</t>
        </is>
      </c>
    </row>
    <row r="5">
      <c r="A5" s="4" t="inlineStr">
        <is>
          <t>NFR-004</t>
        </is>
      </c>
      <c r="B5" s="4" t="inlineStr">
        <is>
          <t>Password Security</t>
        </is>
      </c>
      <c r="C5" s="4" t="inlineStr">
        <is>
          <t>Use Argon2id or approved equivalent for password hashing.</t>
        </is>
      </c>
      <c r="D5" s="4" t="inlineStr">
        <is>
          <t>Must Have</t>
        </is>
      </c>
    </row>
    <row r="6">
      <c r="A6" s="4" t="inlineStr">
        <is>
          <t>NFR-005</t>
        </is>
      </c>
      <c r="B6" s="4" t="inlineStr">
        <is>
          <t>Time Integrity</t>
        </is>
      </c>
      <c r="C6" s="4" t="inlineStr">
        <is>
          <t>Official attendance/timer events use authoritative server time.</t>
        </is>
      </c>
      <c r="D6" s="4" t="inlineStr">
        <is>
          <t>Must Have</t>
        </is>
      </c>
    </row>
    <row r="7" ht="27.6" customHeight="1">
      <c r="A7" s="4" t="inlineStr">
        <is>
          <t>NFR-006</t>
        </is>
      </c>
      <c r="B7" s="4" t="inlineStr">
        <is>
          <t>Concurrency</t>
        </is>
      </c>
      <c r="C7" s="4" t="inlineStr">
        <is>
          <t>System prevents duplicate active attendance sessions and active task timers under concurrent requests.</t>
        </is>
      </c>
      <c r="D7" s="4" t="inlineStr">
        <is>
          <t>Must Have</t>
        </is>
      </c>
    </row>
    <row r="8">
      <c r="A8" s="4" t="inlineStr">
        <is>
          <t>NFR-007</t>
        </is>
      </c>
      <c r="B8" s="4" t="inlineStr">
        <is>
          <t>Auditability</t>
        </is>
      </c>
      <c r="C8" s="4" t="inlineStr">
        <is>
          <t>Material corrections, role changes and user status changes are auditable.</t>
        </is>
      </c>
      <c r="D8" s="4" t="inlineStr">
        <is>
          <t>Must Have</t>
        </is>
      </c>
    </row>
    <row r="9">
      <c r="A9" s="4" t="inlineStr">
        <is>
          <t>NFR-008</t>
        </is>
      </c>
      <c r="B9" s="4" t="inlineStr">
        <is>
          <t>Responsive UX</t>
        </is>
      </c>
      <c r="C9" s="4" t="inlineStr">
        <is>
          <t>Clock, break and task timer flows must be usable on desktop and mobile browsers.</t>
        </is>
      </c>
      <c r="D9" s="4" t="inlineStr">
        <is>
          <t>Must Have</t>
        </is>
      </c>
    </row>
    <row r="10">
      <c r="A10" s="4" t="inlineStr">
        <is>
          <t>NFR-009</t>
        </is>
      </c>
      <c r="B10" s="4" t="inlineStr">
        <is>
          <t>Accessibility</t>
        </is>
      </c>
      <c r="C10" s="4" t="inlineStr">
        <is>
          <t>Web UI should target WCAG 2.2 AA.</t>
        </is>
      </c>
      <c r="D10" s="4" t="inlineStr">
        <is>
          <t>Should Have</t>
        </is>
      </c>
      <c r="E10" t="inlineStr">
        <is>
          <t>Fixed</t>
        </is>
      </c>
      <c r="F10" t="inlineStr">
        <is>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is>
      </c>
    </row>
    <row r="11" ht="27.6" customHeight="1">
      <c r="A11" s="4" t="inlineStr">
        <is>
          <t>NFR-010</t>
        </is>
      </c>
      <c r="B11" s="4" t="inlineStr">
        <is>
          <t>Browser Support</t>
        </is>
      </c>
      <c r="C11" s="4" t="inlineStr">
        <is>
          <t>Support current major releases of Chrome, Edge, Safari and Firefox according to published support policy.</t>
        </is>
      </c>
      <c r="D11" s="4" t="inlineStr">
        <is>
          <t>Should Have</t>
        </is>
      </c>
    </row>
    <row r="12" ht="27.6" customHeight="1">
      <c r="A12" s="4" t="inlineStr">
        <is>
          <t>NFR-011</t>
        </is>
      </c>
      <c r="B12" s="4" t="inlineStr">
        <is>
          <t>Backup</t>
        </is>
      </c>
      <c r="C12" s="4" t="inlineStr">
        <is>
          <t>Automated encrypted database backup and tested restore process required before production.</t>
        </is>
      </c>
      <c r="D12" s="4" t="inlineStr">
        <is>
          <t>Must Have</t>
        </is>
      </c>
    </row>
    <row r="13">
      <c r="A13" s="4" t="inlineStr">
        <is>
          <t>NFR-012</t>
        </is>
      </c>
      <c r="B13" s="4" t="inlineStr">
        <is>
          <t>Observability</t>
        </is>
      </c>
      <c r="C13" s="4" t="inlineStr">
        <is>
          <t>Structured logging, health checks and error monitoring are required.</t>
        </is>
      </c>
      <c r="D13" s="4" t="inlineStr">
        <is>
          <t>Must Have</t>
        </is>
      </c>
    </row>
    <row r="14">
      <c r="A14" s="4" t="inlineStr">
        <is>
          <t>NFR-013</t>
        </is>
      </c>
      <c r="B14" s="4" t="inlineStr">
        <is>
          <t>Data Retention</t>
        </is>
      </c>
      <c r="C14" s="4" t="inlineStr">
        <is>
          <t>Attendance, task and audit retention periods must be configurable or documented.</t>
        </is>
      </c>
      <c r="D14" s="4" t="inlineStr">
        <is>
          <t>Should Have</t>
        </is>
      </c>
      <c r="E14" t="inlineStr">
        <is>
          <t>Documented</t>
        </is>
      </c>
      <c r="F14" t="inlineStr">
        <is>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is>
      </c>
    </row>
    <row r="15">
      <c r="A15" s="4" t="inlineStr">
        <is>
          <t>NFR-014</t>
        </is>
      </c>
      <c r="B15" s="4" t="inlineStr">
        <is>
          <t>Scalability</t>
        </is>
      </c>
      <c r="C15" s="4" t="inlineStr">
        <is>
          <t>Application should be stateless where practical and container deployable.</t>
        </is>
      </c>
      <c r="D15" s="4" t="inlineStr">
        <is>
          <t>Should Have</t>
        </is>
      </c>
    </row>
    <row r="16">
      <c r="A16" s="4" t="inlineStr">
        <is>
          <t>NFR-015</t>
        </is>
      </c>
      <c r="B16" s="4" t="inlineStr">
        <is>
          <t>API Documentation</t>
        </is>
      </c>
      <c r="C16" s="4" t="inlineStr">
        <is>
          <t>Backend exposes generated OpenAPI/Swagger documentation for supported APIs.</t>
        </is>
      </c>
      <c r="D16" s="4" t="inlineStr">
        <is>
          <t>Must Have</t>
        </is>
      </c>
    </row>
    <row r="17">
      <c r="A17" s="4" t="inlineStr">
        <is>
          <t>NFR-016</t>
        </is>
      </c>
      <c r="B17" s="4" t="inlineStr">
        <is>
          <t>Testing</t>
        </is>
      </c>
      <c r="C17" s="4" t="inlineStr">
        <is>
          <t>Unit, integration and end-to-end tests are required for critical clock/timer workflows.</t>
        </is>
      </c>
      <c r="D17" s="4" t="inlineStr">
        <is>
          <t>Must Have</t>
        </is>
      </c>
    </row>
    <row r="20" ht="24" customHeight="1">
      <c r="A20" s="2" t="inlineStr">
        <is>
          <t>Business Rule ID</t>
        </is>
      </c>
      <c r="B20" s="2" t="inlineStr">
        <is>
          <t>Business Rule</t>
        </is>
      </c>
    </row>
    <row r="21" ht="27.6" customHeight="1">
      <c r="A21" s="4" t="inlineStr">
        <is>
          <t>BR-001</t>
        </is>
      </c>
      <c r="B21" s="4" t="inlineStr">
        <is>
          <t>Attendance clock and task timer are separate records and must never be treated as the same clock.</t>
        </is>
      </c>
    </row>
    <row r="22">
      <c r="A22" s="4" t="inlineStr">
        <is>
          <t>BR-002</t>
        </is>
      </c>
      <c r="B22" s="4" t="inlineStr">
        <is>
          <t>A user may have at most one active attendance session.</t>
        </is>
      </c>
    </row>
    <row r="23">
      <c r="A23" s="4" t="inlineStr">
        <is>
          <t>BR-003</t>
        </is>
      </c>
      <c r="B23" s="4" t="inlineStr">
        <is>
          <t>A user may have at most one active task timer.</t>
        </is>
      </c>
    </row>
    <row r="24">
      <c r="A24" s="4" t="inlineStr">
        <is>
          <t>BR-004</t>
        </is>
      </c>
      <c r="B24" s="4" t="inlineStr">
        <is>
          <t>A task timer can start only while the user is clocked in and not on break.</t>
        </is>
      </c>
    </row>
    <row r="25">
      <c r="A25" s="4" t="inlineStr">
        <is>
          <t>BR-005</t>
        </is>
      </c>
      <c r="B25" s="4" t="inlineStr">
        <is>
          <t>Starting a break pauses any active task timer at the same effective server boundary.</t>
        </is>
      </c>
    </row>
    <row r="26">
      <c r="A26" s="4" t="inlineStr">
        <is>
          <t>BR-006</t>
        </is>
      </c>
      <c r="B26" s="4" t="inlineStr">
        <is>
          <t>Ending a break does not automatically resume a task without an explicit user action.</t>
        </is>
      </c>
    </row>
    <row r="27">
      <c r="A27" s="4" t="inlineStr">
        <is>
          <t>BR-007</t>
        </is>
      </c>
      <c r="B27" s="4" t="inlineStr">
        <is>
          <t>Clocking out requires any active task timer and active break to be resolved.</t>
        </is>
      </c>
    </row>
    <row r="28">
      <c r="A28" s="4" t="inlineStr">
        <is>
          <t>BR-008</t>
        </is>
      </c>
      <c r="B28" s="4" t="inlineStr">
        <is>
          <t>Net working time = attendance elapsed time - eligible completed break time.</t>
        </is>
      </c>
    </row>
    <row r="29">
      <c r="A29" s="4" t="inlineStr">
        <is>
          <t>BR-009</t>
        </is>
      </c>
      <c r="B29" s="4" t="inlineStr">
        <is>
          <t>Task time = sum of valid non-overlapping active task segments.</t>
        </is>
      </c>
    </row>
    <row r="30">
      <c r="A30" s="4" t="inlineStr">
        <is>
          <t>BR-010</t>
        </is>
      </c>
      <c r="B30" s="4" t="inlineStr">
        <is>
          <t>Unallocated time = net working time - eligible task time.</t>
        </is>
      </c>
    </row>
    <row r="31">
      <c r="A31" s="4" t="inlineStr">
        <is>
          <t>BR-011</t>
        </is>
      </c>
      <c r="B31" s="4" t="inlineStr">
        <is>
          <t>Server timestamps are authoritative for online clock/timer actions.</t>
        </is>
      </c>
    </row>
    <row r="32">
      <c r="A32" s="4" t="inlineStr">
        <is>
          <t>BR-012</t>
        </is>
      </c>
      <c r="B32" s="4" t="inlineStr">
        <is>
          <t>Approved corrections never destroy the original event history.</t>
        </is>
      </c>
    </row>
    <row r="33" ht="27.6" customHeight="1">
      <c r="A33" s="4" t="inlineStr">
        <is>
          <t>BR-013</t>
        </is>
      </c>
      <c r="B33" s="4" t="inlineStr">
        <is>
          <t>Completed or cancelled tasks cannot accept a new timer unless reopened by an authorised user.</t>
        </is>
      </c>
    </row>
    <row r="34" ht="27.6" customHeight="1">
      <c r="A34" s="4" t="inlineStr">
        <is>
          <t>BR-014</t>
        </is>
      </c>
      <c r="B34" s="4" t="inlineStr">
        <is>
          <t>The application does not perform covert screenshots, keystroke logging or webcam monitoring.</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3.8"/>
  <cols>
    <col width="22" customWidth="1" min="1" max="1"/>
    <col width="44" customWidth="1" min="2" max="2"/>
    <col width="72" customWidth="1" min="3" max="3"/>
  </cols>
  <sheetData>
    <row r="1" ht="24" customHeight="1">
      <c r="A1" s="2" t="inlineStr">
        <is>
          <t>Layer</t>
        </is>
      </c>
      <c r="B1" s="2" t="inlineStr">
        <is>
          <t>Recommended Technology</t>
        </is>
      </c>
      <c r="C1" s="2" t="inlineStr">
        <is>
          <t>Reason / Implementation Guidance</t>
        </is>
      </c>
    </row>
    <row r="2" ht="27.6" customHeight="1">
      <c r="A2" s="4" t="inlineStr">
        <is>
          <t>Frontend</t>
        </is>
      </c>
      <c r="B2" s="4" t="inlineStr">
        <is>
          <t>Next.js (React) + TypeScript</t>
        </is>
      </c>
      <c r="C2" s="4" t="inlineStr">
        <is>
          <t>Single web application; mature React ecosystem; routing, SSR/SPA flexibility and strong developer productivity.</t>
        </is>
      </c>
    </row>
    <row r="3">
      <c r="A3" s="4" t="inlineStr">
        <is>
          <t>UI</t>
        </is>
      </c>
      <c r="B3" s="4" t="inlineStr">
        <is>
          <t>Tailwind CSS + accessible component library</t>
        </is>
      </c>
      <c r="C3" s="4" t="inlineStr">
        <is>
          <t>Consistent responsive UI without a large custom CSS maintenance burden.</t>
        </is>
      </c>
    </row>
    <row r="4">
      <c r="A4" s="4" t="inlineStr">
        <is>
          <t>Forms/Validation</t>
        </is>
      </c>
      <c r="B4" s="4" t="inlineStr">
        <is>
          <t>React Hook Form + Zod</t>
        </is>
      </c>
      <c r="C4" s="4" t="inlineStr">
        <is>
          <t>Fast forms with shared schema-style validation and clear error handling.</t>
        </is>
      </c>
    </row>
    <row r="5">
      <c r="A5" s="4" t="inlineStr">
        <is>
          <t>Data Fetching</t>
        </is>
      </c>
      <c r="B5" s="4" t="inlineStr">
        <is>
          <t>TanStack Query</t>
        </is>
      </c>
      <c r="C5" s="4" t="inlineStr">
        <is>
          <t>Server-state caching, invalidation and background refresh for dashboards/logs.</t>
        </is>
      </c>
    </row>
    <row r="6">
      <c r="A6" s="4" t="inlineStr">
        <is>
          <t>Backend</t>
        </is>
      </c>
      <c r="B6" s="4" t="inlineStr">
        <is>
          <t>NestJS + TypeScript</t>
        </is>
      </c>
      <c r="C6" s="4" t="inlineStr">
        <is>
          <t>Structured modular backend, DI, guards, validation, testing and OpenAPI integration.</t>
        </is>
      </c>
    </row>
    <row r="7">
      <c r="A7" s="4" t="inlineStr">
        <is>
          <t>API</t>
        </is>
      </c>
      <c r="B7" s="4" t="inlineStr">
        <is>
          <t>REST + OpenAPI/Swagger</t>
        </is>
      </c>
      <c r="C7" s="4" t="inlineStr">
        <is>
          <t>Simple for web/admin integrations; documentation generated from backend code.</t>
        </is>
      </c>
    </row>
    <row r="8">
      <c r="A8" s="4" t="inlineStr">
        <is>
          <t>Database</t>
        </is>
      </c>
      <c r="B8" s="4" t="inlineStr">
        <is>
          <t>PostgreSQL</t>
        </is>
      </c>
      <c r="C8" s="4" t="inlineStr">
        <is>
          <t>Reliable transactional relational database well suited to attendance/time integrity.</t>
        </is>
      </c>
    </row>
    <row r="9" ht="27.6" customHeight="1">
      <c r="A9" s="4" t="inlineStr">
        <is>
          <t>ORM</t>
        </is>
      </c>
      <c r="B9" s="4" t="inlineStr">
        <is>
          <t>Prisma ORM</t>
        </is>
      </c>
      <c r="C9" s="4" t="inlineStr">
        <is>
          <t>Typed data access, migrations and developer productivity; validate concurrency-sensitive operations with explicit transactions/constraints.</t>
        </is>
      </c>
    </row>
    <row r="10" ht="27.6" customHeight="1">
      <c r="A10" s="4" t="inlineStr">
        <is>
          <t>Authentication</t>
        </is>
      </c>
      <c r="B10" s="4" t="inlineStr">
        <is>
          <t>Secure HttpOnly cookie-based access/refresh tokens or server session pattern</t>
        </is>
      </c>
      <c r="C10" s="4" t="inlineStr">
        <is>
          <t>Avoid storing sensitive auth tokens in localStorage; support rotation and revocation.</t>
        </is>
      </c>
    </row>
    <row r="11">
      <c r="A11" s="4" t="inlineStr">
        <is>
          <t>Password Hashing</t>
        </is>
      </c>
      <c r="B11" s="4" t="inlineStr">
        <is>
          <t>Argon2id</t>
        </is>
      </c>
      <c r="C11" s="4" t="inlineStr">
        <is>
          <t>Modern password hashing suitable for credential protection.</t>
        </is>
      </c>
    </row>
    <row r="12" ht="27.6" customHeight="1">
      <c r="A12" s="4" t="inlineStr">
        <is>
          <t>Live Status</t>
        </is>
      </c>
      <c r="B12" s="4" t="inlineStr">
        <is>
          <t>REST polling initially; optional WebSocket/SSE for admin live view</t>
        </is>
      </c>
      <c r="C12" s="4" t="inlineStr">
        <is>
          <t>Avoid unnecessary real-time complexity in MVP; timers are derived from server timestamps.</t>
        </is>
      </c>
    </row>
    <row r="13">
      <c r="A13" s="4" t="inlineStr">
        <is>
          <t>Testing</t>
        </is>
      </c>
      <c r="B13" s="4" t="inlineStr">
        <is>
          <t>Vitest/Jest + Supertest + Playwright</t>
        </is>
      </c>
      <c r="C13" s="4" t="inlineStr">
        <is>
          <t>Unit, API integration and browser end-to-end coverage.</t>
        </is>
      </c>
    </row>
    <row r="14">
      <c r="A14" s="4" t="inlineStr">
        <is>
          <t>Containerisation</t>
        </is>
      </c>
      <c r="B14" s="4" t="inlineStr">
        <is>
          <t>Docker + Docker Compose</t>
        </is>
      </c>
      <c r="C14" s="4" t="inlineStr">
        <is>
          <t>Reproducible development and deployment.</t>
        </is>
      </c>
    </row>
    <row r="15">
      <c r="A15" s="4" t="inlineStr">
        <is>
          <t>CI/CD</t>
        </is>
      </c>
      <c r="B15" s="4" t="inlineStr">
        <is>
          <t>GitHub Actions</t>
        </is>
      </c>
      <c r="C15" s="4" t="inlineStr">
        <is>
          <t>Build, lint, test, security scan and deployment automation.</t>
        </is>
      </c>
    </row>
    <row r="16">
      <c r="A16" s="4" t="inlineStr">
        <is>
          <t>Reverse Proxy</t>
        </is>
      </c>
      <c r="B16" s="4" t="inlineStr">
        <is>
          <t>Managed ingress or Nginx</t>
        </is>
      </c>
      <c r="C16" s="4" t="inlineStr">
        <is>
          <t>TLS termination/routing depending on hosting platform.</t>
        </is>
      </c>
    </row>
    <row r="17" ht="27.6" customHeight="1">
      <c r="A17" s="4" t="inlineStr">
        <is>
          <t>Production Hosting</t>
        </is>
      </c>
      <c r="B17" s="4" t="inlineStr">
        <is>
          <t>Azure Container Apps or AWS ECS/Fargate (provider-neutral Docker image)</t>
        </is>
      </c>
      <c r="C17" s="4" t="inlineStr">
        <is>
          <t>Managed container hosting with autoscaling and low operational overhead.</t>
        </is>
      </c>
    </row>
    <row r="18" ht="27.6" customHeight="1">
      <c r="A18" s="4" t="inlineStr">
        <is>
          <t>Managed Database</t>
        </is>
      </c>
      <c r="B18" s="4" t="inlineStr">
        <is>
          <t>Azure Database for PostgreSQL / AWS RDS PostgreSQL</t>
        </is>
      </c>
      <c r="C18" s="4" t="inlineStr">
        <is>
          <t>Backups, patching and managed availability.</t>
        </is>
      </c>
    </row>
    <row r="19" ht="27.6" customHeight="1">
      <c r="A19" s="4" t="inlineStr">
        <is>
          <t>Monitoring</t>
        </is>
      </c>
      <c r="B19" s="4" t="inlineStr">
        <is>
          <t>OpenTelemetry + platform monitoring/Sentry-compatible error tracking</t>
        </is>
      </c>
      <c r="C19" s="4" t="inlineStr">
        <is>
          <t>Centralised traces, logs, errors and performance visibility.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3.8"/>
  <cols>
    <col width="14" customWidth="1" min="1" max="1"/>
    <col width="46" customWidth="1" min="2" max="2"/>
    <col width="18" customWidth="1" min="3" max="3"/>
  </cols>
  <sheetData>
    <row r="1" ht="24" customHeight="1">
      <c r="A1" s="2" t="inlineStr">
        <is>
          <t>Screen ID</t>
        </is>
      </c>
      <c r="B1" s="2" t="inlineStr">
        <is>
          <t>Screen</t>
        </is>
      </c>
      <c r="C1" s="2" t="inlineStr">
        <is>
          <t>Delivery Status</t>
        </is>
      </c>
    </row>
    <row r="2">
      <c r="A2" s="4" t="inlineStr">
        <is>
          <t>SCR-001</t>
        </is>
      </c>
      <c r="B2" s="4" t="inlineStr">
        <is>
          <t>Login</t>
        </is>
      </c>
      <c r="C2" s="4" t="inlineStr">
        <is>
          <t>Not Started</t>
        </is>
      </c>
    </row>
    <row r="3">
      <c r="A3" s="4" t="inlineStr">
        <is>
          <t>SCR-002</t>
        </is>
      </c>
      <c r="B3" s="4" t="inlineStr">
        <is>
          <t>Registration</t>
        </is>
      </c>
      <c r="C3" s="4" t="inlineStr">
        <is>
          <t>Not Started</t>
        </is>
      </c>
    </row>
    <row r="4">
      <c r="A4" s="4" t="inlineStr">
        <is>
          <t>SCR-003</t>
        </is>
      </c>
      <c r="B4" s="4" t="inlineStr">
        <is>
          <t>Forgot/Reset Password</t>
        </is>
      </c>
      <c r="C4" s="4" t="inlineStr">
        <is>
          <t>Not Started</t>
        </is>
      </c>
    </row>
    <row r="5">
      <c r="A5" s="4" t="inlineStr">
        <is>
          <t>SCR-004</t>
        </is>
      </c>
      <c r="B5" s="4" t="inlineStr">
        <is>
          <t>Employee - My Day</t>
        </is>
      </c>
      <c r="C5" s="4" t="inlineStr">
        <is>
          <t>Not Started</t>
        </is>
      </c>
    </row>
    <row r="6">
      <c r="A6" s="4" t="inlineStr">
        <is>
          <t>SCR-005</t>
        </is>
      </c>
      <c r="B6" s="4" t="inlineStr">
        <is>
          <t>My Attendance History</t>
        </is>
      </c>
      <c r="C6" s="4" t="inlineStr">
        <is>
          <t>Not Started</t>
        </is>
      </c>
    </row>
    <row r="7">
      <c r="A7" s="4" t="inlineStr">
        <is>
          <t>SCR-006</t>
        </is>
      </c>
      <c r="B7" s="4" t="inlineStr">
        <is>
          <t>Attendance Day Detail / Timeline</t>
        </is>
      </c>
      <c r="C7" s="4" t="inlineStr">
        <is>
          <t>Not Started</t>
        </is>
      </c>
    </row>
    <row r="8">
      <c r="A8" s="4" t="inlineStr">
        <is>
          <t>SCR-007</t>
        </is>
      </c>
      <c r="B8" s="4" t="inlineStr">
        <is>
          <t>My Tasks</t>
        </is>
      </c>
      <c r="C8" s="4" t="inlineStr">
        <is>
          <t>Not Started</t>
        </is>
      </c>
    </row>
    <row r="9">
      <c r="A9" s="4" t="inlineStr">
        <is>
          <t>SCR-008</t>
        </is>
      </c>
      <c r="B9" s="4" t="inlineStr">
        <is>
          <t>Task Detail</t>
        </is>
      </c>
      <c r="C9" s="4" t="inlineStr">
        <is>
          <t>Not Started</t>
        </is>
      </c>
    </row>
    <row r="10">
      <c r="A10" s="4" t="inlineStr">
        <is>
          <t>SCR-009</t>
        </is>
      </c>
      <c r="B10" s="4" t="inlineStr">
        <is>
          <t>My Task Time History</t>
        </is>
      </c>
      <c r="C10" s="4" t="inlineStr">
        <is>
          <t>Not Started</t>
        </is>
      </c>
    </row>
    <row r="11">
      <c r="A11" s="4" t="inlineStr">
        <is>
          <t>SCR-010</t>
        </is>
      </c>
      <c r="B11" s="4" t="inlineStr">
        <is>
          <t>My Profile</t>
        </is>
      </c>
      <c r="C11" s="4" t="inlineStr">
        <is>
          <t>Not Started</t>
        </is>
      </c>
    </row>
    <row r="12">
      <c r="A12" s="4" t="inlineStr">
        <is>
          <t>SCR-011</t>
        </is>
      </c>
      <c r="B12" s="4" t="inlineStr">
        <is>
          <t>Admin Dashboard</t>
        </is>
      </c>
      <c r="C12" s="4" t="inlineStr">
        <is>
          <t>Not Started</t>
        </is>
      </c>
    </row>
    <row r="13">
      <c r="A13" s="4" t="inlineStr">
        <is>
          <t>SCR-012</t>
        </is>
      </c>
      <c r="B13" s="4" t="inlineStr">
        <is>
          <t>User Management</t>
        </is>
      </c>
      <c r="C13" s="4" t="inlineStr">
        <is>
          <t>Not Started</t>
        </is>
      </c>
    </row>
    <row r="14">
      <c r="A14" s="4" t="inlineStr">
        <is>
          <t>SCR-013</t>
        </is>
      </c>
      <c r="B14" s="4" t="inlineStr">
        <is>
          <t>User Detail</t>
        </is>
      </c>
      <c r="C14" s="4" t="inlineStr">
        <is>
          <t>Not Started</t>
        </is>
      </c>
    </row>
    <row r="15">
      <c r="A15" s="4" t="inlineStr">
        <is>
          <t>SCR-014</t>
        </is>
      </c>
      <c r="B15" s="4" t="inlineStr">
        <is>
          <t>Task Management</t>
        </is>
      </c>
      <c r="C15" s="4" t="inlineStr">
        <is>
          <t>Not Started</t>
        </is>
      </c>
    </row>
    <row r="16">
      <c r="A16" s="4" t="inlineStr">
        <is>
          <t>SCR-015</t>
        </is>
      </c>
      <c r="B16" s="4" t="inlineStr">
        <is>
          <t>Task Create/Edit</t>
        </is>
      </c>
      <c r="C16" s="4" t="inlineStr">
        <is>
          <t>Not Started</t>
        </is>
      </c>
    </row>
    <row r="17">
      <c r="A17" s="4" t="inlineStr">
        <is>
          <t>SCR-016</t>
        </is>
      </c>
      <c r="B17" s="4" t="inlineStr">
        <is>
          <t>Live Attendance</t>
        </is>
      </c>
      <c r="C17" s="4" t="inlineStr">
        <is>
          <t>Not Started</t>
        </is>
      </c>
    </row>
    <row r="18">
      <c r="A18" s="4" t="inlineStr">
        <is>
          <t>SCR-017</t>
        </is>
      </c>
      <c r="B18" s="4" t="inlineStr">
        <is>
          <t>Attendance Logs</t>
        </is>
      </c>
      <c r="C18" s="4" t="inlineStr">
        <is>
          <t>Not Started</t>
        </is>
      </c>
    </row>
    <row r="19">
      <c r="A19" s="4" t="inlineStr">
        <is>
          <t>SCR-018</t>
        </is>
      </c>
      <c r="B19" s="4" t="inlineStr">
        <is>
          <t>Correction Review</t>
        </is>
      </c>
      <c r="C19" s="4" t="inlineStr">
        <is>
          <t>Not Started</t>
        </is>
      </c>
    </row>
    <row r="20">
      <c r="A20" s="4" t="inlineStr">
        <is>
          <t>SCR-019</t>
        </is>
      </c>
      <c r="B20" s="4" t="inlineStr">
        <is>
          <t>Reports</t>
        </is>
      </c>
      <c r="C20" s="4" t="inlineStr">
        <is>
          <t>Not Started</t>
        </is>
      </c>
    </row>
    <row r="21">
      <c r="A21" s="4" t="inlineStr">
        <is>
          <t>SCR-020</t>
        </is>
      </c>
      <c r="B21" s="4" t="inlineStr">
        <is>
          <t>Audit Log</t>
        </is>
      </c>
      <c r="C21" s="4" t="inlineStr">
        <is>
          <t>Not Started</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3.8"/>
  <cols>
    <col width="12" customWidth="1" min="1" max="1"/>
    <col width="15" customWidth="1" min="2" max="2"/>
    <col width="14" customWidth="1" min="3" max="3"/>
    <col width="15" customWidth="1" min="4" max="4"/>
    <col width="16" customWidth="1" min="5" max="5"/>
    <col width="12" customWidth="1" min="6" max="8"/>
    <col width="18" customWidth="1" min="9" max="9"/>
    <col width="16" customWidth="1" min="10" max="10"/>
  </cols>
  <sheetData>
    <row r="1" ht="24" customHeight="1">
      <c r="A1" s="2" t="inlineStr">
        <is>
          <t>Epic ID</t>
        </is>
      </c>
      <c r="B1" s="2" t="inlineStr">
        <is>
          <t>Story ID</t>
        </is>
      </c>
      <c r="C1" s="2" t="inlineStr">
        <is>
          <t>SRS AC Count</t>
        </is>
      </c>
      <c r="D1" s="2" t="inlineStr">
        <is>
          <t>Tracker AC Count</t>
        </is>
      </c>
      <c r="E1" s="2" t="inlineStr">
        <is>
          <t>Story Status</t>
        </is>
      </c>
      <c r="F1" s="2" t="inlineStr">
        <is>
          <t>AC Tested</t>
        </is>
      </c>
      <c r="G1" s="2" t="inlineStr">
        <is>
          <t>AC Passed</t>
        </is>
      </c>
      <c r="H1" s="2" t="inlineStr">
        <is>
          <t>AC Failed</t>
        </is>
      </c>
      <c r="I1" s="2" t="inlineStr">
        <is>
          <t>Traceability</t>
        </is>
      </c>
      <c r="J1" s="2" t="inlineStr">
        <is>
          <t>QA Completion %</t>
        </is>
      </c>
    </row>
    <row r="2">
      <c r="A2" s="4" t="inlineStr">
        <is>
          <t>EP-001</t>
        </is>
      </c>
      <c r="B2" s="4" t="inlineStr">
        <is>
          <t>US-001-001</t>
        </is>
      </c>
      <c r="C2" s="4" t="n">
        <v>4</v>
      </c>
      <c r="D2" s="4">
        <f>COUNTIF('Acceptance Criteria'!B:B,B2)</f>
        <v/>
      </c>
      <c r="E2" s="4">
        <f>VLOOKUP(B2,'User Stories'!A:L,12,FALSE)</f>
        <v/>
      </c>
      <c r="F2" s="4">
        <f>COUNTIFS('Acceptance Criteria'!B:B,B2,'Acceptance Criteria'!F:F,"&lt;&gt;Not Tested")</f>
        <v/>
      </c>
      <c r="G2" s="4">
        <f>COUNTIFS('Acceptance Criteria'!B:B,B2,'Acceptance Criteria'!F:F,"Pass")</f>
        <v/>
      </c>
      <c r="H2" s="4">
        <f>COUNTIFS('Acceptance Criteria'!B:B,B2,'Acceptance Criteria'!F:F,"Fail")</f>
        <v/>
      </c>
      <c r="I2" s="4">
        <f>IF(C2=D2,"Linked","Mismatch")</f>
        <v/>
      </c>
      <c r="J2" s="5">
        <f>IF(C2=0,0,G2/C2)</f>
        <v/>
      </c>
    </row>
    <row r="3">
      <c r="A3" s="4" t="inlineStr">
        <is>
          <t>EP-001</t>
        </is>
      </c>
      <c r="B3" s="4" t="inlineStr">
        <is>
          <t>US-001-002</t>
        </is>
      </c>
      <c r="C3" s="4" t="n">
        <v>4</v>
      </c>
      <c r="D3" s="4">
        <f>COUNTIF('Acceptance Criteria'!B:B,B3)</f>
        <v/>
      </c>
      <c r="E3" s="4">
        <f>VLOOKUP(B3,'User Stories'!A:L,12,FALSE)</f>
        <v/>
      </c>
      <c r="F3" s="4">
        <f>COUNTIFS('Acceptance Criteria'!B:B,B3,'Acceptance Criteria'!F:F,"&lt;&gt;Not Tested")</f>
        <v/>
      </c>
      <c r="G3" s="4">
        <f>COUNTIFS('Acceptance Criteria'!B:B,B3,'Acceptance Criteria'!F:F,"Pass")</f>
        <v/>
      </c>
      <c r="H3" s="4">
        <f>COUNTIFS('Acceptance Criteria'!B:B,B3,'Acceptance Criteria'!F:F,"Fail")</f>
        <v/>
      </c>
      <c r="I3" s="4">
        <f>IF(C3=D3,"Linked","Mismatch")</f>
        <v/>
      </c>
      <c r="J3" s="5">
        <f>IF(C3=0,0,G3/C3)</f>
        <v/>
      </c>
    </row>
    <row r="4">
      <c r="A4" s="4" t="inlineStr">
        <is>
          <t>EP-001</t>
        </is>
      </c>
      <c r="B4" s="4" t="inlineStr">
        <is>
          <t>US-001-003</t>
        </is>
      </c>
      <c r="C4" s="4" t="n">
        <v>4</v>
      </c>
      <c r="D4" s="4">
        <f>COUNTIF('Acceptance Criteria'!B:B,B4)</f>
        <v/>
      </c>
      <c r="E4" s="4">
        <f>VLOOKUP(B4,'User Stories'!A:L,12,FALSE)</f>
        <v/>
      </c>
      <c r="F4" s="4">
        <f>COUNTIFS('Acceptance Criteria'!B:B,B4,'Acceptance Criteria'!F:F,"&lt;&gt;Not Tested")</f>
        <v/>
      </c>
      <c r="G4" s="4">
        <f>COUNTIFS('Acceptance Criteria'!B:B,B4,'Acceptance Criteria'!F:F,"Pass")</f>
        <v/>
      </c>
      <c r="H4" s="4">
        <f>COUNTIFS('Acceptance Criteria'!B:B,B4,'Acceptance Criteria'!F:F,"Fail")</f>
        <v/>
      </c>
      <c r="I4" s="4">
        <f>IF(C4=D4,"Linked","Mismatch")</f>
        <v/>
      </c>
      <c r="J4" s="5">
        <f>IF(C4=0,0,G4/C4)</f>
        <v/>
      </c>
    </row>
    <row r="5">
      <c r="A5" s="4" t="inlineStr">
        <is>
          <t>EP-001</t>
        </is>
      </c>
      <c r="B5" s="4" t="inlineStr">
        <is>
          <t>US-001-004</t>
        </is>
      </c>
      <c r="C5" s="4" t="n">
        <v>4</v>
      </c>
      <c r="D5" s="4">
        <f>COUNTIF('Acceptance Criteria'!B:B,B5)</f>
        <v/>
      </c>
      <c r="E5" s="4">
        <f>VLOOKUP(B5,'User Stories'!A:L,12,FALSE)</f>
        <v/>
      </c>
      <c r="F5" s="4">
        <f>COUNTIFS('Acceptance Criteria'!B:B,B5,'Acceptance Criteria'!F:F,"&lt;&gt;Not Tested")</f>
        <v/>
      </c>
      <c r="G5" s="4">
        <f>COUNTIFS('Acceptance Criteria'!B:B,B5,'Acceptance Criteria'!F:F,"Pass")</f>
        <v/>
      </c>
      <c r="H5" s="4">
        <f>COUNTIFS('Acceptance Criteria'!B:B,B5,'Acceptance Criteria'!F:F,"Fail")</f>
        <v/>
      </c>
      <c r="I5" s="4">
        <f>IF(C5=D5,"Linked","Mismatch")</f>
        <v/>
      </c>
      <c r="J5" s="5">
        <f>IF(C5=0,0,G5/C5)</f>
        <v/>
      </c>
    </row>
    <row r="6">
      <c r="A6" s="4" t="inlineStr">
        <is>
          <t>EP-001</t>
        </is>
      </c>
      <c r="B6" s="4" t="inlineStr">
        <is>
          <t>US-001-005</t>
        </is>
      </c>
      <c r="C6" s="4" t="n">
        <v>4</v>
      </c>
      <c r="D6" s="4">
        <f>COUNTIF('Acceptance Criteria'!B:B,B6)</f>
        <v/>
      </c>
      <c r="E6" s="4">
        <f>VLOOKUP(B6,'User Stories'!A:L,12,FALSE)</f>
        <v/>
      </c>
      <c r="F6" s="4">
        <f>COUNTIFS('Acceptance Criteria'!B:B,B6,'Acceptance Criteria'!F:F,"&lt;&gt;Not Tested")</f>
        <v/>
      </c>
      <c r="G6" s="4">
        <f>COUNTIFS('Acceptance Criteria'!B:B,B6,'Acceptance Criteria'!F:F,"Pass")</f>
        <v/>
      </c>
      <c r="H6" s="4">
        <f>COUNTIFS('Acceptance Criteria'!B:B,B6,'Acceptance Criteria'!F:F,"Fail")</f>
        <v/>
      </c>
      <c r="I6" s="4">
        <f>IF(C6=D6,"Linked","Mismatch")</f>
        <v/>
      </c>
      <c r="J6" s="5">
        <f>IF(C6=0,0,G6/C6)</f>
        <v/>
      </c>
    </row>
    <row r="7">
      <c r="A7" s="4" t="inlineStr">
        <is>
          <t>EP-001</t>
        </is>
      </c>
      <c r="B7" s="4" t="inlineStr">
        <is>
          <t>US-001-006</t>
        </is>
      </c>
      <c r="C7" s="4" t="n">
        <v>4</v>
      </c>
      <c r="D7" s="4">
        <f>COUNTIF('Acceptance Criteria'!B:B,B7)</f>
        <v/>
      </c>
      <c r="E7" s="4">
        <f>VLOOKUP(B7,'User Stories'!A:L,12,FALSE)</f>
        <v/>
      </c>
      <c r="F7" s="4">
        <f>COUNTIFS('Acceptance Criteria'!B:B,B7,'Acceptance Criteria'!F:F,"&lt;&gt;Not Tested")</f>
        <v/>
      </c>
      <c r="G7" s="4">
        <f>COUNTIFS('Acceptance Criteria'!B:B,B7,'Acceptance Criteria'!F:F,"Pass")</f>
        <v/>
      </c>
      <c r="H7" s="4">
        <f>COUNTIFS('Acceptance Criteria'!B:B,B7,'Acceptance Criteria'!F:F,"Fail")</f>
        <v/>
      </c>
      <c r="I7" s="4">
        <f>IF(C7=D7,"Linked","Mismatch")</f>
        <v/>
      </c>
      <c r="J7" s="5">
        <f>IF(C7=0,0,G7/C7)</f>
        <v/>
      </c>
    </row>
    <row r="8">
      <c r="A8" s="4" t="inlineStr">
        <is>
          <t>EP-001</t>
        </is>
      </c>
      <c r="B8" s="4" t="inlineStr">
        <is>
          <t>US-001-007</t>
        </is>
      </c>
      <c r="C8" s="4" t="n">
        <v>4</v>
      </c>
      <c r="D8" s="4">
        <f>COUNTIF('Acceptance Criteria'!B:B,B8)</f>
        <v/>
      </c>
      <c r="E8" s="4">
        <f>VLOOKUP(B8,'User Stories'!A:L,12,FALSE)</f>
        <v/>
      </c>
      <c r="F8" s="4">
        <f>COUNTIFS('Acceptance Criteria'!B:B,B8,'Acceptance Criteria'!F:F,"&lt;&gt;Not Tested")</f>
        <v/>
      </c>
      <c r="G8" s="4">
        <f>COUNTIFS('Acceptance Criteria'!B:B,B8,'Acceptance Criteria'!F:F,"Pass")</f>
        <v/>
      </c>
      <c r="H8" s="4">
        <f>COUNTIFS('Acceptance Criteria'!B:B,B8,'Acceptance Criteria'!F:F,"Fail")</f>
        <v/>
      </c>
      <c r="I8" s="4">
        <f>IF(C8=D8,"Linked","Mismatch")</f>
        <v/>
      </c>
      <c r="J8" s="5">
        <f>IF(C8=0,0,G8/C8)</f>
        <v/>
      </c>
    </row>
    <row r="9">
      <c r="A9" s="4" t="inlineStr">
        <is>
          <t>EP-002</t>
        </is>
      </c>
      <c r="B9" s="4" t="inlineStr">
        <is>
          <t>US-002-001</t>
        </is>
      </c>
      <c r="C9" s="4" t="n">
        <v>4</v>
      </c>
      <c r="D9" s="4">
        <f>COUNTIF('Acceptance Criteria'!B:B,B9)</f>
        <v/>
      </c>
      <c r="E9" s="4">
        <f>VLOOKUP(B9,'User Stories'!A:L,12,FALSE)</f>
        <v/>
      </c>
      <c r="F9" s="4">
        <f>COUNTIFS('Acceptance Criteria'!B:B,B9,'Acceptance Criteria'!F:F,"&lt;&gt;Not Tested")</f>
        <v/>
      </c>
      <c r="G9" s="4">
        <f>COUNTIFS('Acceptance Criteria'!B:B,B9,'Acceptance Criteria'!F:F,"Pass")</f>
        <v/>
      </c>
      <c r="H9" s="4">
        <f>COUNTIFS('Acceptance Criteria'!B:B,B9,'Acceptance Criteria'!F:F,"Fail")</f>
        <v/>
      </c>
      <c r="I9" s="4">
        <f>IF(C9=D9,"Linked","Mismatch")</f>
        <v/>
      </c>
      <c r="J9" s="5">
        <f>IF(C9=0,0,G9/C9)</f>
        <v/>
      </c>
    </row>
    <row r="10">
      <c r="A10" s="4" t="inlineStr">
        <is>
          <t>EP-002</t>
        </is>
      </c>
      <c r="B10" s="4" t="inlineStr">
        <is>
          <t>US-002-002</t>
        </is>
      </c>
      <c r="C10" s="4" t="n">
        <v>4</v>
      </c>
      <c r="D10" s="4">
        <f>COUNTIF('Acceptance Criteria'!B:B,B10)</f>
        <v/>
      </c>
      <c r="E10" s="4">
        <f>VLOOKUP(B10,'User Stories'!A:L,12,FALSE)</f>
        <v/>
      </c>
      <c r="F10" s="4">
        <f>COUNTIFS('Acceptance Criteria'!B:B,B10,'Acceptance Criteria'!F:F,"&lt;&gt;Not Tested")</f>
        <v/>
      </c>
      <c r="G10" s="4">
        <f>COUNTIFS('Acceptance Criteria'!B:B,B10,'Acceptance Criteria'!F:F,"Pass")</f>
        <v/>
      </c>
      <c r="H10" s="4">
        <f>COUNTIFS('Acceptance Criteria'!B:B,B10,'Acceptance Criteria'!F:F,"Fail")</f>
        <v/>
      </c>
      <c r="I10" s="4">
        <f>IF(C10=D10,"Linked","Mismatch")</f>
        <v/>
      </c>
      <c r="J10" s="5">
        <f>IF(C10=0,0,G10/C10)</f>
        <v/>
      </c>
    </row>
    <row r="11">
      <c r="A11" s="4" t="inlineStr">
        <is>
          <t>EP-002</t>
        </is>
      </c>
      <c r="B11" s="4" t="inlineStr">
        <is>
          <t>US-002-003</t>
        </is>
      </c>
      <c r="C11" s="4" t="n">
        <v>4</v>
      </c>
      <c r="D11" s="4">
        <f>COUNTIF('Acceptance Criteria'!B:B,B11)</f>
        <v/>
      </c>
      <c r="E11" s="4">
        <f>VLOOKUP(B11,'User Stories'!A:L,12,FALSE)</f>
        <v/>
      </c>
      <c r="F11" s="4">
        <f>COUNTIFS('Acceptance Criteria'!B:B,B11,'Acceptance Criteria'!F:F,"&lt;&gt;Not Tested")</f>
        <v/>
      </c>
      <c r="G11" s="4">
        <f>COUNTIFS('Acceptance Criteria'!B:B,B11,'Acceptance Criteria'!F:F,"Pass")</f>
        <v/>
      </c>
      <c r="H11" s="4">
        <f>COUNTIFS('Acceptance Criteria'!B:B,B11,'Acceptance Criteria'!F:F,"Fail")</f>
        <v/>
      </c>
      <c r="I11" s="4">
        <f>IF(C11=D11,"Linked","Mismatch")</f>
        <v/>
      </c>
      <c r="J11" s="5">
        <f>IF(C11=0,0,G11/C11)</f>
        <v/>
      </c>
    </row>
    <row r="12">
      <c r="A12" s="4" t="inlineStr">
        <is>
          <t>EP-002</t>
        </is>
      </c>
      <c r="B12" s="4" t="inlineStr">
        <is>
          <t>US-002-004</t>
        </is>
      </c>
      <c r="C12" s="4" t="n">
        <v>4</v>
      </c>
      <c r="D12" s="4">
        <f>COUNTIF('Acceptance Criteria'!B:B,B12)</f>
        <v/>
      </c>
      <c r="E12" s="4">
        <f>VLOOKUP(B12,'User Stories'!A:L,12,FALSE)</f>
        <v/>
      </c>
      <c r="F12" s="4">
        <f>COUNTIFS('Acceptance Criteria'!B:B,B12,'Acceptance Criteria'!F:F,"&lt;&gt;Not Tested")</f>
        <v/>
      </c>
      <c r="G12" s="4">
        <f>COUNTIFS('Acceptance Criteria'!B:B,B12,'Acceptance Criteria'!F:F,"Pass")</f>
        <v/>
      </c>
      <c r="H12" s="4">
        <f>COUNTIFS('Acceptance Criteria'!B:B,B12,'Acceptance Criteria'!F:F,"Fail")</f>
        <v/>
      </c>
      <c r="I12" s="4">
        <f>IF(C12=D12,"Linked","Mismatch")</f>
        <v/>
      </c>
      <c r="J12" s="5">
        <f>IF(C12=0,0,G12/C12)</f>
        <v/>
      </c>
    </row>
    <row r="13">
      <c r="A13" s="4" t="inlineStr">
        <is>
          <t>EP-002</t>
        </is>
      </c>
      <c r="B13" s="4" t="inlineStr">
        <is>
          <t>US-002-005</t>
        </is>
      </c>
      <c r="C13" s="4" t="n">
        <v>4</v>
      </c>
      <c r="D13" s="4">
        <f>COUNTIF('Acceptance Criteria'!B:B,B13)</f>
        <v/>
      </c>
      <c r="E13" s="4">
        <f>VLOOKUP(B13,'User Stories'!A:L,12,FALSE)</f>
        <v/>
      </c>
      <c r="F13" s="4">
        <f>COUNTIFS('Acceptance Criteria'!B:B,B13,'Acceptance Criteria'!F:F,"&lt;&gt;Not Tested")</f>
        <v/>
      </c>
      <c r="G13" s="4">
        <f>COUNTIFS('Acceptance Criteria'!B:B,B13,'Acceptance Criteria'!F:F,"Pass")</f>
        <v/>
      </c>
      <c r="H13" s="4">
        <f>COUNTIFS('Acceptance Criteria'!B:B,B13,'Acceptance Criteria'!F:F,"Fail")</f>
        <v/>
      </c>
      <c r="I13" s="4">
        <f>IF(C13=D13,"Linked","Mismatch")</f>
        <v/>
      </c>
      <c r="J13" s="5">
        <f>IF(C13=0,0,G13/C13)</f>
        <v/>
      </c>
    </row>
    <row r="14">
      <c r="A14" s="4" t="inlineStr">
        <is>
          <t>EP-002</t>
        </is>
      </c>
      <c r="B14" s="4" t="inlineStr">
        <is>
          <t>US-002-006</t>
        </is>
      </c>
      <c r="C14" s="4" t="n">
        <v>4</v>
      </c>
      <c r="D14" s="4">
        <f>COUNTIF('Acceptance Criteria'!B:B,B14)</f>
        <v/>
      </c>
      <c r="E14" s="4">
        <f>VLOOKUP(B14,'User Stories'!A:L,12,FALSE)</f>
        <v/>
      </c>
      <c r="F14" s="4">
        <f>COUNTIFS('Acceptance Criteria'!B:B,B14,'Acceptance Criteria'!F:F,"&lt;&gt;Not Tested")</f>
        <v/>
      </c>
      <c r="G14" s="4">
        <f>COUNTIFS('Acceptance Criteria'!B:B,B14,'Acceptance Criteria'!F:F,"Pass")</f>
        <v/>
      </c>
      <c r="H14" s="4">
        <f>COUNTIFS('Acceptance Criteria'!B:B,B14,'Acceptance Criteria'!F:F,"Fail")</f>
        <v/>
      </c>
      <c r="I14" s="4">
        <f>IF(C14=D14,"Linked","Mismatch")</f>
        <v/>
      </c>
      <c r="J14" s="5">
        <f>IF(C14=0,0,G14/C14)</f>
        <v/>
      </c>
    </row>
    <row r="15">
      <c r="A15" s="4" t="inlineStr">
        <is>
          <t>EP-003</t>
        </is>
      </c>
      <c r="B15" s="4" t="inlineStr">
        <is>
          <t>US-003-001</t>
        </is>
      </c>
      <c r="C15" s="4" t="n">
        <v>4</v>
      </c>
      <c r="D15" s="4">
        <f>COUNTIF('Acceptance Criteria'!B:B,B15)</f>
        <v/>
      </c>
      <c r="E15" s="4">
        <f>VLOOKUP(B15,'User Stories'!A:L,12,FALSE)</f>
        <v/>
      </c>
      <c r="F15" s="4">
        <f>COUNTIFS('Acceptance Criteria'!B:B,B15,'Acceptance Criteria'!F:F,"&lt;&gt;Not Tested")</f>
        <v/>
      </c>
      <c r="G15" s="4">
        <f>COUNTIFS('Acceptance Criteria'!B:B,B15,'Acceptance Criteria'!F:F,"Pass")</f>
        <v/>
      </c>
      <c r="H15" s="4">
        <f>COUNTIFS('Acceptance Criteria'!B:B,B15,'Acceptance Criteria'!F:F,"Fail")</f>
        <v/>
      </c>
      <c r="I15" s="4">
        <f>IF(C15=D15,"Linked","Mismatch")</f>
        <v/>
      </c>
      <c r="J15" s="5">
        <f>IF(C15=0,0,G15/C15)</f>
        <v/>
      </c>
    </row>
    <row r="16">
      <c r="A16" s="4" t="inlineStr">
        <is>
          <t>EP-003</t>
        </is>
      </c>
      <c r="B16" s="4" t="inlineStr">
        <is>
          <t>US-003-002</t>
        </is>
      </c>
      <c r="C16" s="4" t="n">
        <v>4</v>
      </c>
      <c r="D16" s="4">
        <f>COUNTIF('Acceptance Criteria'!B:B,B16)</f>
        <v/>
      </c>
      <c r="E16" s="4">
        <f>VLOOKUP(B16,'User Stories'!A:L,12,FALSE)</f>
        <v/>
      </c>
      <c r="F16" s="4">
        <f>COUNTIFS('Acceptance Criteria'!B:B,B16,'Acceptance Criteria'!F:F,"&lt;&gt;Not Tested")</f>
        <v/>
      </c>
      <c r="G16" s="4">
        <f>COUNTIFS('Acceptance Criteria'!B:B,B16,'Acceptance Criteria'!F:F,"Pass")</f>
        <v/>
      </c>
      <c r="H16" s="4">
        <f>COUNTIFS('Acceptance Criteria'!B:B,B16,'Acceptance Criteria'!F:F,"Fail")</f>
        <v/>
      </c>
      <c r="I16" s="4">
        <f>IF(C16=D16,"Linked","Mismatch")</f>
        <v/>
      </c>
      <c r="J16" s="5">
        <f>IF(C16=0,0,G16/C16)</f>
        <v/>
      </c>
    </row>
    <row r="17">
      <c r="A17" s="4" t="inlineStr">
        <is>
          <t>EP-003</t>
        </is>
      </c>
      <c r="B17" s="4" t="inlineStr">
        <is>
          <t>US-003-003</t>
        </is>
      </c>
      <c r="C17" s="4" t="n">
        <v>4</v>
      </c>
      <c r="D17" s="4">
        <f>COUNTIF('Acceptance Criteria'!B:B,B17)</f>
        <v/>
      </c>
      <c r="E17" s="4">
        <f>VLOOKUP(B17,'User Stories'!A:L,12,FALSE)</f>
        <v/>
      </c>
      <c r="F17" s="4">
        <f>COUNTIFS('Acceptance Criteria'!B:B,B17,'Acceptance Criteria'!F:F,"&lt;&gt;Not Tested")</f>
        <v/>
      </c>
      <c r="G17" s="4">
        <f>COUNTIFS('Acceptance Criteria'!B:B,B17,'Acceptance Criteria'!F:F,"Pass")</f>
        <v/>
      </c>
      <c r="H17" s="4">
        <f>COUNTIFS('Acceptance Criteria'!B:B,B17,'Acceptance Criteria'!F:F,"Fail")</f>
        <v/>
      </c>
      <c r="I17" s="4">
        <f>IF(C17=D17,"Linked","Mismatch")</f>
        <v/>
      </c>
      <c r="J17" s="5">
        <f>IF(C17=0,0,G17/C17)</f>
        <v/>
      </c>
    </row>
    <row r="18">
      <c r="A18" s="4" t="inlineStr">
        <is>
          <t>EP-003</t>
        </is>
      </c>
      <c r="B18" s="4" t="inlineStr">
        <is>
          <t>US-003-004</t>
        </is>
      </c>
      <c r="C18" s="4" t="n">
        <v>4</v>
      </c>
      <c r="D18" s="4">
        <f>COUNTIF('Acceptance Criteria'!B:B,B18)</f>
        <v/>
      </c>
      <c r="E18" s="4">
        <f>VLOOKUP(B18,'User Stories'!A:L,12,FALSE)</f>
        <v/>
      </c>
      <c r="F18" s="4">
        <f>COUNTIFS('Acceptance Criteria'!B:B,B18,'Acceptance Criteria'!F:F,"&lt;&gt;Not Tested")</f>
        <v/>
      </c>
      <c r="G18" s="4">
        <f>COUNTIFS('Acceptance Criteria'!B:B,B18,'Acceptance Criteria'!F:F,"Pass")</f>
        <v/>
      </c>
      <c r="H18" s="4">
        <f>COUNTIFS('Acceptance Criteria'!B:B,B18,'Acceptance Criteria'!F:F,"Fail")</f>
        <v/>
      </c>
      <c r="I18" s="4">
        <f>IF(C18=D18,"Linked","Mismatch")</f>
        <v/>
      </c>
      <c r="J18" s="5">
        <f>IF(C18=0,0,G18/C18)</f>
        <v/>
      </c>
    </row>
    <row r="19">
      <c r="A19" s="4" t="inlineStr">
        <is>
          <t>EP-003</t>
        </is>
      </c>
      <c r="B19" s="4" t="inlineStr">
        <is>
          <t>US-003-005</t>
        </is>
      </c>
      <c r="C19" s="4" t="n">
        <v>4</v>
      </c>
      <c r="D19" s="4">
        <f>COUNTIF('Acceptance Criteria'!B:B,B19)</f>
        <v/>
      </c>
      <c r="E19" s="4">
        <f>VLOOKUP(B19,'User Stories'!A:L,12,FALSE)</f>
        <v/>
      </c>
      <c r="F19" s="4">
        <f>COUNTIFS('Acceptance Criteria'!B:B,B19,'Acceptance Criteria'!F:F,"&lt;&gt;Not Tested")</f>
        <v/>
      </c>
      <c r="G19" s="4">
        <f>COUNTIFS('Acceptance Criteria'!B:B,B19,'Acceptance Criteria'!F:F,"Pass")</f>
        <v/>
      </c>
      <c r="H19" s="4">
        <f>COUNTIFS('Acceptance Criteria'!B:B,B19,'Acceptance Criteria'!F:F,"Fail")</f>
        <v/>
      </c>
      <c r="I19" s="4">
        <f>IF(C19=D19,"Linked","Mismatch")</f>
        <v/>
      </c>
      <c r="J19" s="5">
        <f>IF(C19=0,0,G19/C19)</f>
        <v/>
      </c>
    </row>
    <row r="20">
      <c r="A20" s="4" t="inlineStr">
        <is>
          <t>EP-003</t>
        </is>
      </c>
      <c r="B20" s="4" t="inlineStr">
        <is>
          <t>US-003-006</t>
        </is>
      </c>
      <c r="C20" s="4" t="n">
        <v>4</v>
      </c>
      <c r="D20" s="4">
        <f>COUNTIF('Acceptance Criteria'!B:B,B20)</f>
        <v/>
      </c>
      <c r="E20" s="4">
        <f>VLOOKUP(B20,'User Stories'!A:L,12,FALSE)</f>
        <v/>
      </c>
      <c r="F20" s="4">
        <f>COUNTIFS('Acceptance Criteria'!B:B,B20,'Acceptance Criteria'!F:F,"&lt;&gt;Not Tested")</f>
        <v/>
      </c>
      <c r="G20" s="4">
        <f>COUNTIFS('Acceptance Criteria'!B:B,B20,'Acceptance Criteria'!F:F,"Pass")</f>
        <v/>
      </c>
      <c r="H20" s="4">
        <f>COUNTIFS('Acceptance Criteria'!B:B,B20,'Acceptance Criteria'!F:F,"Fail")</f>
        <v/>
      </c>
      <c r="I20" s="4">
        <f>IF(C20=D20,"Linked","Mismatch")</f>
        <v/>
      </c>
      <c r="J20" s="5">
        <f>IF(C20=0,0,G20/C20)</f>
        <v/>
      </c>
    </row>
    <row r="21">
      <c r="A21" s="4" t="inlineStr">
        <is>
          <t>EP-003</t>
        </is>
      </c>
      <c r="B21" s="4" t="inlineStr">
        <is>
          <t>US-003-007</t>
        </is>
      </c>
      <c r="C21" s="4" t="n">
        <v>4</v>
      </c>
      <c r="D21" s="4">
        <f>COUNTIF('Acceptance Criteria'!B:B,B21)</f>
        <v/>
      </c>
      <c r="E21" s="4">
        <f>VLOOKUP(B21,'User Stories'!A:L,12,FALSE)</f>
        <v/>
      </c>
      <c r="F21" s="4">
        <f>COUNTIFS('Acceptance Criteria'!B:B,B21,'Acceptance Criteria'!F:F,"&lt;&gt;Not Tested")</f>
        <v/>
      </c>
      <c r="G21" s="4">
        <f>COUNTIFS('Acceptance Criteria'!B:B,B21,'Acceptance Criteria'!F:F,"Pass")</f>
        <v/>
      </c>
      <c r="H21" s="4">
        <f>COUNTIFS('Acceptance Criteria'!B:B,B21,'Acceptance Criteria'!F:F,"Fail")</f>
        <v/>
      </c>
      <c r="I21" s="4">
        <f>IF(C21=D21,"Linked","Mismatch")</f>
        <v/>
      </c>
      <c r="J21" s="5">
        <f>IF(C21=0,0,G21/C21)</f>
        <v/>
      </c>
    </row>
    <row r="22">
      <c r="A22" s="4" t="inlineStr">
        <is>
          <t>EP-003</t>
        </is>
      </c>
      <c r="B22" s="4" t="inlineStr">
        <is>
          <t>US-003-008</t>
        </is>
      </c>
      <c r="C22" s="4" t="n">
        <v>4</v>
      </c>
      <c r="D22" s="4">
        <f>COUNTIF('Acceptance Criteria'!B:B,B22)</f>
        <v/>
      </c>
      <c r="E22" s="4">
        <f>VLOOKUP(B22,'User Stories'!A:L,12,FALSE)</f>
        <v/>
      </c>
      <c r="F22" s="4">
        <f>COUNTIFS('Acceptance Criteria'!B:B,B22,'Acceptance Criteria'!F:F,"&lt;&gt;Not Tested")</f>
        <v/>
      </c>
      <c r="G22" s="4">
        <f>COUNTIFS('Acceptance Criteria'!B:B,B22,'Acceptance Criteria'!F:F,"Pass")</f>
        <v/>
      </c>
      <c r="H22" s="4">
        <f>COUNTIFS('Acceptance Criteria'!B:B,B22,'Acceptance Criteria'!F:F,"Fail")</f>
        <v/>
      </c>
      <c r="I22" s="4">
        <f>IF(C22=D22,"Linked","Mismatch")</f>
        <v/>
      </c>
      <c r="J22" s="5">
        <f>IF(C22=0,0,G22/C22)</f>
        <v/>
      </c>
    </row>
    <row r="23">
      <c r="A23" s="4" t="inlineStr">
        <is>
          <t>EP-004</t>
        </is>
      </c>
      <c r="B23" s="4" t="inlineStr">
        <is>
          <t>US-004-001</t>
        </is>
      </c>
      <c r="C23" s="4" t="n">
        <v>4</v>
      </c>
      <c r="D23" s="4">
        <f>COUNTIF('Acceptance Criteria'!B:B,B23)</f>
        <v/>
      </c>
      <c r="E23" s="4">
        <f>VLOOKUP(B23,'User Stories'!A:L,12,FALSE)</f>
        <v/>
      </c>
      <c r="F23" s="4">
        <f>COUNTIFS('Acceptance Criteria'!B:B,B23,'Acceptance Criteria'!F:F,"&lt;&gt;Not Tested")</f>
        <v/>
      </c>
      <c r="G23" s="4">
        <f>COUNTIFS('Acceptance Criteria'!B:B,B23,'Acceptance Criteria'!F:F,"Pass")</f>
        <v/>
      </c>
      <c r="H23" s="4">
        <f>COUNTIFS('Acceptance Criteria'!B:B,B23,'Acceptance Criteria'!F:F,"Fail")</f>
        <v/>
      </c>
      <c r="I23" s="4">
        <f>IF(C23=D23,"Linked","Mismatch")</f>
        <v/>
      </c>
      <c r="J23" s="5">
        <f>IF(C23=0,0,G23/C23)</f>
        <v/>
      </c>
    </row>
    <row r="24">
      <c r="A24" s="4" t="inlineStr">
        <is>
          <t>EP-004</t>
        </is>
      </c>
      <c r="B24" s="4" t="inlineStr">
        <is>
          <t>US-004-002</t>
        </is>
      </c>
      <c r="C24" s="4" t="n">
        <v>4</v>
      </c>
      <c r="D24" s="4">
        <f>COUNTIF('Acceptance Criteria'!B:B,B24)</f>
        <v/>
      </c>
      <c r="E24" s="4">
        <f>VLOOKUP(B24,'User Stories'!A:L,12,FALSE)</f>
        <v/>
      </c>
      <c r="F24" s="4">
        <f>COUNTIFS('Acceptance Criteria'!B:B,B24,'Acceptance Criteria'!F:F,"&lt;&gt;Not Tested")</f>
        <v/>
      </c>
      <c r="G24" s="4">
        <f>COUNTIFS('Acceptance Criteria'!B:B,B24,'Acceptance Criteria'!F:F,"Pass")</f>
        <v/>
      </c>
      <c r="H24" s="4">
        <f>COUNTIFS('Acceptance Criteria'!B:B,B24,'Acceptance Criteria'!F:F,"Fail")</f>
        <v/>
      </c>
      <c r="I24" s="4">
        <f>IF(C24=D24,"Linked","Mismatch")</f>
        <v/>
      </c>
      <c r="J24" s="5">
        <f>IF(C24=0,0,G24/C24)</f>
        <v/>
      </c>
    </row>
    <row r="25">
      <c r="A25" s="4" t="inlineStr">
        <is>
          <t>EP-004</t>
        </is>
      </c>
      <c r="B25" s="4" t="inlineStr">
        <is>
          <t>US-004-003</t>
        </is>
      </c>
      <c r="C25" s="4" t="n">
        <v>4</v>
      </c>
      <c r="D25" s="4">
        <f>COUNTIF('Acceptance Criteria'!B:B,B25)</f>
        <v/>
      </c>
      <c r="E25" s="4">
        <f>VLOOKUP(B25,'User Stories'!A:L,12,FALSE)</f>
        <v/>
      </c>
      <c r="F25" s="4">
        <f>COUNTIFS('Acceptance Criteria'!B:B,B25,'Acceptance Criteria'!F:F,"&lt;&gt;Not Tested")</f>
        <v/>
      </c>
      <c r="G25" s="4">
        <f>COUNTIFS('Acceptance Criteria'!B:B,B25,'Acceptance Criteria'!F:F,"Pass")</f>
        <v/>
      </c>
      <c r="H25" s="4">
        <f>COUNTIFS('Acceptance Criteria'!B:B,B25,'Acceptance Criteria'!F:F,"Fail")</f>
        <v/>
      </c>
      <c r="I25" s="4">
        <f>IF(C25=D25,"Linked","Mismatch")</f>
        <v/>
      </c>
      <c r="J25" s="5">
        <f>IF(C25=0,0,G25/C25)</f>
        <v/>
      </c>
    </row>
    <row r="26">
      <c r="A26" s="4" t="inlineStr">
        <is>
          <t>EP-004</t>
        </is>
      </c>
      <c r="B26" s="4" t="inlineStr">
        <is>
          <t>US-004-004</t>
        </is>
      </c>
      <c r="C26" s="4" t="n">
        <v>4</v>
      </c>
      <c r="D26" s="4">
        <f>COUNTIF('Acceptance Criteria'!B:B,B26)</f>
        <v/>
      </c>
      <c r="E26" s="4">
        <f>VLOOKUP(B26,'User Stories'!A:L,12,FALSE)</f>
        <v/>
      </c>
      <c r="F26" s="4">
        <f>COUNTIFS('Acceptance Criteria'!B:B,B26,'Acceptance Criteria'!F:F,"&lt;&gt;Not Tested")</f>
        <v/>
      </c>
      <c r="G26" s="4">
        <f>COUNTIFS('Acceptance Criteria'!B:B,B26,'Acceptance Criteria'!F:F,"Pass")</f>
        <v/>
      </c>
      <c r="H26" s="4">
        <f>COUNTIFS('Acceptance Criteria'!B:B,B26,'Acceptance Criteria'!F:F,"Fail")</f>
        <v/>
      </c>
      <c r="I26" s="4">
        <f>IF(C26=D26,"Linked","Mismatch")</f>
        <v/>
      </c>
      <c r="J26" s="5">
        <f>IF(C26=0,0,G26/C26)</f>
        <v/>
      </c>
    </row>
    <row r="27">
      <c r="A27" s="4" t="inlineStr">
        <is>
          <t>EP-004</t>
        </is>
      </c>
      <c r="B27" s="4" t="inlineStr">
        <is>
          <t>US-004-005</t>
        </is>
      </c>
      <c r="C27" s="4" t="n">
        <v>4</v>
      </c>
      <c r="D27" s="4">
        <f>COUNTIF('Acceptance Criteria'!B:B,B27)</f>
        <v/>
      </c>
      <c r="E27" s="4">
        <f>VLOOKUP(B27,'User Stories'!A:L,12,FALSE)</f>
        <v/>
      </c>
      <c r="F27" s="4">
        <f>COUNTIFS('Acceptance Criteria'!B:B,B27,'Acceptance Criteria'!F:F,"&lt;&gt;Not Tested")</f>
        <v/>
      </c>
      <c r="G27" s="4">
        <f>COUNTIFS('Acceptance Criteria'!B:B,B27,'Acceptance Criteria'!F:F,"Pass")</f>
        <v/>
      </c>
      <c r="H27" s="4">
        <f>COUNTIFS('Acceptance Criteria'!B:B,B27,'Acceptance Criteria'!F:F,"Fail")</f>
        <v/>
      </c>
      <c r="I27" s="4">
        <f>IF(C27=D27,"Linked","Mismatch")</f>
        <v/>
      </c>
      <c r="J27" s="5">
        <f>IF(C27=0,0,G27/C27)</f>
        <v/>
      </c>
    </row>
    <row r="28">
      <c r="A28" s="4" t="inlineStr">
        <is>
          <t>EP-004</t>
        </is>
      </c>
      <c r="B28" s="4" t="inlineStr">
        <is>
          <t>US-004-006</t>
        </is>
      </c>
      <c r="C28" s="4" t="n">
        <v>4</v>
      </c>
      <c r="D28" s="4">
        <f>COUNTIF('Acceptance Criteria'!B:B,B28)</f>
        <v/>
      </c>
      <c r="E28" s="4">
        <f>VLOOKUP(B28,'User Stories'!A:L,12,FALSE)</f>
        <v/>
      </c>
      <c r="F28" s="4">
        <f>COUNTIFS('Acceptance Criteria'!B:B,B28,'Acceptance Criteria'!F:F,"&lt;&gt;Not Tested")</f>
        <v/>
      </c>
      <c r="G28" s="4">
        <f>COUNTIFS('Acceptance Criteria'!B:B,B28,'Acceptance Criteria'!F:F,"Pass")</f>
        <v/>
      </c>
      <c r="H28" s="4">
        <f>COUNTIFS('Acceptance Criteria'!B:B,B28,'Acceptance Criteria'!F:F,"Fail")</f>
        <v/>
      </c>
      <c r="I28" s="4">
        <f>IF(C28=D28,"Linked","Mismatch")</f>
        <v/>
      </c>
      <c r="J28" s="5">
        <f>IF(C28=0,0,G28/C28)</f>
        <v/>
      </c>
    </row>
    <row r="29">
      <c r="A29" s="4" t="inlineStr">
        <is>
          <t>EP-005</t>
        </is>
      </c>
      <c r="B29" s="4" t="inlineStr">
        <is>
          <t>US-005-001</t>
        </is>
      </c>
      <c r="C29" s="4" t="n">
        <v>4</v>
      </c>
      <c r="D29" s="4">
        <f>COUNTIF('Acceptance Criteria'!B:B,B29)</f>
        <v/>
      </c>
      <c r="E29" s="4">
        <f>VLOOKUP(B29,'User Stories'!A:L,12,FALSE)</f>
        <v/>
      </c>
      <c r="F29" s="4">
        <f>COUNTIFS('Acceptance Criteria'!B:B,B29,'Acceptance Criteria'!F:F,"&lt;&gt;Not Tested")</f>
        <v/>
      </c>
      <c r="G29" s="4">
        <f>COUNTIFS('Acceptance Criteria'!B:B,B29,'Acceptance Criteria'!F:F,"Pass")</f>
        <v/>
      </c>
      <c r="H29" s="4">
        <f>COUNTIFS('Acceptance Criteria'!B:B,B29,'Acceptance Criteria'!F:F,"Fail")</f>
        <v/>
      </c>
      <c r="I29" s="4">
        <f>IF(C29=D29,"Linked","Mismatch")</f>
        <v/>
      </c>
      <c r="J29" s="5">
        <f>IF(C29=0,0,G29/C29)</f>
        <v/>
      </c>
    </row>
    <row r="30">
      <c r="A30" s="4" t="inlineStr">
        <is>
          <t>EP-005</t>
        </is>
      </c>
      <c r="B30" s="4" t="inlineStr">
        <is>
          <t>US-005-002</t>
        </is>
      </c>
      <c r="C30" s="4" t="n">
        <v>4</v>
      </c>
      <c r="D30" s="4">
        <f>COUNTIF('Acceptance Criteria'!B:B,B30)</f>
        <v/>
      </c>
      <c r="E30" s="4">
        <f>VLOOKUP(B30,'User Stories'!A:L,12,FALSE)</f>
        <v/>
      </c>
      <c r="F30" s="4">
        <f>COUNTIFS('Acceptance Criteria'!B:B,B30,'Acceptance Criteria'!F:F,"&lt;&gt;Not Tested")</f>
        <v/>
      </c>
      <c r="G30" s="4">
        <f>COUNTIFS('Acceptance Criteria'!B:B,B30,'Acceptance Criteria'!F:F,"Pass")</f>
        <v/>
      </c>
      <c r="H30" s="4">
        <f>COUNTIFS('Acceptance Criteria'!B:B,B30,'Acceptance Criteria'!F:F,"Fail")</f>
        <v/>
      </c>
      <c r="I30" s="4">
        <f>IF(C30=D30,"Linked","Mismatch")</f>
        <v/>
      </c>
      <c r="J30" s="5">
        <f>IF(C30=0,0,G30/C30)</f>
        <v/>
      </c>
    </row>
    <row r="31">
      <c r="A31" s="4" t="inlineStr">
        <is>
          <t>EP-005</t>
        </is>
      </c>
      <c r="B31" s="4" t="inlineStr">
        <is>
          <t>US-005-003</t>
        </is>
      </c>
      <c r="C31" s="4" t="n">
        <v>4</v>
      </c>
      <c r="D31" s="4">
        <f>COUNTIF('Acceptance Criteria'!B:B,B31)</f>
        <v/>
      </c>
      <c r="E31" s="4">
        <f>VLOOKUP(B31,'User Stories'!A:L,12,FALSE)</f>
        <v/>
      </c>
      <c r="F31" s="4">
        <f>COUNTIFS('Acceptance Criteria'!B:B,B31,'Acceptance Criteria'!F:F,"&lt;&gt;Not Tested")</f>
        <v/>
      </c>
      <c r="G31" s="4">
        <f>COUNTIFS('Acceptance Criteria'!B:B,B31,'Acceptance Criteria'!F:F,"Pass")</f>
        <v/>
      </c>
      <c r="H31" s="4">
        <f>COUNTIFS('Acceptance Criteria'!B:B,B31,'Acceptance Criteria'!F:F,"Fail")</f>
        <v/>
      </c>
      <c r="I31" s="4">
        <f>IF(C31=D31,"Linked","Mismatch")</f>
        <v/>
      </c>
      <c r="J31" s="5">
        <f>IF(C31=0,0,G31/C31)</f>
        <v/>
      </c>
    </row>
    <row r="32">
      <c r="A32" s="4" t="inlineStr">
        <is>
          <t>EP-005</t>
        </is>
      </c>
      <c r="B32" s="4" t="inlineStr">
        <is>
          <t>US-005-004</t>
        </is>
      </c>
      <c r="C32" s="4" t="n">
        <v>4</v>
      </c>
      <c r="D32" s="4">
        <f>COUNTIF('Acceptance Criteria'!B:B,B32)</f>
        <v/>
      </c>
      <c r="E32" s="4">
        <f>VLOOKUP(B32,'User Stories'!A:L,12,FALSE)</f>
        <v/>
      </c>
      <c r="F32" s="4">
        <f>COUNTIFS('Acceptance Criteria'!B:B,B32,'Acceptance Criteria'!F:F,"&lt;&gt;Not Tested")</f>
        <v/>
      </c>
      <c r="G32" s="4">
        <f>COUNTIFS('Acceptance Criteria'!B:B,B32,'Acceptance Criteria'!F:F,"Pass")</f>
        <v/>
      </c>
      <c r="H32" s="4">
        <f>COUNTIFS('Acceptance Criteria'!B:B,B32,'Acceptance Criteria'!F:F,"Fail")</f>
        <v/>
      </c>
      <c r="I32" s="4">
        <f>IF(C32=D32,"Linked","Mismatch")</f>
        <v/>
      </c>
      <c r="J32" s="5">
        <f>IF(C32=0,0,G32/C32)</f>
        <v/>
      </c>
    </row>
    <row r="33">
      <c r="A33" s="4" t="inlineStr">
        <is>
          <t>EP-005</t>
        </is>
      </c>
      <c r="B33" s="4" t="inlineStr">
        <is>
          <t>US-005-005</t>
        </is>
      </c>
      <c r="C33" s="4" t="n">
        <v>4</v>
      </c>
      <c r="D33" s="4">
        <f>COUNTIF('Acceptance Criteria'!B:B,B33)</f>
        <v/>
      </c>
      <c r="E33" s="4">
        <f>VLOOKUP(B33,'User Stories'!A:L,12,FALSE)</f>
        <v/>
      </c>
      <c r="F33" s="4">
        <f>COUNTIFS('Acceptance Criteria'!B:B,B33,'Acceptance Criteria'!F:F,"&lt;&gt;Not Tested")</f>
        <v/>
      </c>
      <c r="G33" s="4">
        <f>COUNTIFS('Acceptance Criteria'!B:B,B33,'Acceptance Criteria'!F:F,"Pass")</f>
        <v/>
      </c>
      <c r="H33" s="4">
        <f>COUNTIFS('Acceptance Criteria'!B:B,B33,'Acceptance Criteria'!F:F,"Fail")</f>
        <v/>
      </c>
      <c r="I33" s="4">
        <f>IF(C33=D33,"Linked","Mismatch")</f>
        <v/>
      </c>
      <c r="J33" s="5">
        <f>IF(C33=0,0,G33/C33)</f>
        <v/>
      </c>
    </row>
    <row r="34">
      <c r="A34" s="4" t="inlineStr">
        <is>
          <t>EP-005</t>
        </is>
      </c>
      <c r="B34" s="4" t="inlineStr">
        <is>
          <t>US-005-006</t>
        </is>
      </c>
      <c r="C34" s="4" t="n">
        <v>4</v>
      </c>
      <c r="D34" s="4">
        <f>COUNTIF('Acceptance Criteria'!B:B,B34)</f>
        <v/>
      </c>
      <c r="E34" s="4">
        <f>VLOOKUP(B34,'User Stories'!A:L,12,FALSE)</f>
        <v/>
      </c>
      <c r="F34" s="4">
        <f>COUNTIFS('Acceptance Criteria'!B:B,B34,'Acceptance Criteria'!F:F,"&lt;&gt;Not Tested")</f>
        <v/>
      </c>
      <c r="G34" s="4">
        <f>COUNTIFS('Acceptance Criteria'!B:B,B34,'Acceptance Criteria'!F:F,"Pass")</f>
        <v/>
      </c>
      <c r="H34" s="4">
        <f>COUNTIFS('Acceptance Criteria'!B:B,B34,'Acceptance Criteria'!F:F,"Fail")</f>
        <v/>
      </c>
      <c r="I34" s="4">
        <f>IF(C34=D34,"Linked","Mismatch")</f>
        <v/>
      </c>
      <c r="J34" s="5">
        <f>IF(C34=0,0,G34/C34)</f>
        <v/>
      </c>
    </row>
    <row r="35">
      <c r="A35" s="4" t="inlineStr">
        <is>
          <t>EP-005</t>
        </is>
      </c>
      <c r="B35" s="4" t="inlineStr">
        <is>
          <t>US-005-007</t>
        </is>
      </c>
      <c r="C35" s="4" t="n">
        <v>4</v>
      </c>
      <c r="D35" s="4">
        <f>COUNTIF('Acceptance Criteria'!B:B,B35)</f>
        <v/>
      </c>
      <c r="E35" s="4">
        <f>VLOOKUP(B35,'User Stories'!A:L,12,FALSE)</f>
        <v/>
      </c>
      <c r="F35" s="4">
        <f>COUNTIFS('Acceptance Criteria'!B:B,B35,'Acceptance Criteria'!F:F,"&lt;&gt;Not Tested")</f>
        <v/>
      </c>
      <c r="G35" s="4">
        <f>COUNTIFS('Acceptance Criteria'!B:B,B35,'Acceptance Criteria'!F:F,"Pass")</f>
        <v/>
      </c>
      <c r="H35" s="4">
        <f>COUNTIFS('Acceptance Criteria'!B:B,B35,'Acceptance Criteria'!F:F,"Fail")</f>
        <v/>
      </c>
      <c r="I35" s="4">
        <f>IF(C35=D35,"Linked","Mismatch")</f>
        <v/>
      </c>
      <c r="J35" s="5">
        <f>IF(C35=0,0,G35/C35)</f>
        <v/>
      </c>
    </row>
    <row r="36">
      <c r="A36" s="4" t="inlineStr">
        <is>
          <t>EP-005</t>
        </is>
      </c>
      <c r="B36" s="4" t="inlineStr">
        <is>
          <t>US-005-008</t>
        </is>
      </c>
      <c r="C36" s="4" t="n">
        <v>4</v>
      </c>
      <c r="D36" s="4">
        <f>COUNTIF('Acceptance Criteria'!B:B,B36)</f>
        <v/>
      </c>
      <c r="E36" s="4">
        <f>VLOOKUP(B36,'User Stories'!A:L,12,FALSE)</f>
        <v/>
      </c>
      <c r="F36" s="4">
        <f>COUNTIFS('Acceptance Criteria'!B:B,B36,'Acceptance Criteria'!F:F,"&lt;&gt;Not Tested")</f>
        <v/>
      </c>
      <c r="G36" s="4">
        <f>COUNTIFS('Acceptance Criteria'!B:B,B36,'Acceptance Criteria'!F:F,"Pass")</f>
        <v/>
      </c>
      <c r="H36" s="4">
        <f>COUNTIFS('Acceptance Criteria'!B:B,B36,'Acceptance Criteria'!F:F,"Fail")</f>
        <v/>
      </c>
      <c r="I36" s="4">
        <f>IF(C36=D36,"Linked","Mismatch")</f>
        <v/>
      </c>
      <c r="J36" s="5">
        <f>IF(C36=0,0,G36/C36)</f>
        <v/>
      </c>
    </row>
    <row r="37">
      <c r="A37" s="4" t="inlineStr">
        <is>
          <t>EP-006</t>
        </is>
      </c>
      <c r="B37" s="4" t="inlineStr">
        <is>
          <t>US-006-001</t>
        </is>
      </c>
      <c r="C37" s="4" t="n">
        <v>4</v>
      </c>
      <c r="D37" s="4">
        <f>COUNTIF('Acceptance Criteria'!B:B,B37)</f>
        <v/>
      </c>
      <c r="E37" s="4">
        <f>VLOOKUP(B37,'User Stories'!A:L,12,FALSE)</f>
        <v/>
      </c>
      <c r="F37" s="4">
        <f>COUNTIFS('Acceptance Criteria'!B:B,B37,'Acceptance Criteria'!F:F,"&lt;&gt;Not Tested")</f>
        <v/>
      </c>
      <c r="G37" s="4">
        <f>COUNTIFS('Acceptance Criteria'!B:B,B37,'Acceptance Criteria'!F:F,"Pass")</f>
        <v/>
      </c>
      <c r="H37" s="4">
        <f>COUNTIFS('Acceptance Criteria'!B:B,B37,'Acceptance Criteria'!F:F,"Fail")</f>
        <v/>
      </c>
      <c r="I37" s="4">
        <f>IF(C37=D37,"Linked","Mismatch")</f>
        <v/>
      </c>
      <c r="J37" s="5">
        <f>IF(C37=0,0,G37/C37)</f>
        <v/>
      </c>
    </row>
    <row r="38">
      <c r="A38" s="4" t="inlineStr">
        <is>
          <t>EP-006</t>
        </is>
      </c>
      <c r="B38" s="4" t="inlineStr">
        <is>
          <t>US-006-002</t>
        </is>
      </c>
      <c r="C38" s="4" t="n">
        <v>4</v>
      </c>
      <c r="D38" s="4">
        <f>COUNTIF('Acceptance Criteria'!B:B,B38)</f>
        <v/>
      </c>
      <c r="E38" s="4">
        <f>VLOOKUP(B38,'User Stories'!A:L,12,FALSE)</f>
        <v/>
      </c>
      <c r="F38" s="4">
        <f>COUNTIFS('Acceptance Criteria'!B:B,B38,'Acceptance Criteria'!F:F,"&lt;&gt;Not Tested")</f>
        <v/>
      </c>
      <c r="G38" s="4">
        <f>COUNTIFS('Acceptance Criteria'!B:B,B38,'Acceptance Criteria'!F:F,"Pass")</f>
        <v/>
      </c>
      <c r="H38" s="4">
        <f>COUNTIFS('Acceptance Criteria'!B:B,B38,'Acceptance Criteria'!F:F,"Fail")</f>
        <v/>
      </c>
      <c r="I38" s="4">
        <f>IF(C38=D38,"Linked","Mismatch")</f>
        <v/>
      </c>
      <c r="J38" s="5">
        <f>IF(C38=0,0,G38/C38)</f>
        <v/>
      </c>
    </row>
    <row r="39">
      <c r="A39" s="4" t="inlineStr">
        <is>
          <t>EP-006</t>
        </is>
      </c>
      <c r="B39" s="4" t="inlineStr">
        <is>
          <t>US-006-003</t>
        </is>
      </c>
      <c r="C39" s="4" t="n">
        <v>4</v>
      </c>
      <c r="D39" s="4">
        <f>COUNTIF('Acceptance Criteria'!B:B,B39)</f>
        <v/>
      </c>
      <c r="E39" s="4">
        <f>VLOOKUP(B39,'User Stories'!A:L,12,FALSE)</f>
        <v/>
      </c>
      <c r="F39" s="4">
        <f>COUNTIFS('Acceptance Criteria'!B:B,B39,'Acceptance Criteria'!F:F,"&lt;&gt;Not Tested")</f>
        <v/>
      </c>
      <c r="G39" s="4">
        <f>COUNTIFS('Acceptance Criteria'!B:B,B39,'Acceptance Criteria'!F:F,"Pass")</f>
        <v/>
      </c>
      <c r="H39" s="4">
        <f>COUNTIFS('Acceptance Criteria'!B:B,B39,'Acceptance Criteria'!F:F,"Fail")</f>
        <v/>
      </c>
      <c r="I39" s="4">
        <f>IF(C39=D39,"Linked","Mismatch")</f>
        <v/>
      </c>
      <c r="J39" s="5">
        <f>IF(C39=0,0,G39/C39)</f>
        <v/>
      </c>
    </row>
    <row r="40">
      <c r="A40" s="4" t="inlineStr">
        <is>
          <t>EP-006</t>
        </is>
      </c>
      <c r="B40" s="4" t="inlineStr">
        <is>
          <t>US-006-004</t>
        </is>
      </c>
      <c r="C40" s="4" t="n">
        <v>4</v>
      </c>
      <c r="D40" s="4">
        <f>COUNTIF('Acceptance Criteria'!B:B,B40)</f>
        <v/>
      </c>
      <c r="E40" s="4">
        <f>VLOOKUP(B40,'User Stories'!A:L,12,FALSE)</f>
        <v/>
      </c>
      <c r="F40" s="4">
        <f>COUNTIFS('Acceptance Criteria'!B:B,B40,'Acceptance Criteria'!F:F,"&lt;&gt;Not Tested")</f>
        <v/>
      </c>
      <c r="G40" s="4">
        <f>COUNTIFS('Acceptance Criteria'!B:B,B40,'Acceptance Criteria'!F:F,"Pass")</f>
        <v/>
      </c>
      <c r="H40" s="4">
        <f>COUNTIFS('Acceptance Criteria'!B:B,B40,'Acceptance Criteria'!F:F,"Fail")</f>
        <v/>
      </c>
      <c r="I40" s="4">
        <f>IF(C40=D40,"Linked","Mismatch")</f>
        <v/>
      </c>
      <c r="J40" s="5">
        <f>IF(C40=0,0,G40/C40)</f>
        <v/>
      </c>
    </row>
    <row r="41">
      <c r="A41" s="4" t="inlineStr">
        <is>
          <t>EP-006</t>
        </is>
      </c>
      <c r="B41" s="4" t="inlineStr">
        <is>
          <t>US-006-005</t>
        </is>
      </c>
      <c r="C41" s="4" t="n">
        <v>4</v>
      </c>
      <c r="D41" s="4">
        <f>COUNTIF('Acceptance Criteria'!B:B,B41)</f>
        <v/>
      </c>
      <c r="E41" s="4">
        <f>VLOOKUP(B41,'User Stories'!A:L,12,FALSE)</f>
        <v/>
      </c>
      <c r="F41" s="4">
        <f>COUNTIFS('Acceptance Criteria'!B:B,B41,'Acceptance Criteria'!F:F,"&lt;&gt;Not Tested")</f>
        <v/>
      </c>
      <c r="G41" s="4">
        <f>COUNTIFS('Acceptance Criteria'!B:B,B41,'Acceptance Criteria'!F:F,"Pass")</f>
        <v/>
      </c>
      <c r="H41" s="4">
        <f>COUNTIFS('Acceptance Criteria'!B:B,B41,'Acceptance Criteria'!F:F,"Fail")</f>
        <v/>
      </c>
      <c r="I41" s="4">
        <f>IF(C41=D41,"Linked","Mismatch")</f>
        <v/>
      </c>
      <c r="J41" s="5">
        <f>IF(C41=0,0,G41/C41)</f>
        <v/>
      </c>
    </row>
    <row r="42">
      <c r="A42" s="4" t="inlineStr">
        <is>
          <t>EP-006</t>
        </is>
      </c>
      <c r="B42" s="4" t="inlineStr">
        <is>
          <t>US-006-006</t>
        </is>
      </c>
      <c r="C42" s="4" t="n">
        <v>4</v>
      </c>
      <c r="D42" s="4">
        <f>COUNTIF('Acceptance Criteria'!B:B,B42)</f>
        <v/>
      </c>
      <c r="E42" s="4">
        <f>VLOOKUP(B42,'User Stories'!A:L,12,FALSE)</f>
        <v/>
      </c>
      <c r="F42" s="4">
        <f>COUNTIFS('Acceptance Criteria'!B:B,B42,'Acceptance Criteria'!F:F,"&lt;&gt;Not Tested")</f>
        <v/>
      </c>
      <c r="G42" s="4">
        <f>COUNTIFS('Acceptance Criteria'!B:B,B42,'Acceptance Criteria'!F:F,"Pass")</f>
        <v/>
      </c>
      <c r="H42" s="4">
        <f>COUNTIFS('Acceptance Criteria'!B:B,B42,'Acceptance Criteria'!F:F,"Fail")</f>
        <v/>
      </c>
      <c r="I42" s="4">
        <f>IF(C42=D42,"Linked","Mismatch")</f>
        <v/>
      </c>
      <c r="J42" s="5">
        <f>IF(C42=0,0,G42/C42)</f>
        <v/>
      </c>
    </row>
    <row r="43">
      <c r="A43" s="4" t="inlineStr">
        <is>
          <t>EP-006</t>
        </is>
      </c>
      <c r="B43" s="4" t="inlineStr">
        <is>
          <t>US-006-007</t>
        </is>
      </c>
      <c r="C43" s="4" t="n">
        <v>4</v>
      </c>
      <c r="D43" s="4">
        <f>COUNTIF('Acceptance Criteria'!B:B,B43)</f>
        <v/>
      </c>
      <c r="E43" s="4">
        <f>VLOOKUP(B43,'User Stories'!A:L,12,FALSE)</f>
        <v/>
      </c>
      <c r="F43" s="4">
        <f>COUNTIFS('Acceptance Criteria'!B:B,B43,'Acceptance Criteria'!F:F,"&lt;&gt;Not Tested")</f>
        <v/>
      </c>
      <c r="G43" s="4">
        <f>COUNTIFS('Acceptance Criteria'!B:B,B43,'Acceptance Criteria'!F:F,"Pass")</f>
        <v/>
      </c>
      <c r="H43" s="4">
        <f>COUNTIFS('Acceptance Criteria'!B:B,B43,'Acceptance Criteria'!F:F,"Fail")</f>
        <v/>
      </c>
      <c r="I43" s="4">
        <f>IF(C43=D43,"Linked","Mismatch")</f>
        <v/>
      </c>
      <c r="J43" s="5">
        <f>IF(C43=0,0,G43/C43)</f>
        <v/>
      </c>
    </row>
    <row r="44">
      <c r="A44" s="4" t="inlineStr">
        <is>
          <t>EP-006</t>
        </is>
      </c>
      <c r="B44" s="4" t="inlineStr">
        <is>
          <t>US-006-008</t>
        </is>
      </c>
      <c r="C44" s="4" t="n">
        <v>4</v>
      </c>
      <c r="D44" s="4">
        <f>COUNTIF('Acceptance Criteria'!B:B,B44)</f>
        <v/>
      </c>
      <c r="E44" s="4">
        <f>VLOOKUP(B44,'User Stories'!A:L,12,FALSE)</f>
        <v/>
      </c>
      <c r="F44" s="4">
        <f>COUNTIFS('Acceptance Criteria'!B:B,B44,'Acceptance Criteria'!F:F,"&lt;&gt;Not Tested")</f>
        <v/>
      </c>
      <c r="G44" s="4">
        <f>COUNTIFS('Acceptance Criteria'!B:B,B44,'Acceptance Criteria'!F:F,"Pass")</f>
        <v/>
      </c>
      <c r="H44" s="4">
        <f>COUNTIFS('Acceptance Criteria'!B:B,B44,'Acceptance Criteria'!F:F,"Fail")</f>
        <v/>
      </c>
      <c r="I44" s="4">
        <f>IF(C44=D44,"Linked","Mismatch")</f>
        <v/>
      </c>
      <c r="J44" s="5">
        <f>IF(C44=0,0,G44/C44)</f>
        <v/>
      </c>
    </row>
    <row r="45">
      <c r="A45" s="4" t="inlineStr">
        <is>
          <t>EP-006</t>
        </is>
      </c>
      <c r="B45" s="4" t="inlineStr">
        <is>
          <t>US-006-009</t>
        </is>
      </c>
      <c r="C45" s="4" t="n">
        <v>4</v>
      </c>
      <c r="D45" s="4">
        <f>COUNTIF('Acceptance Criteria'!B:B,B45)</f>
        <v/>
      </c>
      <c r="E45" s="4">
        <f>VLOOKUP(B45,'User Stories'!A:L,12,FALSE)</f>
        <v/>
      </c>
      <c r="F45" s="4">
        <f>COUNTIFS('Acceptance Criteria'!B:B,B45,'Acceptance Criteria'!F:F,"&lt;&gt;Not Tested")</f>
        <v/>
      </c>
      <c r="G45" s="4">
        <f>COUNTIFS('Acceptance Criteria'!B:B,B45,'Acceptance Criteria'!F:F,"Pass")</f>
        <v/>
      </c>
      <c r="H45" s="4">
        <f>COUNTIFS('Acceptance Criteria'!B:B,B45,'Acceptance Criteria'!F:F,"Fail")</f>
        <v/>
      </c>
      <c r="I45" s="4">
        <f>IF(C45=D45,"Linked","Mismatch")</f>
        <v/>
      </c>
      <c r="J45" s="5">
        <f>IF(C45=0,0,G45/C45)</f>
        <v/>
      </c>
    </row>
    <row r="46">
      <c r="A46" s="4" t="inlineStr">
        <is>
          <t>EP-006</t>
        </is>
      </c>
      <c r="B46" s="4" t="inlineStr">
        <is>
          <t>US-006-010</t>
        </is>
      </c>
      <c r="C46" s="4" t="n">
        <v>4</v>
      </c>
      <c r="D46" s="4">
        <f>COUNTIF('Acceptance Criteria'!B:B,B46)</f>
        <v/>
      </c>
      <c r="E46" s="4">
        <f>VLOOKUP(B46,'User Stories'!A:L,12,FALSE)</f>
        <v/>
      </c>
      <c r="F46" s="4">
        <f>COUNTIFS('Acceptance Criteria'!B:B,B46,'Acceptance Criteria'!F:F,"&lt;&gt;Not Tested")</f>
        <v/>
      </c>
      <c r="G46" s="4">
        <f>COUNTIFS('Acceptance Criteria'!B:B,B46,'Acceptance Criteria'!F:F,"Pass")</f>
        <v/>
      </c>
      <c r="H46" s="4">
        <f>COUNTIFS('Acceptance Criteria'!B:B,B46,'Acceptance Criteria'!F:F,"Fail")</f>
        <v/>
      </c>
      <c r="I46" s="4">
        <f>IF(C46=D46,"Linked","Mismatch")</f>
        <v/>
      </c>
      <c r="J46" s="5">
        <f>IF(C46=0,0,G46/C46)</f>
        <v/>
      </c>
    </row>
    <row r="47">
      <c r="A47" s="4" t="inlineStr">
        <is>
          <t>EP-007</t>
        </is>
      </c>
      <c r="B47" s="4" t="inlineStr">
        <is>
          <t>US-007-001</t>
        </is>
      </c>
      <c r="C47" s="4" t="n">
        <v>4</v>
      </c>
      <c r="D47" s="4">
        <f>COUNTIF('Acceptance Criteria'!B:B,B47)</f>
        <v/>
      </c>
      <c r="E47" s="4">
        <f>VLOOKUP(B47,'User Stories'!A:L,12,FALSE)</f>
        <v/>
      </c>
      <c r="F47" s="4">
        <f>COUNTIFS('Acceptance Criteria'!B:B,B47,'Acceptance Criteria'!F:F,"&lt;&gt;Not Tested")</f>
        <v/>
      </c>
      <c r="G47" s="4">
        <f>COUNTIFS('Acceptance Criteria'!B:B,B47,'Acceptance Criteria'!F:F,"Pass")</f>
        <v/>
      </c>
      <c r="H47" s="4">
        <f>COUNTIFS('Acceptance Criteria'!B:B,B47,'Acceptance Criteria'!F:F,"Fail")</f>
        <v/>
      </c>
      <c r="I47" s="4">
        <f>IF(C47=D47,"Linked","Mismatch")</f>
        <v/>
      </c>
      <c r="J47" s="5">
        <f>IF(C47=0,0,G47/C47)</f>
        <v/>
      </c>
    </row>
    <row r="48">
      <c r="A48" s="4" t="inlineStr">
        <is>
          <t>EP-007</t>
        </is>
      </c>
      <c r="B48" s="4" t="inlineStr">
        <is>
          <t>US-007-002</t>
        </is>
      </c>
      <c r="C48" s="4" t="n">
        <v>4</v>
      </c>
      <c r="D48" s="4">
        <f>COUNTIF('Acceptance Criteria'!B:B,B48)</f>
        <v/>
      </c>
      <c r="E48" s="4">
        <f>VLOOKUP(B48,'User Stories'!A:L,12,FALSE)</f>
        <v/>
      </c>
      <c r="F48" s="4">
        <f>COUNTIFS('Acceptance Criteria'!B:B,B48,'Acceptance Criteria'!F:F,"&lt;&gt;Not Tested")</f>
        <v/>
      </c>
      <c r="G48" s="4">
        <f>COUNTIFS('Acceptance Criteria'!B:B,B48,'Acceptance Criteria'!F:F,"Pass")</f>
        <v/>
      </c>
      <c r="H48" s="4">
        <f>COUNTIFS('Acceptance Criteria'!B:B,B48,'Acceptance Criteria'!F:F,"Fail")</f>
        <v/>
      </c>
      <c r="I48" s="4">
        <f>IF(C48=D48,"Linked","Mismatch")</f>
        <v/>
      </c>
      <c r="J48" s="5">
        <f>IF(C48=0,0,G48/C48)</f>
        <v/>
      </c>
    </row>
    <row r="49">
      <c r="A49" s="4" t="inlineStr">
        <is>
          <t>EP-007</t>
        </is>
      </c>
      <c r="B49" s="4" t="inlineStr">
        <is>
          <t>US-007-003</t>
        </is>
      </c>
      <c r="C49" s="4" t="n">
        <v>4</v>
      </c>
      <c r="D49" s="4">
        <f>COUNTIF('Acceptance Criteria'!B:B,B49)</f>
        <v/>
      </c>
      <c r="E49" s="4">
        <f>VLOOKUP(B49,'User Stories'!A:L,12,FALSE)</f>
        <v/>
      </c>
      <c r="F49" s="4">
        <f>COUNTIFS('Acceptance Criteria'!B:B,B49,'Acceptance Criteria'!F:F,"&lt;&gt;Not Tested")</f>
        <v/>
      </c>
      <c r="G49" s="4">
        <f>COUNTIFS('Acceptance Criteria'!B:B,B49,'Acceptance Criteria'!F:F,"Pass")</f>
        <v/>
      </c>
      <c r="H49" s="4">
        <f>COUNTIFS('Acceptance Criteria'!B:B,B49,'Acceptance Criteria'!F:F,"Fail")</f>
        <v/>
      </c>
      <c r="I49" s="4">
        <f>IF(C49=D49,"Linked","Mismatch")</f>
        <v/>
      </c>
      <c r="J49" s="5">
        <f>IF(C49=0,0,G49/C49)</f>
        <v/>
      </c>
    </row>
    <row r="50">
      <c r="A50" s="4" t="inlineStr">
        <is>
          <t>EP-007</t>
        </is>
      </c>
      <c r="B50" s="4" t="inlineStr">
        <is>
          <t>US-007-004</t>
        </is>
      </c>
      <c r="C50" s="4" t="n">
        <v>4</v>
      </c>
      <c r="D50" s="4">
        <f>COUNTIF('Acceptance Criteria'!B:B,B50)</f>
        <v/>
      </c>
      <c r="E50" s="4">
        <f>VLOOKUP(B50,'User Stories'!A:L,12,FALSE)</f>
        <v/>
      </c>
      <c r="F50" s="4">
        <f>COUNTIFS('Acceptance Criteria'!B:B,B50,'Acceptance Criteria'!F:F,"&lt;&gt;Not Tested")</f>
        <v/>
      </c>
      <c r="G50" s="4">
        <f>COUNTIFS('Acceptance Criteria'!B:B,B50,'Acceptance Criteria'!F:F,"Pass")</f>
        <v/>
      </c>
      <c r="H50" s="4">
        <f>COUNTIFS('Acceptance Criteria'!B:B,B50,'Acceptance Criteria'!F:F,"Fail")</f>
        <v/>
      </c>
      <c r="I50" s="4">
        <f>IF(C50=D50,"Linked","Mismatch")</f>
        <v/>
      </c>
      <c r="J50" s="5">
        <f>IF(C50=0,0,G50/C50)</f>
        <v/>
      </c>
    </row>
    <row r="51">
      <c r="A51" s="4" t="inlineStr">
        <is>
          <t>EP-007</t>
        </is>
      </c>
      <c r="B51" s="4" t="inlineStr">
        <is>
          <t>US-007-005</t>
        </is>
      </c>
      <c r="C51" s="4" t="n">
        <v>4</v>
      </c>
      <c r="D51" s="4">
        <f>COUNTIF('Acceptance Criteria'!B:B,B51)</f>
        <v/>
      </c>
      <c r="E51" s="4">
        <f>VLOOKUP(B51,'User Stories'!A:L,12,FALSE)</f>
        <v/>
      </c>
      <c r="F51" s="4">
        <f>COUNTIFS('Acceptance Criteria'!B:B,B51,'Acceptance Criteria'!F:F,"&lt;&gt;Not Tested")</f>
        <v/>
      </c>
      <c r="G51" s="4">
        <f>COUNTIFS('Acceptance Criteria'!B:B,B51,'Acceptance Criteria'!F:F,"Pass")</f>
        <v/>
      </c>
      <c r="H51" s="4">
        <f>COUNTIFS('Acceptance Criteria'!B:B,B51,'Acceptance Criteria'!F:F,"Fail")</f>
        <v/>
      </c>
      <c r="I51" s="4">
        <f>IF(C51=D51,"Linked","Mismatch")</f>
        <v/>
      </c>
      <c r="J51" s="5">
        <f>IF(C51=0,0,G51/C51)</f>
        <v/>
      </c>
    </row>
    <row r="52">
      <c r="A52" s="4" t="inlineStr">
        <is>
          <t>EP-008</t>
        </is>
      </c>
      <c r="B52" s="4" t="inlineStr">
        <is>
          <t>US-008-001</t>
        </is>
      </c>
      <c r="C52" s="4" t="n">
        <v>4</v>
      </c>
      <c r="D52" s="4">
        <f>COUNTIF('Acceptance Criteria'!B:B,B52)</f>
        <v/>
      </c>
      <c r="E52" s="4">
        <f>VLOOKUP(B52,'User Stories'!A:L,12,FALSE)</f>
        <v/>
      </c>
      <c r="F52" s="4">
        <f>COUNTIFS('Acceptance Criteria'!B:B,B52,'Acceptance Criteria'!F:F,"&lt;&gt;Not Tested")</f>
        <v/>
      </c>
      <c r="G52" s="4">
        <f>COUNTIFS('Acceptance Criteria'!B:B,B52,'Acceptance Criteria'!F:F,"Pass")</f>
        <v/>
      </c>
      <c r="H52" s="4">
        <f>COUNTIFS('Acceptance Criteria'!B:B,B52,'Acceptance Criteria'!F:F,"Fail")</f>
        <v/>
      </c>
      <c r="I52" s="4">
        <f>IF(C52=D52,"Linked","Mismatch")</f>
        <v/>
      </c>
      <c r="J52" s="5">
        <f>IF(C52=0,0,G52/C52)</f>
        <v/>
      </c>
    </row>
    <row r="53">
      <c r="A53" s="4" t="inlineStr">
        <is>
          <t>EP-008</t>
        </is>
      </c>
      <c r="B53" s="4" t="inlineStr">
        <is>
          <t>US-008-002</t>
        </is>
      </c>
      <c r="C53" s="4" t="n">
        <v>4</v>
      </c>
      <c r="D53" s="4">
        <f>COUNTIF('Acceptance Criteria'!B:B,B53)</f>
        <v/>
      </c>
      <c r="E53" s="4">
        <f>VLOOKUP(B53,'User Stories'!A:L,12,FALSE)</f>
        <v/>
      </c>
      <c r="F53" s="4">
        <f>COUNTIFS('Acceptance Criteria'!B:B,B53,'Acceptance Criteria'!F:F,"&lt;&gt;Not Tested")</f>
        <v/>
      </c>
      <c r="G53" s="4">
        <f>COUNTIFS('Acceptance Criteria'!B:B,B53,'Acceptance Criteria'!F:F,"Pass")</f>
        <v/>
      </c>
      <c r="H53" s="4">
        <f>COUNTIFS('Acceptance Criteria'!B:B,B53,'Acceptance Criteria'!F:F,"Fail")</f>
        <v/>
      </c>
      <c r="I53" s="4">
        <f>IF(C53=D53,"Linked","Mismatch")</f>
        <v/>
      </c>
      <c r="J53" s="5">
        <f>IF(C53=0,0,G53/C53)</f>
        <v/>
      </c>
    </row>
    <row r="54">
      <c r="A54" s="4" t="inlineStr">
        <is>
          <t>EP-008</t>
        </is>
      </c>
      <c r="B54" s="4" t="inlineStr">
        <is>
          <t>US-008-003</t>
        </is>
      </c>
      <c r="C54" s="4" t="n">
        <v>4</v>
      </c>
      <c r="D54" s="4">
        <f>COUNTIF('Acceptance Criteria'!B:B,B54)</f>
        <v/>
      </c>
      <c r="E54" s="4">
        <f>VLOOKUP(B54,'User Stories'!A:L,12,FALSE)</f>
        <v/>
      </c>
      <c r="F54" s="4">
        <f>COUNTIFS('Acceptance Criteria'!B:B,B54,'Acceptance Criteria'!F:F,"&lt;&gt;Not Tested")</f>
        <v/>
      </c>
      <c r="G54" s="4">
        <f>COUNTIFS('Acceptance Criteria'!B:B,B54,'Acceptance Criteria'!F:F,"Pass")</f>
        <v/>
      </c>
      <c r="H54" s="4">
        <f>COUNTIFS('Acceptance Criteria'!B:B,B54,'Acceptance Criteria'!F:F,"Fail")</f>
        <v/>
      </c>
      <c r="I54" s="4">
        <f>IF(C54=D54,"Linked","Mismatch")</f>
        <v/>
      </c>
      <c r="J54" s="5">
        <f>IF(C54=0,0,G54/C54)</f>
        <v/>
      </c>
    </row>
    <row r="55">
      <c r="A55" s="4" t="inlineStr">
        <is>
          <t>EP-008</t>
        </is>
      </c>
      <c r="B55" s="4" t="inlineStr">
        <is>
          <t>US-008-004</t>
        </is>
      </c>
      <c r="C55" s="4" t="n">
        <v>4</v>
      </c>
      <c r="D55" s="4">
        <f>COUNTIF('Acceptance Criteria'!B:B,B55)</f>
        <v/>
      </c>
      <c r="E55" s="4">
        <f>VLOOKUP(B55,'User Stories'!A:L,12,FALSE)</f>
        <v/>
      </c>
      <c r="F55" s="4">
        <f>COUNTIFS('Acceptance Criteria'!B:B,B55,'Acceptance Criteria'!F:F,"&lt;&gt;Not Tested")</f>
        <v/>
      </c>
      <c r="G55" s="4">
        <f>COUNTIFS('Acceptance Criteria'!B:B,B55,'Acceptance Criteria'!F:F,"Pass")</f>
        <v/>
      </c>
      <c r="H55" s="4">
        <f>COUNTIFS('Acceptance Criteria'!B:B,B55,'Acceptance Criteria'!F:F,"Fail")</f>
        <v/>
      </c>
      <c r="I55" s="4">
        <f>IF(C55=D55,"Linked","Mismatch")</f>
        <v/>
      </c>
      <c r="J55" s="5">
        <f>IF(C55=0,0,G55/C55)</f>
        <v/>
      </c>
    </row>
    <row r="56">
      <c r="A56" s="4" t="inlineStr">
        <is>
          <t>EP-008</t>
        </is>
      </c>
      <c r="B56" s="4" t="inlineStr">
        <is>
          <t>US-008-005</t>
        </is>
      </c>
      <c r="C56" s="4" t="n">
        <v>4</v>
      </c>
      <c r="D56" s="4">
        <f>COUNTIF('Acceptance Criteria'!B:B,B56)</f>
        <v/>
      </c>
      <c r="E56" s="4">
        <f>VLOOKUP(B56,'User Stories'!A:L,12,FALSE)</f>
        <v/>
      </c>
      <c r="F56" s="4">
        <f>COUNTIFS('Acceptance Criteria'!B:B,B56,'Acceptance Criteria'!F:F,"&lt;&gt;Not Tested")</f>
        <v/>
      </c>
      <c r="G56" s="4">
        <f>COUNTIFS('Acceptance Criteria'!B:B,B56,'Acceptance Criteria'!F:F,"Pass")</f>
        <v/>
      </c>
      <c r="H56" s="4">
        <f>COUNTIFS('Acceptance Criteria'!B:B,B56,'Acceptance Criteria'!F:F,"Fail")</f>
        <v/>
      </c>
      <c r="I56" s="4">
        <f>IF(C56=D56,"Linked","Mismatch")</f>
        <v/>
      </c>
      <c r="J56" s="5">
        <f>IF(C56=0,0,G56/C56)</f>
        <v/>
      </c>
    </row>
    <row r="57">
      <c r="A57" s="4" t="inlineStr">
        <is>
          <t>EP-009</t>
        </is>
      </c>
      <c r="B57" s="4" t="inlineStr">
        <is>
          <t>US-009-001</t>
        </is>
      </c>
      <c r="C57" s="4" t="n">
        <v>4</v>
      </c>
      <c r="D57" s="4">
        <f>COUNTIF('Acceptance Criteria'!B:B,B57)</f>
        <v/>
      </c>
      <c r="E57" s="4">
        <f>VLOOKUP(B57,'User Stories'!A:L,12,FALSE)</f>
        <v/>
      </c>
      <c r="F57" s="4">
        <f>COUNTIFS('Acceptance Criteria'!B:B,B57,'Acceptance Criteria'!F:F,"&lt;&gt;Not Tested")</f>
        <v/>
      </c>
      <c r="G57" s="4">
        <f>COUNTIFS('Acceptance Criteria'!B:B,B57,'Acceptance Criteria'!F:F,"Pass")</f>
        <v/>
      </c>
      <c r="H57" s="4">
        <f>COUNTIFS('Acceptance Criteria'!B:B,B57,'Acceptance Criteria'!F:F,"Fail")</f>
        <v/>
      </c>
      <c r="I57" s="4">
        <f>IF(C57=D57,"Linked","Mismatch")</f>
        <v/>
      </c>
      <c r="J57" s="5">
        <f>IF(C57=0,0,G57/C57)</f>
        <v/>
      </c>
    </row>
    <row r="58">
      <c r="A58" s="4" t="inlineStr">
        <is>
          <t>EP-009</t>
        </is>
      </c>
      <c r="B58" s="4" t="inlineStr">
        <is>
          <t>US-009-002</t>
        </is>
      </c>
      <c r="C58" s="4" t="n">
        <v>4</v>
      </c>
      <c r="D58" s="4">
        <f>COUNTIF('Acceptance Criteria'!B:B,B58)</f>
        <v/>
      </c>
      <c r="E58" s="4">
        <f>VLOOKUP(B58,'User Stories'!A:L,12,FALSE)</f>
        <v/>
      </c>
      <c r="F58" s="4">
        <f>COUNTIFS('Acceptance Criteria'!B:B,B58,'Acceptance Criteria'!F:F,"&lt;&gt;Not Tested")</f>
        <v/>
      </c>
      <c r="G58" s="4">
        <f>COUNTIFS('Acceptance Criteria'!B:B,B58,'Acceptance Criteria'!F:F,"Pass")</f>
        <v/>
      </c>
      <c r="H58" s="4">
        <f>COUNTIFS('Acceptance Criteria'!B:B,B58,'Acceptance Criteria'!F:F,"Fail")</f>
        <v/>
      </c>
      <c r="I58" s="4">
        <f>IF(C58=D58,"Linked","Mismatch")</f>
        <v/>
      </c>
      <c r="J58" s="5">
        <f>IF(C58=0,0,G58/C58)</f>
        <v/>
      </c>
    </row>
    <row r="59">
      <c r="A59" s="4" t="inlineStr">
        <is>
          <t>EP-009</t>
        </is>
      </c>
      <c r="B59" s="4" t="inlineStr">
        <is>
          <t>US-009-003</t>
        </is>
      </c>
      <c r="C59" s="4" t="n">
        <v>4</v>
      </c>
      <c r="D59" s="4">
        <f>COUNTIF('Acceptance Criteria'!B:B,B59)</f>
        <v/>
      </c>
      <c r="E59" s="4">
        <f>VLOOKUP(B59,'User Stories'!A:L,12,FALSE)</f>
        <v/>
      </c>
      <c r="F59" s="4">
        <f>COUNTIFS('Acceptance Criteria'!B:B,B59,'Acceptance Criteria'!F:F,"&lt;&gt;Not Tested")</f>
        <v/>
      </c>
      <c r="G59" s="4">
        <f>COUNTIFS('Acceptance Criteria'!B:B,B59,'Acceptance Criteria'!F:F,"Pass")</f>
        <v/>
      </c>
      <c r="H59" s="4">
        <f>COUNTIFS('Acceptance Criteria'!B:B,B59,'Acceptance Criteria'!F:F,"Fail")</f>
        <v/>
      </c>
      <c r="I59" s="4">
        <f>IF(C59=D59,"Linked","Mismatch")</f>
        <v/>
      </c>
      <c r="J59" s="5">
        <f>IF(C59=0,0,G59/C59)</f>
        <v/>
      </c>
    </row>
    <row r="60">
      <c r="A60" s="4" t="inlineStr">
        <is>
          <t>EP-009</t>
        </is>
      </c>
      <c r="B60" s="4" t="inlineStr">
        <is>
          <t>US-009-004</t>
        </is>
      </c>
      <c r="C60" s="4" t="n">
        <v>4</v>
      </c>
      <c r="D60" s="4">
        <f>COUNTIF('Acceptance Criteria'!B:B,B60)</f>
        <v/>
      </c>
      <c r="E60" s="4">
        <f>VLOOKUP(B60,'User Stories'!A:L,12,FALSE)</f>
        <v/>
      </c>
      <c r="F60" s="4">
        <f>COUNTIFS('Acceptance Criteria'!B:B,B60,'Acceptance Criteria'!F:F,"&lt;&gt;Not Tested")</f>
        <v/>
      </c>
      <c r="G60" s="4">
        <f>COUNTIFS('Acceptance Criteria'!B:B,B60,'Acceptance Criteria'!F:F,"Pass")</f>
        <v/>
      </c>
      <c r="H60" s="4">
        <f>COUNTIFS('Acceptance Criteria'!B:B,B60,'Acceptance Criteria'!F:F,"Fail")</f>
        <v/>
      </c>
      <c r="I60" s="4">
        <f>IF(C60=D60,"Linked","Mismatch")</f>
        <v/>
      </c>
      <c r="J60" s="5">
        <f>IF(C60=0,0,G60/C60)</f>
        <v/>
      </c>
    </row>
    <row r="61">
      <c r="A61" s="4" t="inlineStr">
        <is>
          <t>EP-009</t>
        </is>
      </c>
      <c r="B61" s="4" t="inlineStr">
        <is>
          <t>US-009-005</t>
        </is>
      </c>
      <c r="C61" s="4" t="n">
        <v>4</v>
      </c>
      <c r="D61" s="4">
        <f>COUNTIF('Acceptance Criteria'!B:B,B61)</f>
        <v/>
      </c>
      <c r="E61" s="4">
        <f>VLOOKUP(B61,'User Stories'!A:L,12,FALSE)</f>
        <v/>
      </c>
      <c r="F61" s="4">
        <f>COUNTIFS('Acceptance Criteria'!B:B,B61,'Acceptance Criteria'!F:F,"&lt;&gt;Not Tested")</f>
        <v/>
      </c>
      <c r="G61" s="4">
        <f>COUNTIFS('Acceptance Criteria'!B:B,B61,'Acceptance Criteria'!F:F,"Pass")</f>
        <v/>
      </c>
      <c r="H61" s="4">
        <f>COUNTIFS('Acceptance Criteria'!B:B,B61,'Acceptance Criteria'!F:F,"Fail")</f>
        <v/>
      </c>
      <c r="I61" s="4">
        <f>IF(C61=D61,"Linked","Mismatch")</f>
        <v/>
      </c>
      <c r="J61" s="5">
        <f>IF(C61=0,0,G61/C61)</f>
        <v/>
      </c>
    </row>
    <row r="62">
      <c r="A62" s="4" t="inlineStr">
        <is>
          <t>EP-010</t>
        </is>
      </c>
      <c r="B62" s="4" t="inlineStr">
        <is>
          <t>US-010-001</t>
        </is>
      </c>
      <c r="C62" s="4" t="n">
        <v>4</v>
      </c>
      <c r="D62" s="4">
        <f>COUNTIF('Acceptance Criteria'!B:B,B62)</f>
        <v/>
      </c>
      <c r="E62" s="4">
        <f>VLOOKUP(B62,'User Stories'!A:L,12,FALSE)</f>
        <v/>
      </c>
      <c r="F62" s="4">
        <f>COUNTIFS('Acceptance Criteria'!B:B,B62,'Acceptance Criteria'!F:F,"&lt;&gt;Not Tested")</f>
        <v/>
      </c>
      <c r="G62" s="4">
        <f>COUNTIFS('Acceptance Criteria'!B:B,B62,'Acceptance Criteria'!F:F,"Pass")</f>
        <v/>
      </c>
      <c r="H62" s="4">
        <f>COUNTIFS('Acceptance Criteria'!B:B,B62,'Acceptance Criteria'!F:F,"Fail")</f>
        <v/>
      </c>
      <c r="I62" s="4">
        <f>IF(C62=D62,"Linked","Mismatch")</f>
        <v/>
      </c>
      <c r="J62" s="5">
        <f>IF(C62=0,0,G62/C62)</f>
        <v/>
      </c>
    </row>
    <row r="63">
      <c r="A63" s="4" t="inlineStr">
        <is>
          <t>EP-010</t>
        </is>
      </c>
      <c r="B63" s="4" t="inlineStr">
        <is>
          <t>US-010-002</t>
        </is>
      </c>
      <c r="C63" s="4" t="n">
        <v>4</v>
      </c>
      <c r="D63" s="4">
        <f>COUNTIF('Acceptance Criteria'!B:B,B63)</f>
        <v/>
      </c>
      <c r="E63" s="4">
        <f>VLOOKUP(B63,'User Stories'!A:L,12,FALSE)</f>
        <v/>
      </c>
      <c r="F63" s="4">
        <f>COUNTIFS('Acceptance Criteria'!B:B,B63,'Acceptance Criteria'!F:F,"&lt;&gt;Not Tested")</f>
        <v/>
      </c>
      <c r="G63" s="4">
        <f>COUNTIFS('Acceptance Criteria'!B:B,B63,'Acceptance Criteria'!F:F,"Pass")</f>
        <v/>
      </c>
      <c r="H63" s="4">
        <f>COUNTIFS('Acceptance Criteria'!B:B,B63,'Acceptance Criteria'!F:F,"Fail")</f>
        <v/>
      </c>
      <c r="I63" s="4">
        <f>IF(C63=D63,"Linked","Mismatch")</f>
        <v/>
      </c>
      <c r="J63" s="5">
        <f>IF(C63=0,0,G63/C63)</f>
        <v/>
      </c>
    </row>
    <row r="64">
      <c r="A64" s="4" t="inlineStr">
        <is>
          <t>EP-010</t>
        </is>
      </c>
      <c r="B64" s="4" t="inlineStr">
        <is>
          <t>US-010-003</t>
        </is>
      </c>
      <c r="C64" s="4" t="n">
        <v>4</v>
      </c>
      <c r="D64" s="4">
        <f>COUNTIF('Acceptance Criteria'!B:B,B64)</f>
        <v/>
      </c>
      <c r="E64" s="4">
        <f>VLOOKUP(B64,'User Stories'!A:L,12,FALSE)</f>
        <v/>
      </c>
      <c r="F64" s="4">
        <f>COUNTIFS('Acceptance Criteria'!B:B,B64,'Acceptance Criteria'!F:F,"&lt;&gt;Not Tested")</f>
        <v/>
      </c>
      <c r="G64" s="4">
        <f>COUNTIFS('Acceptance Criteria'!B:B,B64,'Acceptance Criteria'!F:F,"Pass")</f>
        <v/>
      </c>
      <c r="H64" s="4">
        <f>COUNTIFS('Acceptance Criteria'!B:B,B64,'Acceptance Criteria'!F:F,"Fail")</f>
        <v/>
      </c>
      <c r="I64" s="4">
        <f>IF(C64=D64,"Linked","Mismatch")</f>
        <v/>
      </c>
      <c r="J64" s="5">
        <f>IF(C64=0,0,G64/C64)</f>
        <v/>
      </c>
    </row>
    <row r="65">
      <c r="A65" s="4" t="inlineStr">
        <is>
          <t>EP-010</t>
        </is>
      </c>
      <c r="B65" s="4" t="inlineStr">
        <is>
          <t>US-010-004</t>
        </is>
      </c>
      <c r="C65" s="4" t="n">
        <v>4</v>
      </c>
      <c r="D65" s="4">
        <f>COUNTIF('Acceptance Criteria'!B:B,B65)</f>
        <v/>
      </c>
      <c r="E65" s="4">
        <f>VLOOKUP(B65,'User Stories'!A:L,12,FALSE)</f>
        <v/>
      </c>
      <c r="F65" s="4">
        <f>COUNTIFS('Acceptance Criteria'!B:B,B65,'Acceptance Criteria'!F:F,"&lt;&gt;Not Tested")</f>
        <v/>
      </c>
      <c r="G65" s="4">
        <f>COUNTIFS('Acceptance Criteria'!B:B,B65,'Acceptance Criteria'!F:F,"Pass")</f>
        <v/>
      </c>
      <c r="H65" s="4">
        <f>COUNTIFS('Acceptance Criteria'!B:B,B65,'Acceptance Criteria'!F:F,"Fail")</f>
        <v/>
      </c>
      <c r="I65" s="4">
        <f>IF(C65=D65,"Linked","Mismatch")</f>
        <v/>
      </c>
      <c r="J65" s="5">
        <f>IF(C65=0,0,G65/C65)</f>
        <v/>
      </c>
    </row>
    <row r="66">
      <c r="A66" s="4" t="inlineStr">
        <is>
          <t>EP-010</t>
        </is>
      </c>
      <c r="B66" s="4" t="inlineStr">
        <is>
          <t>US-010-005</t>
        </is>
      </c>
      <c r="C66" s="4" t="n">
        <v>4</v>
      </c>
      <c r="D66" s="4">
        <f>COUNTIF('Acceptance Criteria'!B:B,B66)</f>
        <v/>
      </c>
      <c r="E66" s="4">
        <f>VLOOKUP(B66,'User Stories'!A:L,12,FALSE)</f>
        <v/>
      </c>
      <c r="F66" s="4">
        <f>COUNTIFS('Acceptance Criteria'!B:B,B66,'Acceptance Criteria'!F:F,"&lt;&gt;Not Tested")</f>
        <v/>
      </c>
      <c r="G66" s="4">
        <f>COUNTIFS('Acceptance Criteria'!B:B,B66,'Acceptance Criteria'!F:F,"Pass")</f>
        <v/>
      </c>
      <c r="H66" s="4">
        <f>COUNTIFS('Acceptance Criteria'!B:B,B66,'Acceptance Criteria'!F:F,"Fail")</f>
        <v/>
      </c>
      <c r="I66" s="4">
        <f>IF(C66=D66,"Linked","Mismatch")</f>
        <v/>
      </c>
      <c r="J66" s="5">
        <f>IF(C66=0,0,G66/C66)</f>
        <v/>
      </c>
    </row>
    <row r="67">
      <c r="A67" s="4" t="inlineStr">
        <is>
          <t>EP-011</t>
        </is>
      </c>
      <c r="B67" s="4" t="inlineStr">
        <is>
          <t>US-011-001</t>
        </is>
      </c>
      <c r="C67" s="4" t="n">
        <v>4</v>
      </c>
      <c r="D67" s="4">
        <f>COUNTIF('Acceptance Criteria'!B:B,B67)</f>
        <v/>
      </c>
      <c r="E67" s="4">
        <f>VLOOKUP(B67,'User Stories'!A:L,12,FALSE)</f>
        <v/>
      </c>
      <c r="F67" s="4">
        <f>COUNTIFS('Acceptance Criteria'!B:B,B67,'Acceptance Criteria'!F:F,"&lt;&gt;Not Tested")</f>
        <v/>
      </c>
      <c r="G67" s="4">
        <f>COUNTIFS('Acceptance Criteria'!B:B,B67,'Acceptance Criteria'!F:F,"Pass")</f>
        <v/>
      </c>
      <c r="H67" s="4">
        <f>COUNTIFS('Acceptance Criteria'!B:B,B67,'Acceptance Criteria'!F:F,"Fail")</f>
        <v/>
      </c>
      <c r="I67" s="4">
        <f>IF(C67=D67,"Linked","Mismatch")</f>
        <v/>
      </c>
      <c r="J67" s="5">
        <f>IF(C67=0,0,G67/C67)</f>
        <v/>
      </c>
    </row>
    <row r="68">
      <c r="A68" s="4" t="inlineStr">
        <is>
          <t>EP-011</t>
        </is>
      </c>
      <c r="B68" s="4" t="inlineStr">
        <is>
          <t>US-011-002</t>
        </is>
      </c>
      <c r="C68" s="4" t="n">
        <v>4</v>
      </c>
      <c r="D68" s="4">
        <f>COUNTIF('Acceptance Criteria'!B:B,B68)</f>
        <v/>
      </c>
      <c r="E68" s="4">
        <f>VLOOKUP(B68,'User Stories'!A:L,12,FALSE)</f>
        <v/>
      </c>
      <c r="F68" s="4">
        <f>COUNTIFS('Acceptance Criteria'!B:B,B68,'Acceptance Criteria'!F:F,"&lt;&gt;Not Tested")</f>
        <v/>
      </c>
      <c r="G68" s="4">
        <f>COUNTIFS('Acceptance Criteria'!B:B,B68,'Acceptance Criteria'!F:F,"Pass")</f>
        <v/>
      </c>
      <c r="H68" s="4">
        <f>COUNTIFS('Acceptance Criteria'!B:B,B68,'Acceptance Criteria'!F:F,"Fail")</f>
        <v/>
      </c>
      <c r="I68" s="4">
        <f>IF(C68=D68,"Linked","Mismatch")</f>
        <v/>
      </c>
      <c r="J68" s="5">
        <f>IF(C68=0,0,G68/C68)</f>
        <v/>
      </c>
    </row>
    <row r="69">
      <c r="A69" s="4" t="inlineStr">
        <is>
          <t>EP-011</t>
        </is>
      </c>
      <c r="B69" s="4" t="inlineStr">
        <is>
          <t>US-011-003</t>
        </is>
      </c>
      <c r="C69" s="4" t="n">
        <v>4</v>
      </c>
      <c r="D69" s="4">
        <f>COUNTIF('Acceptance Criteria'!B:B,B69)</f>
        <v/>
      </c>
      <c r="E69" s="4">
        <f>VLOOKUP(B69,'User Stories'!A:L,12,FALSE)</f>
        <v/>
      </c>
      <c r="F69" s="4">
        <f>COUNTIFS('Acceptance Criteria'!B:B,B69,'Acceptance Criteria'!F:F,"&lt;&gt;Not Tested")</f>
        <v/>
      </c>
      <c r="G69" s="4">
        <f>COUNTIFS('Acceptance Criteria'!B:B,B69,'Acceptance Criteria'!F:F,"Pass")</f>
        <v/>
      </c>
      <c r="H69" s="4">
        <f>COUNTIFS('Acceptance Criteria'!B:B,B69,'Acceptance Criteria'!F:F,"Fail")</f>
        <v/>
      </c>
      <c r="I69" s="4">
        <f>IF(C69=D69,"Linked","Mismatch")</f>
        <v/>
      </c>
      <c r="J69" s="5">
        <f>IF(C69=0,0,G69/C69)</f>
        <v/>
      </c>
    </row>
    <row r="70">
      <c r="A70" s="4" t="inlineStr">
        <is>
          <t>EP-011</t>
        </is>
      </c>
      <c r="B70" s="4" t="inlineStr">
        <is>
          <t>US-011-004</t>
        </is>
      </c>
      <c r="C70" s="4" t="n">
        <v>4</v>
      </c>
      <c r="D70" s="4">
        <f>COUNTIF('Acceptance Criteria'!B:B,B70)</f>
        <v/>
      </c>
      <c r="E70" s="4">
        <f>VLOOKUP(B70,'User Stories'!A:L,12,FALSE)</f>
        <v/>
      </c>
      <c r="F70" s="4">
        <f>COUNTIFS('Acceptance Criteria'!B:B,B70,'Acceptance Criteria'!F:F,"&lt;&gt;Not Tested")</f>
        <v/>
      </c>
      <c r="G70" s="4">
        <f>COUNTIFS('Acceptance Criteria'!B:B,B70,'Acceptance Criteria'!F:F,"Pass")</f>
        <v/>
      </c>
      <c r="H70" s="4">
        <f>COUNTIFS('Acceptance Criteria'!B:B,B70,'Acceptance Criteria'!F:F,"Fail")</f>
        <v/>
      </c>
      <c r="I70" s="4">
        <f>IF(C70=D70,"Linked","Mismatch")</f>
        <v/>
      </c>
      <c r="J70" s="5">
        <f>IF(C70=0,0,G70/C70)</f>
        <v/>
      </c>
    </row>
    <row r="71">
      <c r="A71" s="4" t="inlineStr">
        <is>
          <t>EP-012</t>
        </is>
      </c>
      <c r="B71" s="4" t="inlineStr">
        <is>
          <t>US-012-001</t>
        </is>
      </c>
      <c r="C71" s="4" t="n">
        <v>4</v>
      </c>
      <c r="D71" s="4">
        <f>COUNTIF('Acceptance Criteria'!B:B,B71)</f>
        <v/>
      </c>
      <c r="E71" s="4">
        <f>VLOOKUP(B71,'User Stories'!A:L,12,FALSE)</f>
        <v/>
      </c>
      <c r="F71" s="4">
        <f>COUNTIFS('Acceptance Criteria'!B:B,B71,'Acceptance Criteria'!F:F,"&lt;&gt;Not Tested")</f>
        <v/>
      </c>
      <c r="G71" s="4">
        <f>COUNTIFS('Acceptance Criteria'!B:B,B71,'Acceptance Criteria'!F:F,"Pass")</f>
        <v/>
      </c>
      <c r="H71" s="4">
        <f>COUNTIFS('Acceptance Criteria'!B:B,B71,'Acceptance Criteria'!F:F,"Fail")</f>
        <v/>
      </c>
      <c r="I71" s="4">
        <f>IF(C71=D71,"Linked","Mismatch")</f>
        <v/>
      </c>
      <c r="J71" s="5">
        <f>IF(C71=0,0,G71/C71)</f>
        <v/>
      </c>
    </row>
    <row r="72">
      <c r="A72" s="4" t="inlineStr">
        <is>
          <t>EP-012</t>
        </is>
      </c>
      <c r="B72" s="4" t="inlineStr">
        <is>
          <t>US-012-002</t>
        </is>
      </c>
      <c r="C72" s="4" t="n">
        <v>4</v>
      </c>
      <c r="D72" s="4">
        <f>COUNTIF('Acceptance Criteria'!B:B,B72)</f>
        <v/>
      </c>
      <c r="E72" s="4">
        <f>VLOOKUP(B72,'User Stories'!A:L,12,FALSE)</f>
        <v/>
      </c>
      <c r="F72" s="4">
        <f>COUNTIFS('Acceptance Criteria'!B:B,B72,'Acceptance Criteria'!F:F,"&lt;&gt;Not Tested")</f>
        <v/>
      </c>
      <c r="G72" s="4">
        <f>COUNTIFS('Acceptance Criteria'!B:B,B72,'Acceptance Criteria'!F:F,"Pass")</f>
        <v/>
      </c>
      <c r="H72" s="4">
        <f>COUNTIFS('Acceptance Criteria'!B:B,B72,'Acceptance Criteria'!F:F,"Fail")</f>
        <v/>
      </c>
      <c r="I72" s="4">
        <f>IF(C72=D72,"Linked","Mismatch")</f>
        <v/>
      </c>
      <c r="J72" s="5">
        <f>IF(C72=0,0,G72/C72)</f>
        <v/>
      </c>
    </row>
    <row r="73">
      <c r="A73" s="4" t="inlineStr">
        <is>
          <t>EP-012</t>
        </is>
      </c>
      <c r="B73" s="4" t="inlineStr">
        <is>
          <t>US-012-003</t>
        </is>
      </c>
      <c r="C73" s="4" t="n">
        <v>4</v>
      </c>
      <c r="D73" s="4">
        <f>COUNTIF('Acceptance Criteria'!B:B,B73)</f>
        <v/>
      </c>
      <c r="E73" s="4">
        <f>VLOOKUP(B73,'User Stories'!A:L,12,FALSE)</f>
        <v/>
      </c>
      <c r="F73" s="4">
        <f>COUNTIFS('Acceptance Criteria'!B:B,B73,'Acceptance Criteria'!F:F,"&lt;&gt;Not Tested")</f>
        <v/>
      </c>
      <c r="G73" s="4">
        <f>COUNTIFS('Acceptance Criteria'!B:B,B73,'Acceptance Criteria'!F:F,"Pass")</f>
        <v/>
      </c>
      <c r="H73" s="4">
        <f>COUNTIFS('Acceptance Criteria'!B:B,B73,'Acceptance Criteria'!F:F,"Fail")</f>
        <v/>
      </c>
      <c r="I73" s="4">
        <f>IF(C73=D73,"Linked","Mismatch")</f>
        <v/>
      </c>
      <c r="J73" s="5">
        <f>IF(C73=0,0,G73/C73)</f>
        <v/>
      </c>
    </row>
    <row r="74">
      <c r="A74" s="4" t="inlineStr">
        <is>
          <t>EP-012</t>
        </is>
      </c>
      <c r="B74" s="4" t="inlineStr">
        <is>
          <t>US-012-004</t>
        </is>
      </c>
      <c r="C74" s="4" t="n">
        <v>4</v>
      </c>
      <c r="D74" s="4">
        <f>COUNTIF('Acceptance Criteria'!B:B,B74)</f>
        <v/>
      </c>
      <c r="E74" s="4">
        <f>VLOOKUP(B74,'User Stories'!A:L,12,FALSE)</f>
        <v/>
      </c>
      <c r="F74" s="4">
        <f>COUNTIFS('Acceptance Criteria'!B:B,B74,'Acceptance Criteria'!F:F,"&lt;&gt;Not Tested")</f>
        <v/>
      </c>
      <c r="G74" s="4">
        <f>COUNTIFS('Acceptance Criteria'!B:B,B74,'Acceptance Criteria'!F:F,"Pass")</f>
        <v/>
      </c>
      <c r="H74" s="4">
        <f>COUNTIFS('Acceptance Criteria'!B:B,B74,'Acceptance Criteria'!F:F,"Fail")</f>
        <v/>
      </c>
      <c r="I74" s="4">
        <f>IF(C74=D74,"Linked","Mismatch")</f>
        <v/>
      </c>
      <c r="J74" s="5">
        <f>IF(C74=0,0,G74/C74)</f>
        <v/>
      </c>
    </row>
    <row r="75">
      <c r="A75" s="4" t="inlineStr">
        <is>
          <t>EP-012</t>
        </is>
      </c>
      <c r="B75" s="4" t="inlineStr">
        <is>
          <t>US-012-005</t>
        </is>
      </c>
      <c r="C75" s="4" t="n">
        <v>4</v>
      </c>
      <c r="D75" s="4">
        <f>COUNTIF('Acceptance Criteria'!B:B,B75)</f>
        <v/>
      </c>
      <c r="E75" s="4">
        <f>VLOOKUP(B75,'User Stories'!A:L,12,FALSE)</f>
        <v/>
      </c>
      <c r="F75" s="4">
        <f>COUNTIFS('Acceptance Criteria'!B:B,B75,'Acceptance Criteria'!F:F,"&lt;&gt;Not Tested")</f>
        <v/>
      </c>
      <c r="G75" s="4">
        <f>COUNTIFS('Acceptance Criteria'!B:B,B75,'Acceptance Criteria'!F:F,"Pass")</f>
        <v/>
      </c>
      <c r="H75" s="4">
        <f>COUNTIFS('Acceptance Criteria'!B:B,B75,'Acceptance Criteria'!F:F,"Fail")</f>
        <v/>
      </c>
      <c r="I75" s="4">
        <f>IF(C75=D75,"Linked","Mismatch")</f>
        <v/>
      </c>
      <c r="J75" s="5">
        <f>IF(C75=0,0,G75/C75)</f>
        <v/>
      </c>
    </row>
    <row r="76">
      <c r="A76" s="4" t="inlineStr">
        <is>
          <t>EP-012</t>
        </is>
      </c>
      <c r="B76" s="4" t="inlineStr">
        <is>
          <t>US-012-006</t>
        </is>
      </c>
      <c r="C76" s="4" t="n">
        <v>4</v>
      </c>
      <c r="D76" s="4">
        <f>COUNTIF('Acceptance Criteria'!B:B,B76)</f>
        <v/>
      </c>
      <c r="E76" s="4">
        <f>VLOOKUP(B76,'User Stories'!A:L,12,FALSE)</f>
        <v/>
      </c>
      <c r="F76" s="4">
        <f>COUNTIFS('Acceptance Criteria'!B:B,B76,'Acceptance Criteria'!F:F,"&lt;&gt;Not Tested")</f>
        <v/>
      </c>
      <c r="G76" s="4">
        <f>COUNTIFS('Acceptance Criteria'!B:B,B76,'Acceptance Criteria'!F:F,"Pass")</f>
        <v/>
      </c>
      <c r="H76" s="4">
        <f>COUNTIFS('Acceptance Criteria'!B:B,B76,'Acceptance Criteria'!F:F,"Fail")</f>
        <v/>
      </c>
      <c r="I76" s="4">
        <f>IF(C76=D76,"Linked","Mismatch")</f>
        <v/>
      </c>
      <c r="J76" s="5">
        <f>IF(C76=0,0,G76/C76)</f>
        <v/>
      </c>
    </row>
  </sheetData>
  <conditionalFormatting sqref="I2:I76">
    <cfRule type="expression" priority="1" dxfId="13">
      <formula>I2="Linked"</formula>
    </cfRule>
    <cfRule type="expression" priority="2" dxfId="12">
      <formula>I2="Mismatch"</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3.8"/>
  <cols>
    <col width="14" customWidth="1" min="1" max="1"/>
    <col width="34" customWidth="1" min="2" max="2"/>
    <col width="14" customWidth="1" min="3" max="4"/>
    <col width="62" customWidth="1" min="5" max="5"/>
    <col width="16" customWidth="1" min="6" max="7"/>
    <col width="32" customWidth="1" min="8" max="8"/>
    <col width="28" customWidth="1" min="9" max="9"/>
  </cols>
  <sheetData>
    <row r="1" ht="24" customHeight="1">
      <c r="A1" s="2" t="inlineStr">
        <is>
          <t>Risk ID</t>
        </is>
      </c>
      <c r="B1" s="2" t="inlineStr">
        <is>
          <t>Risk</t>
        </is>
      </c>
      <c r="C1" s="2" t="inlineStr">
        <is>
          <t>Impact</t>
        </is>
      </c>
      <c r="D1" s="2" t="inlineStr">
        <is>
          <t>Likelihood</t>
        </is>
      </c>
      <c r="E1" s="2" t="inlineStr">
        <is>
          <t>Mitigation</t>
        </is>
      </c>
      <c r="F1" s="2" t="inlineStr">
        <is>
          <t>Owner</t>
        </is>
      </c>
      <c r="G1" s="2" t="inlineStr">
        <is>
          <t>Status</t>
        </is>
      </c>
      <c r="H1" s="2" t="inlineStr">
        <is>
          <t>Decision / Dependency</t>
        </is>
      </c>
      <c r="I1" s="2" t="inlineStr">
        <is>
          <t>Notes</t>
        </is>
      </c>
    </row>
    <row r="2" ht="82.8" customHeight="1">
      <c r="A2" s="4" t="inlineStr">
        <is>
          <t>RISK-001</t>
        </is>
      </c>
      <c r="B2" s="4" t="inlineStr">
        <is>
          <t>Timer/attendance race conditions</t>
        </is>
      </c>
      <c r="C2" s="4" t="inlineStr">
        <is>
          <t>High</t>
        </is>
      </c>
      <c r="D2" s="4" t="inlineStr">
        <is>
          <t>Medium</t>
        </is>
      </c>
      <c r="E2" s="4" t="inlineStr">
        <is>
          <t>Use database constraints, transactions and idempotent endpoints for active clock/timer operations.</t>
        </is>
      </c>
      <c r="F2" s="4" t="inlineStr">
        <is>
          <t>Claude (AI Engineer)</t>
        </is>
      </c>
      <c r="G2" s="4" t="inlineStr">
        <is>
          <t>Mitigating</t>
        </is>
      </c>
      <c r="H2" s="4" t="n"/>
      <c r="I2" s="4" t="inlineStr">
        <is>
          <t>Postgres partial unique indexes enforce one active attendance session and one active task timer per user at the DB level, not just in application code; verified by e2e tests.</t>
        </is>
      </c>
    </row>
    <row r="3" ht="138" customHeight="1">
      <c r="A3" s="4" t="inlineStr">
        <is>
          <t>RISK-002</t>
        </is>
      </c>
      <c r="B3" s="4" t="inlineStr">
        <is>
          <t>Users forget to stop timers</t>
        </is>
      </c>
      <c r="C3" s="4" t="inlineStr">
        <is>
          <t>Medium</t>
        </is>
      </c>
      <c r="D3" s="4" t="inlineStr">
        <is>
          <t>High</t>
        </is>
      </c>
      <c r="E3" s="4" t="inlineStr">
        <is>
          <t>Long-running timer reminders, daily reconciliation and correction workflow.</t>
        </is>
      </c>
      <c r="F3" s="4" t="inlineStr">
        <is>
          <t>Claude (AI Engineer)</t>
        </is>
      </c>
      <c r="G3" s="4" t="inlineStr">
        <is>
          <t>Mitigating</t>
        </is>
      </c>
      <c r="H3" s="4" t="n"/>
      <c r="I3" s="4" t="inlineStr">
        <is>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is>
      </c>
    </row>
    <row r="4" ht="55.2" customHeight="1">
      <c r="A4" s="4" t="inlineStr">
        <is>
          <t>RISK-003</t>
        </is>
      </c>
      <c r="B4" s="4" t="inlineStr">
        <is>
          <t>Browser/client clock manipulation</t>
        </is>
      </c>
      <c r="C4" s="4" t="inlineStr">
        <is>
          <t>High</t>
        </is>
      </c>
      <c r="D4" s="4" t="inlineStr">
        <is>
          <t>Medium</t>
        </is>
      </c>
      <c r="E4" s="4" t="inlineStr">
        <is>
          <t>Use server timestamps for official records; browser only displays derived elapsed time.</t>
        </is>
      </c>
      <c r="F4" s="4" t="inlineStr">
        <is>
          <t>Claude (AI Engineer)</t>
        </is>
      </c>
      <c r="G4" s="4" t="inlineStr">
        <is>
          <t>Mitigating</t>
        </is>
      </c>
      <c r="H4" s="4" t="n"/>
      <c r="I4" s="4" t="inlineStr">
        <is>
          <t>All official clock/timer timestamps are generated server-side; the browser only ever displays a derived elapsed time.</t>
        </is>
      </c>
    </row>
    <row r="5" ht="27.6" customHeight="1">
      <c r="A5" s="4" t="inlineStr">
        <is>
          <t>RISK-004</t>
        </is>
      </c>
      <c r="B5" s="4" t="inlineStr">
        <is>
          <t>Over-scoping into HR/project management</t>
        </is>
      </c>
      <c r="C5" s="4" t="inlineStr">
        <is>
          <t>High</t>
        </is>
      </c>
      <c r="D5" s="4" t="inlineStr">
        <is>
          <t>Medium</t>
        </is>
      </c>
      <c r="E5" s="4" t="inlineStr">
        <is>
          <t>Keep MVP limited to registration, attendance, breaks, task list, task timer, admin and reporting.</t>
        </is>
      </c>
      <c r="F5" s="4" t="inlineStr">
        <is>
          <t>Claude (AI Engineer)</t>
        </is>
      </c>
      <c r="G5" s="4" t="inlineStr">
        <is>
          <t>Open</t>
        </is>
      </c>
      <c r="H5" s="4" t="n"/>
      <c r="I5" s="4" t="n"/>
    </row>
    <row r="6" ht="69" customHeight="1">
      <c r="A6" s="4" t="inlineStr">
        <is>
          <t>RISK-005</t>
        </is>
      </c>
      <c r="B6" s="4" t="inlineStr">
        <is>
          <t>Audit trail weakened by direct edits</t>
        </is>
      </c>
      <c r="C6" s="4" t="inlineStr">
        <is>
          <t>High</t>
        </is>
      </c>
      <c r="D6" s="4" t="inlineStr">
        <is>
          <t>Low</t>
        </is>
      </c>
      <c r="E6" s="4" t="inlineStr">
        <is>
          <t>Corrections preserve originals and require reason/actor/time.</t>
        </is>
      </c>
      <c r="F6" s="4" t="inlineStr">
        <is>
          <t>Claude (AI Engineer)</t>
        </is>
      </c>
      <c r="G6" s="4" t="inlineStr">
        <is>
          <t>Mitigating</t>
        </is>
      </c>
      <c r="H6" s="4" t="n"/>
      <c r="I6" s="4" t="inlineStr">
        <is>
          <t>Corrections never overwrite the live record until approved, and every correction/direct-edit is captured in the audit log with before/after values.</t>
        </is>
      </c>
    </row>
    <row r="7" ht="27.6" customHeight="1">
      <c r="A7" s="4" t="inlineStr">
        <is>
          <t>RISK-006</t>
        </is>
      </c>
      <c r="B7" s="4" t="inlineStr">
        <is>
          <t>Sensitive workforce data exposure</t>
        </is>
      </c>
      <c r="C7" s="4" t="inlineStr">
        <is>
          <t>High</t>
        </is>
      </c>
      <c r="D7" s="4" t="inlineStr">
        <is>
          <t>Low</t>
        </is>
      </c>
      <c r="E7" s="4" t="inlineStr">
        <is>
          <t>RBAC, HTTPS, secure sessions, least privilege and privacy-conscious logging.</t>
        </is>
      </c>
      <c r="F7" s="4" t="inlineStr">
        <is>
          <t>Claude (AI Engineer)</t>
        </is>
      </c>
      <c r="G7" s="4" t="inlineStr">
        <is>
          <t>Open</t>
        </is>
      </c>
      <c r="H7" s="4" t="n"/>
      <c r="I7" s="4" t="n"/>
    </row>
    <row r="8">
      <c r="A8" t="inlineStr">
        <is>
          <t>RISK-007</t>
        </is>
      </c>
      <c r="B8" t="inlineStr">
        <is>
          <t>Write-path API latency under a synchronized concurrent burst (e.g. real shift-start rush)</t>
        </is>
      </c>
      <c r="C8" t="inlineStr">
        <is>
          <t>Low</t>
        </is>
      </c>
      <c r="D8" t="inlineStr">
        <is>
          <t>Medium</t>
        </is>
      </c>
      <c r="E8" t="inlineStr">
        <is>
          <t>Increase Container App CPU/memory allocation; move Postgres off Burstable (Standard_B1ms) to a General Purpose tier before onboarding a real multi-employee organisation.</t>
        </is>
      </c>
      <c r="F8" t="inlineStr">
        <is>
          <t>Claude (AI Engineer)</t>
        </is>
      </c>
      <c r="G8" t="inlineStr">
        <is>
          <t>Mitigating</t>
        </is>
      </c>
      <c r="I8" t="inlineStr">
        <is>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3.8"/>
  <cols>
    <col width="12" customWidth="1" min="1" max="1"/>
    <col width="38" customWidth="1" min="2" max="2"/>
    <col width="52" customWidth="1" min="3" max="3"/>
    <col width="46" customWidth="1" min="4" max="4"/>
    <col width="52" customWidth="1" min="5" max="5"/>
    <col width="16" customWidth="1" min="6" max="6"/>
  </cols>
  <sheetData>
    <row r="1" ht="24" customHeight="1">
      <c r="A1" s="2" t="inlineStr">
        <is>
          <t>Release</t>
        </is>
      </c>
      <c r="B1" s="2" t="inlineStr">
        <is>
          <t>Goal</t>
        </is>
      </c>
      <c r="C1" s="2" t="inlineStr">
        <is>
          <t>Epic Scope</t>
        </is>
      </c>
      <c r="D1" s="2" t="inlineStr">
        <is>
          <t>Entry Gate</t>
        </is>
      </c>
      <c r="E1" s="2" t="inlineStr">
        <is>
          <t>Exit Gate</t>
        </is>
      </c>
      <c r="F1" s="2" t="inlineStr">
        <is>
          <t>Status</t>
        </is>
      </c>
    </row>
    <row r="2" ht="27.6" customHeight="1">
      <c r="A2" s="4" t="inlineStr">
        <is>
          <t>MVP</t>
        </is>
      </c>
      <c r="B2" s="4" t="inlineStr">
        <is>
          <t>Deliver usable production baseline</t>
        </is>
      </c>
      <c r="C2" s="4" t="inlineStr">
        <is>
          <t>EP-001 to EP-010 and EP-012</t>
        </is>
      </c>
      <c r="D2" s="4" t="inlineStr">
        <is>
          <t>SRS approved; schema/UX/security baseline ready</t>
        </is>
      </c>
      <c r="E2" s="4" t="inlineStr">
        <is>
          <t>MVP stories accepted; security, concurrency, backup and deployment gates passed</t>
        </is>
      </c>
      <c r="F2" s="4" t="inlineStr">
        <is>
          <t>In Progress</t>
        </is>
      </c>
    </row>
    <row r="3" ht="27.6" customHeight="1">
      <c r="A3" s="4" t="inlineStr">
        <is>
          <t>R1</t>
        </is>
      </c>
      <c r="B3" s="4" t="inlineStr">
        <is>
          <t>Add reminders and production-led refinements</t>
        </is>
      </c>
      <c r="C3" s="4" t="inlineStr">
        <is>
          <t>EP-011 + approved carry-over improvements</t>
        </is>
      </c>
      <c r="D3" s="4" t="inlineStr">
        <is>
          <t>MVP stable with production telemetry</t>
        </is>
      </c>
      <c r="E3" s="4" t="inlineStr">
        <is>
          <t>R1 AC passed and no blocking regression</t>
        </is>
      </c>
      <c r="F3" s="4" t="inlineStr">
        <is>
          <t>Not Started</t>
        </is>
      </c>
    </row>
    <row r="4" ht="27.6" customHeight="1">
      <c r="A4" s="4" t="inlineStr">
        <is>
          <t>Later</t>
        </is>
      </c>
      <c r="B4" s="4" t="inlineStr">
        <is>
          <t>Evidence-driven expansion only</t>
        </is>
      </c>
      <c r="C4" s="4" t="inlineStr">
        <is>
          <t>Native mobile / SSO / richer live updates / external integrations if justified</t>
        </is>
      </c>
      <c r="D4" s="4" t="inlineStr">
        <is>
          <t>Business case and production evidence</t>
        </is>
      </c>
      <c r="E4" s="4" t="inlineStr">
        <is>
          <t>Feature-specific readiness criteria</t>
        </is>
      </c>
      <c r="F4" s="4" t="inlineStr">
        <is>
          <t>Planned</t>
        </is>
      </c>
    </row>
  </sheetData>
  <dataValidations count="1">
    <dataValidation sqref="F2:F4" showDropDown="0" showInputMessage="0" showErrorMessage="0" allowBlank="0" type="list">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3.8"/>
  <cols>
    <col width="26" customWidth="1" min="1" max="1"/>
    <col width="15" customWidth="1" min="2" max="2"/>
    <col width="20" customWidth="1" min="4" max="4"/>
    <col width="12" customWidth="1" min="5" max="5"/>
    <col width="14" customWidth="1" min="7" max="7"/>
    <col width="12" customWidth="1" min="8" max="8"/>
  </cols>
  <sheetData>
    <row r="1" ht="21" customHeight="1">
      <c r="A1" s="7" t="inlineStr">
        <is>
          <t>Attendance &amp; Task Management - Delivery Dashboard</t>
        </is>
      </c>
    </row>
    <row r="3" ht="24" customHeight="1">
      <c r="A3" s="2" t="inlineStr">
        <is>
          <t>Baseline Metric</t>
        </is>
      </c>
      <c r="B3" s="2" t="inlineStr">
        <is>
          <t>Value</t>
        </is>
      </c>
      <c r="D3" s="2" t="inlineStr">
        <is>
          <t>Story Status</t>
        </is>
      </c>
      <c r="E3" s="2" t="inlineStr">
        <is>
          <t>Count</t>
        </is>
      </c>
      <c r="G3" s="2" t="inlineStr">
        <is>
          <t>Release</t>
        </is>
      </c>
      <c r="H3" s="2" t="inlineStr">
        <is>
          <t>Stories</t>
        </is>
      </c>
    </row>
    <row r="4">
      <c r="A4" s="4" t="inlineStr">
        <is>
          <t>Epics</t>
        </is>
      </c>
      <c r="B4" s="4" t="n">
        <v>12</v>
      </c>
      <c r="D4" s="4" t="inlineStr">
        <is>
          <t>Not Started</t>
        </is>
      </c>
      <c r="E4" s="4">
        <f>COUNTIF('User Stories'!L:L,"Not Started")</f>
        <v/>
      </c>
      <c r="G4" s="4" t="inlineStr">
        <is>
          <t>MVP</t>
        </is>
      </c>
      <c r="H4" s="4">
        <f>COUNTIF('User Stories'!J:J,"MVP")</f>
        <v/>
      </c>
    </row>
    <row r="5">
      <c r="A5" s="4" t="inlineStr">
        <is>
          <t>User Stories</t>
        </is>
      </c>
      <c r="B5" s="4" t="n">
        <v>75</v>
      </c>
      <c r="D5" s="4" t="inlineStr">
        <is>
          <t>In Progress</t>
        </is>
      </c>
      <c r="E5" s="4">
        <f>COUNTIF('User Stories'!L:L,"In Progress")</f>
        <v/>
      </c>
      <c r="G5" s="4" t="inlineStr">
        <is>
          <t>R1</t>
        </is>
      </c>
      <c r="H5" s="4">
        <f>COUNTIF('User Stories'!J:J,"R1")</f>
        <v/>
      </c>
    </row>
    <row r="6">
      <c r="A6" s="4" t="inlineStr">
        <is>
          <t>Acceptance Criteria</t>
        </is>
      </c>
      <c r="B6" s="4" t="n">
        <v>300</v>
      </c>
      <c r="D6" s="4" t="inlineStr">
        <is>
          <t>In Review</t>
        </is>
      </c>
      <c r="E6" s="4">
        <f>COUNTIF('User Stories'!L:L,"In Review")</f>
        <v/>
      </c>
      <c r="G6" s="4" t="inlineStr">
        <is>
          <t>Later</t>
        </is>
      </c>
      <c r="H6" s="4">
        <f>COUNTIF('User Stories'!J:J,"Later")</f>
        <v/>
      </c>
    </row>
    <row r="7">
      <c r="A7" s="4" t="inlineStr">
        <is>
          <t>NFRs</t>
        </is>
      </c>
      <c r="B7" s="4" t="n">
        <v>16</v>
      </c>
      <c r="D7" s="4" t="inlineStr">
        <is>
          <t>Blocked</t>
        </is>
      </c>
      <c r="E7" s="4">
        <f>COUNTIF('User Stories'!L:L,"Blocked")</f>
        <v/>
      </c>
    </row>
    <row r="8">
      <c r="A8" s="4" t="inlineStr">
        <is>
          <t>Business Rules</t>
        </is>
      </c>
      <c r="B8" s="4" t="n">
        <v>14</v>
      </c>
      <c r="D8" s="4" t="inlineStr">
        <is>
          <t>Done</t>
        </is>
      </c>
      <c r="E8" s="4">
        <f>COUNTIF('User Stories'!L:L,"Done")</f>
        <v/>
      </c>
    </row>
    <row r="9">
      <c r="A9" s="4" t="inlineStr">
        <is>
          <t>Screens</t>
        </is>
      </c>
      <c r="B9" s="4" t="n">
        <v>20</v>
      </c>
      <c r="D9" s="4" t="inlineStr">
        <is>
          <t>Deferred</t>
        </is>
      </c>
      <c r="E9" s="4">
        <f>COUNTIF('User Stories'!L:L,"Deferred")</f>
        <v/>
      </c>
    </row>
    <row r="12" ht="24" customHeight="1">
      <c r="A12" s="2" t="inlineStr">
        <is>
          <t>Quality / Delivery KPI</t>
        </is>
      </c>
      <c r="B12" s="2" t="inlineStr">
        <is>
          <t>Value</t>
        </is>
      </c>
    </row>
    <row r="13">
      <c r="A13" s="4" t="inlineStr">
        <is>
          <t>Stories Done %</t>
        </is>
      </c>
      <c r="B13" s="6">
        <f>IFERROR(COUNTIF('User Stories'!L:L,"Done")/(COUNTA('User Stories'!A:A)-1),0)</f>
        <v/>
      </c>
    </row>
    <row r="14">
      <c r="A14" s="4" t="inlineStr">
        <is>
          <t>AC Pass %</t>
        </is>
      </c>
      <c r="B14" s="6">
        <f>IFERROR(COUNTIF('Acceptance Criteria'!F:F,"Pass")/(COUNTA('Acceptance Criteria'!A:A)-1),0)</f>
        <v/>
      </c>
    </row>
    <row r="15">
      <c r="A15" s="4" t="inlineStr">
        <is>
          <t>AC Failed</t>
        </is>
      </c>
      <c r="B15" s="4">
        <f>COUNTIF('Acceptance Criteria'!F:F,"Fail")</f>
        <v/>
      </c>
    </row>
    <row r="16">
      <c r="A16" s="4" t="inlineStr">
        <is>
          <t>Blocked Stories</t>
        </is>
      </c>
      <c r="B16" s="4">
        <f>COUNTIF('User Stories'!L:L,"Blocked")</f>
        <v/>
      </c>
    </row>
    <row r="17">
      <c r="A17" s="4" t="inlineStr">
        <is>
          <t>Traceability Coverage</t>
        </is>
      </c>
      <c r="B17" s="6">
        <f>IFERROR(COUNTIF(Traceability!I:I,"Linked")/(COUNTA(Traceability!B:B)-1),0)</f>
        <v/>
      </c>
    </row>
    <row r="18">
      <c r="A18" s="4" t="inlineStr">
        <is>
          <t>Open Risks</t>
        </is>
      </c>
      <c r="B18" s="4">
        <f>COUNTIF('Risks &amp; Decisions'!G:G,"Open")</f>
        <v/>
      </c>
    </row>
  </sheetData>
  <mergeCells count="1">
    <mergeCell ref="A1:H1"/>
  </mergeCells>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2026-09-07T16:47:18Z</dcterms:created>
  <dcterms:modified xmlns:dcterms="http://purl.org/dc/terms/" xmlns:xsi="http://www.w3.org/2001/XMLSchema-instance" xsi:type="dcterms:W3CDTF">2026-09-09T23:33:28Z</dcterms:modified>
  <cp:lastModifiedBy>AMAAN FAIZ</cp:lastModifiedBy>
</cp:coreProperties>
</file>