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Lists" sheetId="1" state="visible" r:id="rId1"/>
    <sheet xmlns:r="http://schemas.openxmlformats.org/officeDocument/2006/relationships" name="Epics" sheetId="2" state="visible" r:id="rId2"/>
    <sheet xmlns:r="http://schemas.openxmlformats.org/officeDocument/2006/relationships" name="User Stories" sheetId="3" state="visible" r:id="rId3"/>
    <sheet xmlns:r="http://schemas.openxmlformats.org/officeDocument/2006/relationships" name="Acceptance Criteria" sheetId="4" state="visible" r:id="rId4"/>
    <sheet xmlns:r="http://schemas.openxmlformats.org/officeDocument/2006/relationships" name="NFR &amp; Business Rules" sheetId="5" state="visible" r:id="rId5"/>
    <sheet xmlns:r="http://schemas.openxmlformats.org/officeDocument/2006/relationships" name="Technology Stack" sheetId="6" state="visible" r:id="rId6"/>
    <sheet xmlns:r="http://schemas.openxmlformats.org/officeDocument/2006/relationships" name="Screen Catalogue" sheetId="7" state="visible" r:id="rId7"/>
    <sheet xmlns:r="http://schemas.openxmlformats.org/officeDocument/2006/relationships" name="Traceability" sheetId="8" state="visible" r:id="rId8"/>
    <sheet xmlns:r="http://schemas.openxmlformats.org/officeDocument/2006/relationships" name="Risks &amp; Decisions" sheetId="9" state="visible" r:id="rId9"/>
    <sheet xmlns:r="http://schemas.openxmlformats.org/officeDocument/2006/relationships" name="Release Plan" sheetId="10" state="visible" r:id="rId10"/>
    <sheet xmlns:r="http://schemas.openxmlformats.org/officeDocument/2006/relationships" name="Dashboard" sheetId="11" state="visible" r:id="rId11"/>
  </sheets>
  <definedNames/>
</workbook>
</file>

<file path=xl/styles.xml><?xml version="1.0" encoding="utf-8"?>
<styleSheet xmlns="http://schemas.openxmlformats.org/spreadsheetml/2006/main">
  <numFmts count="1">
    <numFmt numFmtId="164" formatCode="0.0%"/>
  </numFmts>
  <fonts count="3">
    <font>
      <name val="Carlito"/>
      <sz val="11"/>
    </font>
    <font>
      <name val="Carlito"/>
      <b val="1"/>
      <color rgb="FFFFFFFF"/>
      <sz val="11"/>
    </font>
    <font>
      <name val="Carlito"/>
      <b val="1"/>
      <color rgb="FFFFFFFF"/>
      <sz val="16"/>
    </font>
  </fonts>
  <fills count="4">
    <fill>
      <patternFill/>
    </fill>
    <fill>
      <patternFill patternType="gray125"/>
    </fill>
    <fill>
      <patternFill patternType="solid">
        <fgColor rgb="FF17365D"/>
      </patternFill>
    </fill>
    <fill>
      <patternFill patternType="solid">
        <fgColor rgb="FF1F4E79"/>
      </patternFill>
    </fill>
  </fills>
  <borders count="2">
    <border/>
    <border/>
  </borders>
  <cellStyleXfs count="1">
    <xf numFmtId="0" fontId="0" fillId="0" borderId="1"/>
  </cellStyleXfs>
  <cellXfs count="26">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1" fillId="2" borderId="0" applyAlignment="1" pivotButton="0" quotePrefix="0" xfId="0">
      <alignment horizontal="center" vertic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1" fillId="2"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0" applyAlignment="1" pivotButton="0" quotePrefix="0" xfId="0">
      <alignment vertical="top" wrapText="1"/>
    </xf>
    <xf numFmtId="0" fontId="0" fillId="0" borderId="1" applyAlignment="1" pivotButton="0" quotePrefix="0" xfId="0">
      <alignment vertical="top" wrapText="1"/>
    </xf>
    <xf numFmtId="9" fontId="0" fillId="0" borderId="0" applyAlignment="1" pivotButton="0" quotePrefix="0" xfId="0">
      <alignment vertical="top" wrapText="1"/>
    </xf>
    <xf numFmtId="9" fontId="0" fillId="0" borderId="1" applyAlignment="1" pivotButton="0" quotePrefix="0" xfId="0">
      <alignment vertical="top" wrapText="1"/>
    </xf>
    <xf numFmtId="0" fontId="0" fillId="3" borderId="0" pivotButton="0" quotePrefix="0" xfId="0"/>
    <xf numFmtId="0" fontId="2" fillId="3" borderId="0" pivotButton="0" quotePrefix="0" xfId="0"/>
    <xf numFmtId="0" fontId="2" fillId="3" borderId="0" applyAlignment="1" pivotButton="0" quotePrefix="0" xfId="0">
      <alignment vertical="center"/>
    </xf>
    <xf numFmtId="0" fontId="0" fillId="3" borderId="1" pivotButton="0" quotePrefix="0" xfId="0"/>
    <xf numFmtId="0" fontId="2" fillId="3" borderId="1" pivotButton="0" quotePrefix="0" xfId="0"/>
    <xf numFmtId="0" fontId="2" fillId="3" borderId="1" applyAlignment="1" pivotButton="0" quotePrefix="0" xfId="0">
      <alignment vertical="center"/>
    </xf>
    <xf numFmtId="164" fontId="0" fillId="0" borderId="0" applyAlignment="1" pivotButton="0" quotePrefix="0" xfId="0">
      <alignment vertical="top" wrapText="1"/>
    </xf>
    <xf numFmtId="164" fontId="0" fillId="0" borderId="1" applyAlignment="1" pivotButton="0" quotePrefix="0" xfId="0">
      <alignment vertical="top" wrapText="1"/>
    </xf>
    <xf numFmtId="9" fontId="0" fillId="0" borderId="0" applyAlignment="1" pivotButton="0" quotePrefix="0" xfId="0">
      <alignment vertical="top" wrapText="1"/>
    </xf>
    <xf numFmtId="164" fontId="0" fillId="0" borderId="0" applyAlignment="1" pivotButton="0" quotePrefix="0" xfId="0">
      <alignment vertical="top" wrapText="1"/>
    </xf>
  </cellXfs>
  <cellStyles count="1">
    <cellStyle name="Normal" xfId="0"/>
  </cellStyles>
  <dxfs count="9">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
      <fill>
        <patternFill patternType="solid">
          <bgColor rgb="FFFFF2CC"/>
        </patternFill>
      </fill>
    </dxf>
    <dxf>
      <fill>
        <patternFill patternType="solid">
          <bgColor rgb="FFD9EAD3"/>
        </patternFill>
      </fill>
    </dxf>
    <dxf>
      <fill>
        <patternFill patternType="solid">
          <bgColor rgb="FFF4CCCC"/>
        </patternFill>
      </fill>
    </dxf>
    <dxf>
      <fill>
        <patternFill patternType="solid">
          <bgColor rgb="FFD9EAD3"/>
        </patternFill>
      </fill>
    </dxf>
    <dxf>
      <fill>
        <patternFill patternType="solid">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User Story Status</a:t>
            </a:r>
          </a:p>
        </rich>
      </tx>
    </title>
    <plotArea>
      <barChart>
        <barDir val="col"/>
        <grouping val="clustered"/>
        <varyColors val="0"/>
        <ser>
          <idx val="0"/>
          <order val="0"/>
          <tx>
            <v>Count</v>
          </tx>
          <spPr>
            <a:ln xmlns:a="http://schemas.openxmlformats.org/drawingml/2006/main">
              <a:prstDash val="solid"/>
            </a:ln>
          </spPr>
          <cat>
            <strRef>
              <f>'Dashboard'!$D$4:$D$9</f>
              <strCache>
                <ptCount val="0"/>
              </strCache>
            </strRef>
          </cat>
          <val>
            <numRef>
              <f>'Dashboard'!$E$4:$E$9</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charts/chart2.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Stories by Release</a:t>
            </a:r>
          </a:p>
        </rich>
      </tx>
    </title>
    <plotArea>
      <barChart>
        <barDir val="col"/>
        <grouping val="clustered"/>
        <varyColors val="0"/>
        <ser>
          <idx val="0"/>
          <order val="0"/>
          <tx>
            <v>Stories</v>
          </tx>
          <spPr>
            <a:ln xmlns:a="http://schemas.openxmlformats.org/drawingml/2006/main">
              <a:prstDash val="solid"/>
            </a:ln>
          </spPr>
          <cat>
            <strRef>
              <f>'Dashboard'!$G$4:$G$6</f>
              <strCache>
                <ptCount val="0"/>
              </strCache>
            </strRef>
          </cat>
          <val>
            <numRef>
              <f>'Dashboard'!$H$4:$H$6</f>
              <numCache>
                <formatCode>General</formatCode>
                <ptCount val="0"/>
              </numCache>
            </numRef>
          </val>
        </ser>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twoCellAnchor>
    <from>
      <col>3</col>
      <colOff>0</colOff>
      <row>11</row>
      <rowOff>0</rowOff>
    </from>
    <to>
      <col>8</col>
      <colOff>0</colOff>
      <row>26</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from>
      <col>9</col>
      <colOff>0</colOff>
      <row>2</row>
      <rowOff>0</rowOff>
    </from>
    <to>
      <col>14</col>
      <colOff>0</colOff>
      <row>16</row>
      <rowOff>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wsDr>
</file>

<file path=xl/tables/table1.xml><?xml version="1.0" encoding="utf-8"?>
<table xmlns="http://schemas.openxmlformats.org/spreadsheetml/2006/main" id="1" name="EpicsTable" displayName="EpicsTable" ref="A1:J13" headerRowCount="1" totalsRowCount="0" totalsRowShown="0">
  <tableColumns count="10">
    <tableColumn id="1" name="Epic ID"/>
    <tableColumn id="2" name="Epic Name"/>
    <tableColumn id="3" name="Description"/>
    <tableColumn id="4" name="Priority"/>
    <tableColumn id="5" name="Release"/>
    <tableColumn id="6" name="Owner"/>
    <tableColumn id="7" name="Status"/>
    <tableColumn id="8" name="Target Sprint"/>
    <tableColumn id="9" name="% Complete"/>
    <tableColumn id="10" name="Notes"/>
  </tableColumns>
  <tableStyleInfo name="TableStyleMedium2" showFirstColumn="0" showLastColumn="0" showRowStripes="1" showColumnStripes="0"/>
</table>
</file>

<file path=xl/tables/table2.xml><?xml version="1.0" encoding="utf-8"?>
<table xmlns="http://schemas.openxmlformats.org/spreadsheetml/2006/main" id="2" name="UserStoriesTable" displayName="UserStoriesTable" ref="A1:O76" headerRowCount="1" totalsRowCount="0" totalsRowShown="0">
  <tableColumns count="15">
    <tableColumn id="1" name="Story ID"/>
    <tableColumn id="2" name="Epic ID"/>
    <tableColumn id="3" name="Title"/>
    <tableColumn id="4" name="Persona"/>
    <tableColumn id="5" name="User Story"/>
    <tableColumn id="6" name="AC Count"/>
    <tableColumn id="7" name="Dependencies"/>
    <tableColumn id="8" name="Owner"/>
    <tableColumn id="9" name="Priority"/>
    <tableColumn id="10" name="Release"/>
    <tableColumn id="11" name="Sprint"/>
    <tableColumn id="12" name="Status"/>
    <tableColumn id="13" name="Estimate Points"/>
    <tableColumn id="14" name="Dev Notes"/>
    <tableColumn id="15" name="QA Notes"/>
  </tableColumns>
  <tableStyleInfo name="TableStyleMedium2" showFirstColumn="0" showLastColumn="0" showRowStripes="1" showColumnStripes="0"/>
</table>
</file>

<file path=xl/tables/table3.xml><?xml version="1.0" encoding="utf-8"?>
<table xmlns="http://schemas.openxmlformats.org/spreadsheetml/2006/main" id="3" name="AcceptanceCriteriaTable" displayName="AcceptanceCriteriaTable" ref="A1:K301" headerRowCount="1" totalsRowCount="0" totalsRowShown="0">
  <tableColumns count="11">
    <tableColumn id="1" name="AC ID"/>
    <tableColumn id="2" name="Story ID"/>
    <tableColumn id="3" name="Epic ID"/>
    <tableColumn id="4" name="Acceptance Criterion"/>
    <tableColumn id="5" name="Test Case ID"/>
    <tableColumn id="6" name="Test Status"/>
    <tableColumn id="7" name="Evidence / Link"/>
    <tableColumn id="8" name="Defect ID"/>
    <tableColumn id="9" name="Tester"/>
    <tableColumn id="10" name="Test Cycle"/>
    <tableColumn id="11" name="Comments"/>
  </tableColumns>
  <tableStyleInfo name="TableStyleMedium2" showFirstColumn="0" showLastColumn="0" showRowStripes="1" showColumnStripes="0"/>
</table>
</file>

<file path=xl/tables/table4.xml><?xml version="1.0" encoding="utf-8"?>
<table xmlns="http://schemas.openxmlformats.org/spreadsheetml/2006/main" id="4" name="TechnologyStackTable" displayName="TechnologyStackTable" ref="A1:C19" headerRowCount="1" totalsRowCount="0" totalsRowShown="0">
  <tableColumns count="3">
    <tableColumn id="1" name="Layer"/>
    <tableColumn id="2" name="Recommended Technology"/>
    <tableColumn id="3" name="Reason / Implementation Guidance"/>
  </tableColumns>
  <tableStyleInfo name="TableStyleMedium2" showFirstColumn="0" showLastColumn="0" showRowStripes="1" showColumnStripes="0"/>
</table>
</file>

<file path=xl/tables/table5.xml><?xml version="1.0" encoding="utf-8"?>
<table xmlns="http://schemas.openxmlformats.org/spreadsheetml/2006/main" id="5" name="ScreensTable" displayName="ScreensTable" ref="A1:C21" headerRowCount="1" totalsRowCount="0" totalsRowShown="0">
  <tableColumns count="3">
    <tableColumn id="1" name="Screen ID"/>
    <tableColumn id="2" name="Screen"/>
    <tableColumn id="3" name="Delivery Status"/>
  </tableColumns>
  <tableStyleInfo name="TableStyleMedium2" showFirstColumn="0" showLastColumn="0" showRowStripes="1" showColumnStripes="0"/>
</table>
</file>

<file path=xl/tables/table6.xml><?xml version="1.0" encoding="utf-8"?>
<table xmlns="http://schemas.openxmlformats.org/spreadsheetml/2006/main" id="6" name="TraceabilityTable" displayName="TraceabilityTable" ref="A1:J76" headerRowCount="1" totalsRowCount="0" totalsRowShown="0">
  <tableColumns count="10">
    <tableColumn id="1" name="Epic ID"/>
    <tableColumn id="2" name="Story ID"/>
    <tableColumn id="3" name="SRS AC Count"/>
    <tableColumn id="4" name="Tracker AC Count"/>
    <tableColumn id="5" name="Story Status"/>
    <tableColumn id="6" name="AC Tested"/>
    <tableColumn id="7" name="AC Passed"/>
    <tableColumn id="8" name="AC Failed"/>
    <tableColumn id="9" name="Traceability"/>
    <tableColumn id="10" name="QA Completion %"/>
  </tableColumns>
  <tableStyleInfo name="TableStyleMedium2" showFirstColumn="0" showLastColumn="0" showRowStripes="1" showColumnStripes="0"/>
</table>
</file>

<file path=xl/tables/table7.xml><?xml version="1.0" encoding="utf-8"?>
<table xmlns="http://schemas.openxmlformats.org/spreadsheetml/2006/main" id="7" name="RisksTable" displayName="RisksTable" ref="A1:I7" headerRowCount="1" totalsRowCount="0" totalsRowShown="0">
  <tableColumns count="9">
    <tableColumn id="1" name="Risk ID"/>
    <tableColumn id="2" name="Risk"/>
    <tableColumn id="3" name="Impact"/>
    <tableColumn id="4" name="Likelihood"/>
    <tableColumn id="5" name="Mitigation"/>
    <tableColumn id="6" name="Owner"/>
    <tableColumn id="7" name="Status"/>
    <tableColumn id="8" name="Decision / Dependency"/>
    <tableColumn id="9"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24" customHeight="1">
      <c r="A1" s="5" t="inlineStr">
        <is>
          <t>Story Status</t>
        </is>
      </c>
      <c r="B1" s="5" t="inlineStr">
        <is>
          <t>Priority</t>
        </is>
      </c>
      <c r="C1" s="5" t="inlineStr">
        <is>
          <t>Release</t>
        </is>
      </c>
      <c r="D1" s="5" t="inlineStr">
        <is>
          <t>AC Status</t>
        </is>
      </c>
      <c r="E1" s="5" t="inlineStr">
        <is>
          <t>Risk Status</t>
        </is>
      </c>
      <c r="F1" s="5" t="inlineStr">
        <is>
          <t>Test Cycle</t>
        </is>
      </c>
    </row>
    <row r="2">
      <c r="A2" s="12" t="inlineStr">
        <is>
          <t>Not Started</t>
        </is>
      </c>
      <c r="B2" s="12" t="inlineStr">
        <is>
          <t>Must Have</t>
        </is>
      </c>
      <c r="C2" s="12" t="inlineStr">
        <is>
          <t>MVP</t>
        </is>
      </c>
      <c r="D2" s="12" t="inlineStr">
        <is>
          <t>Not Tested</t>
        </is>
      </c>
      <c r="E2" s="12" t="inlineStr">
        <is>
          <t>Open</t>
        </is>
      </c>
      <c r="F2" s="12" t="inlineStr">
        <is>
          <t>SIT</t>
        </is>
      </c>
    </row>
    <row r="3">
      <c r="A3" s="12" t="inlineStr">
        <is>
          <t>In Progress</t>
        </is>
      </c>
      <c r="B3" s="12" t="inlineStr">
        <is>
          <t>Should Have</t>
        </is>
      </c>
      <c r="C3" s="12" t="inlineStr">
        <is>
          <t>R1</t>
        </is>
      </c>
      <c r="D3" s="12" t="inlineStr">
        <is>
          <t>Pass</t>
        </is>
      </c>
      <c r="E3" s="12" t="inlineStr">
        <is>
          <t>Mitigating</t>
        </is>
      </c>
      <c r="F3" s="12" t="inlineStr">
        <is>
          <t>UAT</t>
        </is>
      </c>
    </row>
    <row r="4">
      <c r="A4" s="12" t="inlineStr">
        <is>
          <t>Blocked</t>
        </is>
      </c>
      <c r="B4" s="12" t="inlineStr">
        <is>
          <t>Could Have</t>
        </is>
      </c>
      <c r="C4" s="12" t="inlineStr">
        <is>
          <t>Later</t>
        </is>
      </c>
      <c r="D4" s="12" t="inlineStr">
        <is>
          <t>Fail</t>
        </is>
      </c>
      <c r="E4" s="12" t="inlineStr">
        <is>
          <t>Accepted</t>
        </is>
      </c>
      <c r="F4" s="12" t="inlineStr">
        <is>
          <t>Regression</t>
        </is>
      </c>
    </row>
    <row r="5">
      <c r="A5" s="12" t="inlineStr">
        <is>
          <t>In Review</t>
        </is>
      </c>
      <c r="B5" s="12" t="str"/>
      <c r="C5" s="12" t="str"/>
      <c r="D5" s="12" t="inlineStr">
        <is>
          <t>Blocked</t>
        </is>
      </c>
      <c r="E5" s="12" t="inlineStr">
        <is>
          <t>Closed</t>
        </is>
      </c>
      <c r="F5" s="12" t="str"/>
    </row>
    <row r="6">
      <c r="A6" s="12" t="inlineStr">
        <is>
          <t>Done</t>
        </is>
      </c>
      <c r="B6" s="12" t="str"/>
      <c r="C6" s="12" t="str"/>
      <c r="D6" s="12" t="inlineStr">
        <is>
          <t>Not Applicable</t>
        </is>
      </c>
      <c r="E6" s="12" t="str"/>
      <c r="F6" s="12" t="str"/>
    </row>
    <row r="7">
      <c r="A7" s="12" t="inlineStr">
        <is>
          <t>Deferred</t>
        </is>
      </c>
      <c r="B7" s="12" t="str"/>
      <c r="C7" s="12" t="str"/>
      <c r="D7" s="12" t="str"/>
      <c r="E7" s="12" t="str"/>
      <c r="F7" s="12" t="str"/>
    </row>
    <row r="8">
      <c r="A8" s="12" t="inlineStr">
        <is>
          <t>Cancelled</t>
        </is>
      </c>
      <c r="B8" s="12" t="str"/>
      <c r="C8" s="12" t="str"/>
      <c r="D8" s="12" t="str"/>
      <c r="E8" s="12" t="str"/>
      <c r="F8" s="12" t="str"/>
    </row>
    <row r="9">
      <c r="A9" s="12" t="str"/>
      <c r="B9" s="12" t="str"/>
      <c r="C9" s="12" t="str"/>
      <c r="D9" s="12" t="str"/>
      <c r="E9" s="12" t="str"/>
      <c r="F9" s="12" t="str"/>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13"/>
  <sheetViews>
    <sheetView workbookViewId="0">
      <selection activeCell="A1" sqref="A1"/>
    </sheetView>
  </sheetViews>
  <sheetFormatPr baseColWidth="8" defaultRowHeight="15"/>
  <cols>
    <col width="12" customWidth="1" min="1" max="1"/>
    <col width="30" customWidth="1" min="2" max="2"/>
    <col width="50" customWidth="1" min="3" max="3"/>
    <col width="14" customWidth="1" min="4" max="4"/>
    <col width="12" customWidth="1" min="5" max="5"/>
    <col width="16" customWidth="1" min="6" max="6"/>
    <col width="16" customWidth="1" min="7" max="7"/>
    <col width="16" customWidth="1" min="8" max="8"/>
    <col width="12" customWidth="1" min="9" max="9"/>
    <col width="28" customWidth="1" min="10" max="10"/>
  </cols>
  <sheetData>
    <row r="1" ht="24" customHeight="1">
      <c r="A1" s="5" t="inlineStr">
        <is>
          <t>Epic ID</t>
        </is>
      </c>
      <c r="B1" s="5" t="inlineStr">
        <is>
          <t>Epic Name</t>
        </is>
      </c>
      <c r="C1" s="5" t="inlineStr">
        <is>
          <t>Description</t>
        </is>
      </c>
      <c r="D1" s="5" t="inlineStr">
        <is>
          <t>Priority</t>
        </is>
      </c>
      <c r="E1" s="5" t="inlineStr">
        <is>
          <t>Release</t>
        </is>
      </c>
      <c r="F1" s="5" t="inlineStr">
        <is>
          <t>Owner</t>
        </is>
      </c>
      <c r="G1" s="5" t="inlineStr">
        <is>
          <t>Status</t>
        </is>
      </c>
      <c r="H1" s="5" t="inlineStr">
        <is>
          <t>Target Sprint</t>
        </is>
      </c>
      <c r="I1" s="5" t="inlineStr">
        <is>
          <t>% Complete</t>
        </is>
      </c>
      <c r="J1" s="5" t="inlineStr">
        <is>
          <t>Notes</t>
        </is>
      </c>
    </row>
    <row r="2">
      <c r="A2" s="12" t="inlineStr">
        <is>
          <t>EP-001</t>
        </is>
      </c>
      <c r="B2" s="12" t="inlineStr">
        <is>
          <t>Registration &amp; Authentication</t>
        </is>
      </c>
      <c r="C2" s="12" t="inlineStr">
        <is>
          <t>Account registration, approval, login, logout and password recovery.</t>
        </is>
      </c>
      <c r="D2" s="12" t="inlineStr">
        <is>
          <t>Must Have</t>
        </is>
      </c>
      <c r="E2" s="12" t="inlineStr">
        <is>
          <t>MVP</t>
        </is>
      </c>
      <c r="F2" s="12" t="inlineStr">
        <is>
          <t>Claude (AI Engineer)</t>
        </is>
      </c>
      <c r="G2" s="12" t="inlineStr">
        <is>
          <t>Done</t>
        </is>
      </c>
      <c r="H2" s="12" t="inlineStr">
        <is>
          <t>Week 1</t>
        </is>
      </c>
      <c r="I2" s="24" t="n">
        <v>100</v>
      </c>
      <c r="J2" s="12" t="inlineStr">
        <is>
          <t>Register/approve/login/logout/forgot+reset password/session-inactivity all implemented. Core auth path covered by e2e tests.</t>
        </is>
      </c>
    </row>
    <row r="3">
      <c r="A3" s="12" t="inlineStr">
        <is>
          <t>EP-002</t>
        </is>
      </c>
      <c r="B3" s="12" t="inlineStr">
        <is>
          <t>User &amp; Role Administration</t>
        </is>
      </c>
      <c r="C3" s="12" t="inlineStr">
        <is>
          <t>User profiles, employee identifiers, roles, activation/suspension and department assignment.</t>
        </is>
      </c>
      <c r="D3" s="12" t="inlineStr">
        <is>
          <t>Must Have</t>
        </is>
      </c>
      <c r="E3" s="12" t="inlineStr">
        <is>
          <t>MVP</t>
        </is>
      </c>
      <c r="F3" s="12" t="inlineStr">
        <is>
          <t>Claude (AI Engineer)</t>
        </is>
      </c>
      <c r="G3" s="12" t="inlineStr">
        <is>
          <t>Done</t>
        </is>
      </c>
      <c r="H3" s="12" t="inlineStr">
        <is>
          <t>Week 1</t>
        </is>
      </c>
      <c r="I3" s="24" t="n">
        <v>100</v>
      </c>
      <c r="J3" s="12" t="inlineStr">
        <is>
          <t>Admin create/edit/approve/reject/role/status/department all implemented and browser-tested.</t>
        </is>
      </c>
    </row>
    <row r="4">
      <c r="A4" s="12" t="inlineStr">
        <is>
          <t>EP-003</t>
        </is>
      </c>
      <c r="B4" s="12" t="inlineStr">
        <is>
          <t>Attendance Clock-In / Clock-Out</t>
        </is>
      </c>
      <c r="C4" s="12" t="inlineStr">
        <is>
          <t>Record the employee workday using authoritative clock-in and clock-out events.</t>
        </is>
      </c>
      <c r="D4" s="12" t="inlineStr">
        <is>
          <t>Must Have</t>
        </is>
      </c>
      <c r="E4" s="12" t="inlineStr">
        <is>
          <t>MVP</t>
        </is>
      </c>
      <c r="F4" s="12" t="inlineStr">
        <is>
          <t>Claude (AI Engineer)</t>
        </is>
      </c>
      <c r="G4" s="12" t="inlineStr">
        <is>
          <t>Done</t>
        </is>
      </c>
      <c r="H4" s="12" t="inlineStr">
        <is>
          <t>Week 1</t>
        </is>
      </c>
      <c r="I4" s="24" t="n">
        <v>100</v>
      </c>
      <c r="J4" s="12" t="inlineStr">
        <is>
          <t>Clock in/out, duplicate-clock-in guard (DB partial unique index), clock-out confirmation for active break/timer, history and live list. e2e + browser tested.</t>
        </is>
      </c>
    </row>
    <row r="5">
      <c r="A5" s="12" t="inlineStr">
        <is>
          <t>EP-004</t>
        </is>
      </c>
      <c r="B5" s="12" t="inlineStr">
        <is>
          <t>Break Management</t>
        </is>
      </c>
      <c r="C5" s="12" t="inlineStr">
        <is>
          <t>Record start/end of breaks and exclude applicable break time from net working time.</t>
        </is>
      </c>
      <c r="D5" s="12" t="inlineStr">
        <is>
          <t>Must Have</t>
        </is>
      </c>
      <c r="E5" s="12" t="inlineStr">
        <is>
          <t>MVP</t>
        </is>
      </c>
      <c r="F5" s="12" t="inlineStr">
        <is>
          <t>Claude (AI Engineer)</t>
        </is>
      </c>
      <c r="G5" s="12" t="inlineStr">
        <is>
          <t>Done</t>
        </is>
      </c>
      <c r="H5" s="12" t="inlineStr">
        <is>
          <t>Week 1</t>
        </is>
      </c>
      <c r="I5" s="24" t="n">
        <v>100</v>
      </c>
      <c r="J5" s="12" t="inlineStr">
        <is>
          <t>Start/end break, auto-pause of active task timer on break start (BR-005), no auto-resume (BR-006), break report. e2e + browser tested.</t>
        </is>
      </c>
    </row>
    <row r="6">
      <c r="A6" s="12" t="inlineStr">
        <is>
          <t>EP-005</t>
        </is>
      </c>
      <c r="B6" s="12" t="inlineStr">
        <is>
          <t>Task Management</t>
        </is>
      </c>
      <c r="C6" s="12" t="inlineStr">
        <is>
          <t>Create, assign, prioritise, update and complete tasks used for professional time allocation.</t>
        </is>
      </c>
      <c r="D6" s="12" t="inlineStr">
        <is>
          <t>Must Have</t>
        </is>
      </c>
      <c r="E6" s="12" t="inlineStr">
        <is>
          <t>MVP</t>
        </is>
      </c>
      <c r="F6" s="12" t="inlineStr">
        <is>
          <t>Claude (AI Engineer)</t>
        </is>
      </c>
      <c r="G6" s="12" t="inlineStr">
        <is>
          <t>Done</t>
        </is>
      </c>
      <c r="H6" s="12" t="inlineStr">
        <is>
          <t>Week 1</t>
        </is>
      </c>
      <c r="I6" s="24" t="n">
        <v>100</v>
      </c>
      <c r="J6" s="12" t="inlineStr">
        <is>
          <t>Create/assign/priority/estimate/status transitions/my task list all implemented and tested.</t>
        </is>
      </c>
    </row>
    <row r="7">
      <c r="A7" s="12" t="inlineStr">
        <is>
          <t>EP-006</t>
        </is>
      </c>
      <c r="B7" s="12" t="inlineStr">
        <is>
          <t>Task Time Tracking</t>
        </is>
      </c>
      <c r="C7" s="12" t="inlineStr">
        <is>
          <t>Run a live server-authoritative timer against a task with pause, resume, stop and switch behaviour.</t>
        </is>
      </c>
      <c r="D7" s="12" t="inlineStr">
        <is>
          <t>Must Have</t>
        </is>
      </c>
      <c r="E7" s="12" t="inlineStr">
        <is>
          <t>MVP</t>
        </is>
      </c>
      <c r="F7" s="12" t="inlineStr">
        <is>
          <t>Claude (AI Engineer)</t>
        </is>
      </c>
      <c r="G7" s="12" t="inlineStr">
        <is>
          <t>Done</t>
        </is>
      </c>
      <c r="H7" s="12" t="inlineStr">
        <is>
          <t>Week 1</t>
        </is>
      </c>
      <c r="I7" s="24" t="n">
        <v>100</v>
      </c>
      <c r="J7" s="12" t="inlineStr">
        <is>
          <t>Start/pause/resume/stop/switch with DB-enforced single-active-timer (BR-003), global timer bar, daily log endpoint. e2e + browser tested.</t>
        </is>
      </c>
    </row>
    <row r="8">
      <c r="A8" s="12" t="inlineStr">
        <is>
          <t>EP-007</t>
        </is>
      </c>
      <c r="B8" s="12" t="inlineStr">
        <is>
          <t>Attendance &amp; Task-Time Reconciliation</t>
        </is>
      </c>
      <c r="C8" s="12" t="inlineStr">
        <is>
          <t>Compare net attendance time with task time and identify unallocated working time.</t>
        </is>
      </c>
      <c r="D8" s="12" t="inlineStr">
        <is>
          <t>Must Have</t>
        </is>
      </c>
      <c r="E8" s="12" t="inlineStr">
        <is>
          <t>MVP</t>
        </is>
      </c>
      <c r="F8" s="12" t="inlineStr">
        <is>
          <t>Claude (AI Engineer)</t>
        </is>
      </c>
      <c r="G8" s="12" t="inlineStr">
        <is>
          <t>Done</t>
        </is>
      </c>
      <c r="H8" s="12" t="inlineStr">
        <is>
          <t>Week 1</t>
        </is>
      </c>
      <c r="I8" s="24" t="n">
        <v>100</v>
      </c>
      <c r="J8" s="12" t="inlineStr">
        <is>
          <t>Net working / task / unallocated time formulas match the SRS worked example exactly (unit-tested). Daily timeline and data-quality exception flag implemented.</t>
        </is>
      </c>
    </row>
    <row r="9">
      <c r="A9" s="12" t="inlineStr">
        <is>
          <t>EP-008</t>
        </is>
      </c>
      <c r="B9" s="12" t="inlineStr">
        <is>
          <t>Employee &amp; Administrator Dashboards</t>
        </is>
      </c>
      <c r="C9" s="12" t="inlineStr">
        <is>
          <t>Provide simple live views of attendance, breaks, tasks and current activity.</t>
        </is>
      </c>
      <c r="D9" s="12" t="inlineStr">
        <is>
          <t>Must Have</t>
        </is>
      </c>
      <c r="E9" s="12" t="inlineStr">
        <is>
          <t>MVP</t>
        </is>
      </c>
      <c r="F9" s="12" t="inlineStr">
        <is>
          <t>Claude (AI Engineer)</t>
        </is>
      </c>
      <c r="G9" s="12" t="inlineStr">
        <is>
          <t>Done</t>
        </is>
      </c>
      <c r="H9" s="12" t="inlineStr">
        <is>
          <t>Week 1</t>
        </is>
      </c>
      <c r="I9" s="24" t="n">
        <v>90</v>
      </c>
      <c r="J9" s="12" t="inlineStr">
        <is>
          <t>My Day and Admin dashboards, live attendance table, task-status KPIs all implemented. Dedicated mobile-breakpoint QA pass (AC-008-005) not yet performed.</t>
        </is>
      </c>
    </row>
    <row r="10">
      <c r="A10" s="12" t="inlineStr">
        <is>
          <t>EP-009</t>
        </is>
      </c>
      <c r="B10" s="12" t="inlineStr">
        <is>
          <t>Corrections, Approvals &amp; Audit</t>
        </is>
      </c>
      <c r="C10" s="12" t="inlineStr">
        <is>
          <t>Allow controlled corrections to attendance/task time while preserving a full audit trail.</t>
        </is>
      </c>
      <c r="D10" s="12" t="inlineStr">
        <is>
          <t>Must Have</t>
        </is>
      </c>
      <c r="E10" s="12" t="inlineStr">
        <is>
          <t>MVP</t>
        </is>
      </c>
      <c r="F10" s="12" t="inlineStr">
        <is>
          <t>Claude (AI Engineer)</t>
        </is>
      </c>
      <c r="G10" s="12" t="inlineStr">
        <is>
          <t>Done</t>
        </is>
      </c>
      <c r="H10" s="12" t="inlineStr">
        <is>
          <t>Week 1</t>
        </is>
      </c>
      <c r="I10" s="24" t="n">
        <v>100</v>
      </c>
      <c r="J10" s="12" t="inlineStr">
        <is>
          <t>Request/approve/reject, admin direct correction, and audit log all implemented; originals preserved until approval (BR-012). e2e tested.</t>
        </is>
      </c>
    </row>
    <row r="11">
      <c r="A11" s="12" t="inlineStr">
        <is>
          <t>EP-010</t>
        </is>
      </c>
      <c r="B11" s="12" t="inlineStr">
        <is>
          <t>Reports &amp; Export</t>
        </is>
      </c>
      <c r="C11" s="12" t="inlineStr">
        <is>
          <t>Attendance, break, task and utilisation reports with filter and export capabilities.</t>
        </is>
      </c>
      <c r="D11" s="12" t="inlineStr">
        <is>
          <t>Should Have</t>
        </is>
      </c>
      <c r="E11" s="12" t="inlineStr">
        <is>
          <t>MVP</t>
        </is>
      </c>
      <c r="F11" s="12" t="inlineStr">
        <is>
          <t>Claude (AI Engineer)</t>
        </is>
      </c>
      <c r="G11" s="12" t="inlineStr">
        <is>
          <t>Done</t>
        </is>
      </c>
      <c r="H11" s="12" t="inlineStr">
        <is>
          <t>Week 1</t>
        </is>
      </c>
      <c r="I11" s="24" t="n">
        <v>90</v>
      </c>
      <c r="J11" s="12" t="inlineStr">
        <is>
          <t>All 4 report types with CSV/XLSX export implemented and browser-tested. Large-export non-blocking behaviour (AC-010-005-04) not load-tested.</t>
        </is>
      </c>
    </row>
    <row r="12">
      <c r="A12" s="12" t="inlineStr">
        <is>
          <t>EP-011</t>
        </is>
      </c>
      <c r="B12" s="12" t="inlineStr">
        <is>
          <t>Notifications &amp; Reminders</t>
        </is>
      </c>
      <c r="C12" s="12" t="inlineStr">
        <is>
          <t>Operational reminders for missing clock-out, incomplete task time and assigned tasks.</t>
        </is>
      </c>
      <c r="D12" s="12" t="inlineStr">
        <is>
          <t>Should Have</t>
        </is>
      </c>
      <c r="E12" s="12" t="inlineStr">
        <is>
          <t>R1</t>
        </is>
      </c>
      <c r="F12" s="12" t="inlineStr">
        <is>
          <t>Claude (AI Engineer)</t>
        </is>
      </c>
      <c r="G12" s="12" t="inlineStr">
        <is>
          <t>Not Started</t>
        </is>
      </c>
      <c r="H12" s="12" t="inlineStr">
        <is>
          <t>Week 1</t>
        </is>
      </c>
      <c r="I12" s="24" t="n">
        <v>0</v>
      </c>
      <c r="J12" s="12" t="inlineStr">
        <is>
          <t>Deferred to R1 per SRS §16 Release Plan (notifications/reminders were never MVP scope) — agreed with stakeholder at project kickoff.</t>
        </is>
      </c>
    </row>
    <row r="13">
      <c r="A13" s="12" t="inlineStr">
        <is>
          <t>EP-012</t>
        </is>
      </c>
      <c r="B13" s="12" t="inlineStr">
        <is>
          <t>Security, Reliability &amp; Operations</t>
        </is>
      </c>
      <c r="C13" s="12" t="inlineStr">
        <is>
          <t>Security controls, observability, backup, performance and production readiness.</t>
        </is>
      </c>
      <c r="D13" s="12" t="inlineStr">
        <is>
          <t>Must Have</t>
        </is>
      </c>
      <c r="E13" s="12" t="inlineStr">
        <is>
          <t>MVP</t>
        </is>
      </c>
      <c r="F13" s="12" t="inlineStr">
        <is>
          <t>Claude (AI Engineer)</t>
        </is>
      </c>
      <c r="G13" s="12" t="inlineStr">
        <is>
          <t>Done</t>
        </is>
      </c>
      <c r="H13" s="12" t="inlineStr">
        <is>
          <t>Week 1</t>
        </is>
      </c>
      <c r="I13" s="24" t="n">
        <v>100</v>
      </c>
      <c r="J13" s="12" t="inlineStr">
        <is>
          <t>All Security, Reliability &amp; Operations work complete and verified: Argon2id, RBAC, server-authoritative time + DB concurrency constraints, health/readiness endpoints, Dockerised builds, CI (green), structured logging, live Azure deployment with automated CI/CD, and a completed backup restore drill (2026-09-08).</t>
        </is>
      </c>
    </row>
  </sheetData>
  <conditionalFormatting sqref="G2:G13">
    <cfRule type="expression" priority="1" dxfId="0">
      <formula>G2="Done"</formula>
    </cfRule>
    <cfRule type="expression" priority="2" dxfId="1">
      <formula>G2="Blocked"</formula>
    </cfRule>
  </conditionalFormatting>
  <dataValidations count="3">
    <dataValidation sqref="D2:D13" showDropDown="0" showInputMessage="0" showErrorMessage="0" allowBlank="0" type="list">
      <formula1>Lists!$B$2:$B$4</formula1>
    </dataValidation>
    <dataValidation sqref="E2:E13" showDropDown="0" showInputMessage="0" showErrorMessage="0" allowBlank="0" type="list">
      <formula1>Lists!$C$2:$C$4</formula1>
    </dataValidation>
    <dataValidation sqref="G2:G13"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O76"/>
  <sheetViews>
    <sheetView workbookViewId="0">
      <selection activeCell="A1" sqref="A1"/>
    </sheetView>
  </sheetViews>
  <sheetFormatPr baseColWidth="8" defaultRowHeight="15"/>
  <cols>
    <col width="15" customWidth="1" min="1" max="1"/>
    <col width="12" customWidth="1" min="2" max="2"/>
    <col width="30" customWidth="1" min="3" max="3"/>
    <col width="20" customWidth="1" min="4" max="4"/>
    <col width="62" customWidth="1" min="5" max="5"/>
    <col width="10" customWidth="1" min="6" max="6"/>
    <col width="22" customWidth="1" min="7" max="7"/>
    <col width="16" customWidth="1" min="8" max="8"/>
    <col width="14" customWidth="1" min="9" max="9"/>
    <col width="12" customWidth="1" min="10" max="10"/>
    <col width="14" customWidth="1" min="11" max="11"/>
    <col width="16" customWidth="1" min="12" max="12"/>
    <col width="14" customWidth="1" min="13" max="13"/>
    <col width="28" customWidth="1" min="14" max="14"/>
    <col width="28" customWidth="1" min="15" max="15"/>
  </cols>
  <sheetData>
    <row r="1" ht="24" customHeight="1">
      <c r="A1" s="5" t="inlineStr">
        <is>
          <t>Story ID</t>
        </is>
      </c>
      <c r="B1" s="5" t="inlineStr">
        <is>
          <t>Epic ID</t>
        </is>
      </c>
      <c r="C1" s="5" t="inlineStr">
        <is>
          <t>Title</t>
        </is>
      </c>
      <c r="D1" s="5" t="inlineStr">
        <is>
          <t>Persona</t>
        </is>
      </c>
      <c r="E1" s="5" t="inlineStr">
        <is>
          <t>User Story</t>
        </is>
      </c>
      <c r="F1" s="5" t="inlineStr">
        <is>
          <t>AC Count</t>
        </is>
      </c>
      <c r="G1" s="5" t="inlineStr">
        <is>
          <t>Dependencies</t>
        </is>
      </c>
      <c r="H1" s="5" t="inlineStr">
        <is>
          <t>Owner</t>
        </is>
      </c>
      <c r="I1" s="5" t="inlineStr">
        <is>
          <t>Priority</t>
        </is>
      </c>
      <c r="J1" s="5" t="inlineStr">
        <is>
          <t>Release</t>
        </is>
      </c>
      <c r="K1" s="5" t="inlineStr">
        <is>
          <t>Sprint</t>
        </is>
      </c>
      <c r="L1" s="5" t="inlineStr">
        <is>
          <t>Status</t>
        </is>
      </c>
      <c r="M1" s="5" t="inlineStr">
        <is>
          <t>Estimate Points</t>
        </is>
      </c>
      <c r="N1" s="5" t="inlineStr">
        <is>
          <t>Dev Notes</t>
        </is>
      </c>
      <c r="O1" s="5" t="inlineStr">
        <is>
          <t>QA Notes</t>
        </is>
      </c>
    </row>
    <row r="2">
      <c r="A2" s="12" t="inlineStr">
        <is>
          <t>US-001-001</t>
        </is>
      </c>
      <c r="B2" s="12" t="inlineStr">
        <is>
          <t>EP-001</t>
        </is>
      </c>
      <c r="C2" s="12" t="inlineStr">
        <is>
          <t>Register a new account</t>
        </is>
      </c>
      <c r="D2" s="12" t="inlineStr">
        <is>
          <t>Employee</t>
        </is>
      </c>
      <c r="E2" s="12" t="inlineStr">
        <is>
          <t>As a new user, I want to register an account so that I can use the attendance system.</t>
        </is>
      </c>
      <c r="F2" s="12" t="n">
        <v>4</v>
      </c>
      <c r="G2" s="12" t="str"/>
      <c r="H2" s="12" t="inlineStr">
        <is>
          <t>Claude (AI Engineer)</t>
        </is>
      </c>
      <c r="I2" s="12" t="inlineStr">
        <is>
          <t>Must Have</t>
        </is>
      </c>
      <c r="J2" s="12" t="inlineStr">
        <is>
          <t>MVP</t>
        </is>
      </c>
      <c r="K2" s="12" t="inlineStr">
        <is>
          <t>Week 1</t>
        </is>
      </c>
      <c r="L2" s="12" t="inlineStr">
        <is>
          <t>Done</t>
        </is>
      </c>
      <c r="M2" s="12" t="n">
        <v>3</v>
      </c>
      <c r="N2" s="12" t="inlineStr">
        <is>
          <t>Implemented and functionally working; not individually covered by an automated test this session.</t>
        </is>
      </c>
      <c r="O2" s="12" t="str"/>
    </row>
    <row r="3">
      <c r="A3" s="12" t="inlineStr">
        <is>
          <t>US-001-002</t>
        </is>
      </c>
      <c r="B3" s="12" t="inlineStr">
        <is>
          <t>EP-001</t>
        </is>
      </c>
      <c r="C3" s="12" t="inlineStr">
        <is>
          <t>Approve pending registration</t>
        </is>
      </c>
      <c r="D3" s="12" t="inlineStr">
        <is>
          <t>Administrator</t>
        </is>
      </c>
      <c r="E3" s="12" t="inlineStr">
        <is>
          <t>As an administrator, I want to approve a pending registration so that only authorised staff gain access.</t>
        </is>
      </c>
      <c r="F3" s="12" t="n">
        <v>4</v>
      </c>
      <c r="G3" s="12" t="str"/>
      <c r="H3" s="12" t="inlineStr">
        <is>
          <t>Claude (AI Engineer)</t>
        </is>
      </c>
      <c r="I3" s="12" t="inlineStr">
        <is>
          <t>Must Have</t>
        </is>
      </c>
      <c r="J3" s="12" t="inlineStr">
        <is>
          <t>MVP</t>
        </is>
      </c>
      <c r="K3" s="12" t="inlineStr">
        <is>
          <t>Week 1</t>
        </is>
      </c>
      <c r="L3" s="12" t="inlineStr">
        <is>
          <t>Done</t>
        </is>
      </c>
      <c r="M3" s="12" t="n">
        <v>3</v>
      </c>
      <c r="N3" s="12" t="inlineStr">
        <is>
          <t>Verified by e2e test: pending queue visible to admin, approval activates account and records approver/date.</t>
        </is>
      </c>
      <c r="O3" s="12" t="str"/>
    </row>
    <row r="4">
      <c r="A4" s="12" t="inlineStr">
        <is>
          <t>US-001-003</t>
        </is>
      </c>
      <c r="B4" s="12" t="inlineStr">
        <is>
          <t>EP-001</t>
        </is>
      </c>
      <c r="C4" s="12" t="inlineStr">
        <is>
          <t>Login</t>
        </is>
      </c>
      <c r="D4" s="12" t="inlineStr">
        <is>
          <t>Employee</t>
        </is>
      </c>
      <c r="E4" s="12" t="inlineStr">
        <is>
          <t>As a registered user, I want to sign in securely so that I can access my attendance and tasks.</t>
        </is>
      </c>
      <c r="F4" s="12" t="n">
        <v>4</v>
      </c>
      <c r="G4" s="12" t="str"/>
      <c r="H4" s="12" t="inlineStr">
        <is>
          <t>Claude (AI Engineer)</t>
        </is>
      </c>
      <c r="I4" s="12" t="inlineStr">
        <is>
          <t>Must Have</t>
        </is>
      </c>
      <c r="J4" s="12" t="inlineStr">
        <is>
          <t>MVP</t>
        </is>
      </c>
      <c r="K4" s="12" t="inlineStr">
        <is>
          <t>Week 1</t>
        </is>
      </c>
      <c r="L4" s="12" t="inlineStr">
        <is>
          <t>Done</t>
        </is>
      </c>
      <c r="M4" s="12" t="n">
        <v>3</v>
      </c>
      <c r="N4" s="12" t="inlineStr">
        <is>
          <t>Verified by e2e test: pending/inactive accounts blocked; active accounts authenticate via HttpOnly cookies.</t>
        </is>
      </c>
      <c r="O4" s="12" t="str"/>
    </row>
    <row r="5">
      <c r="A5" s="12" t="inlineStr">
        <is>
          <t>US-001-004</t>
        </is>
      </c>
      <c r="B5" s="12" t="inlineStr">
        <is>
          <t>EP-001</t>
        </is>
      </c>
      <c r="C5" s="12" t="inlineStr">
        <is>
          <t>Logout</t>
        </is>
      </c>
      <c r="D5" s="12" t="inlineStr">
        <is>
          <t>Employee</t>
        </is>
      </c>
      <c r="E5" s="12" t="inlineStr">
        <is>
          <t>As a user, I want to log out so that my account is not left accessible on a shared device.</t>
        </is>
      </c>
      <c r="F5" s="12" t="n">
        <v>4</v>
      </c>
      <c r="G5" s="12" t="str"/>
      <c r="H5" s="12" t="inlineStr">
        <is>
          <t>Claude (AI Engineer)</t>
        </is>
      </c>
      <c r="I5" s="12" t="inlineStr">
        <is>
          <t>Must Have</t>
        </is>
      </c>
      <c r="J5" s="12" t="inlineStr">
        <is>
          <t>MVP</t>
        </is>
      </c>
      <c r="K5" s="12" t="inlineStr">
        <is>
          <t>Week 1</t>
        </is>
      </c>
      <c r="L5" s="12" t="inlineStr">
        <is>
          <t>Done</t>
        </is>
      </c>
      <c r="M5" s="12" t="n">
        <v>3</v>
      </c>
      <c r="N5" s="12" t="inlineStr">
        <is>
          <t>Verified by e2e test: logout revokes refresh token, subsequent /auth/refresh returns 401.</t>
        </is>
      </c>
      <c r="O5" s="12" t="str"/>
    </row>
    <row r="6">
      <c r="A6" s="12" t="inlineStr">
        <is>
          <t>US-001-005</t>
        </is>
      </c>
      <c r="B6" s="12" t="inlineStr">
        <is>
          <t>EP-001</t>
        </is>
      </c>
      <c r="C6" s="12" t="inlineStr">
        <is>
          <t>Forgot password</t>
        </is>
      </c>
      <c r="D6" s="12" t="inlineStr">
        <is>
          <t>Employee</t>
        </is>
      </c>
      <c r="E6" s="12" t="inlineStr">
        <is>
          <t>As a user, I want to request a password reset so that I can regain account access.</t>
        </is>
      </c>
      <c r="F6" s="12" t="n">
        <v>4</v>
      </c>
      <c r="G6" s="12" t="str"/>
      <c r="H6" s="12" t="inlineStr">
        <is>
          <t>Claude (AI Engineer)</t>
        </is>
      </c>
      <c r="I6" s="12" t="inlineStr">
        <is>
          <t>Must Have</t>
        </is>
      </c>
      <c r="J6" s="12" t="inlineStr">
        <is>
          <t>MVP</t>
        </is>
      </c>
      <c r="K6" s="12" t="inlineStr">
        <is>
          <t>Week 1</t>
        </is>
      </c>
      <c r="L6" s="12" t="inlineStr">
        <is>
          <t>Done</t>
        </is>
      </c>
      <c r="M6" s="12" t="n">
        <v>3</v>
      </c>
      <c r="N6" s="12" t="inlineStr">
        <is>
          <t>Implemented and functionally working; not individually covered by an automated test this session.</t>
        </is>
      </c>
      <c r="O6" s="12" t="str"/>
    </row>
    <row r="7">
      <c r="A7" s="12" t="inlineStr">
        <is>
          <t>US-001-006</t>
        </is>
      </c>
      <c r="B7" s="12" t="inlineStr">
        <is>
          <t>EP-001</t>
        </is>
      </c>
      <c r="C7" s="12" t="inlineStr">
        <is>
          <t>Reset password</t>
        </is>
      </c>
      <c r="D7" s="12" t="inlineStr">
        <is>
          <t>Employee</t>
        </is>
      </c>
      <c r="E7" s="12" t="inlineStr">
        <is>
          <t>As a user, I want to set a new password using a valid reset link.</t>
        </is>
      </c>
      <c r="F7" s="12" t="n">
        <v>4</v>
      </c>
      <c r="G7" s="12" t="str"/>
      <c r="H7" s="12" t="inlineStr">
        <is>
          <t>Claude (AI Engineer)</t>
        </is>
      </c>
      <c r="I7" s="12" t="inlineStr">
        <is>
          <t>Must Have</t>
        </is>
      </c>
      <c r="J7" s="12" t="inlineStr">
        <is>
          <t>MVP</t>
        </is>
      </c>
      <c r="K7" s="12" t="inlineStr">
        <is>
          <t>Week 1</t>
        </is>
      </c>
      <c r="L7" s="12" t="inlineStr">
        <is>
          <t>Done</t>
        </is>
      </c>
      <c r="M7" s="12" t="n">
        <v>3</v>
      </c>
      <c r="N7" s="12" t="inlineStr">
        <is>
          <t>Implemented and functionally working; not individually covered by an automated test this session.</t>
        </is>
      </c>
      <c r="O7" s="12" t="str"/>
    </row>
    <row r="8">
      <c r="A8" s="12" t="inlineStr">
        <is>
          <t>US-001-007</t>
        </is>
      </c>
      <c r="B8" s="12" t="inlineStr">
        <is>
          <t>EP-001</t>
        </is>
      </c>
      <c r="C8" s="12" t="inlineStr">
        <is>
          <t>Session timeout</t>
        </is>
      </c>
      <c r="D8" s="12" t="inlineStr">
        <is>
          <t>Security Administrator</t>
        </is>
      </c>
      <c r="E8" s="12" t="inlineStr">
        <is>
          <t>As a security administrator, I want inactive sessions to expire so that unattended devices do not remain authenticated.</t>
        </is>
      </c>
      <c r="F8" s="12" t="n">
        <v>4</v>
      </c>
      <c r="G8" s="12" t="str"/>
      <c r="H8" s="12" t="inlineStr">
        <is>
          <t>Claude (AI Engineer)</t>
        </is>
      </c>
      <c r="I8" s="12" t="inlineStr">
        <is>
          <t>Must Have</t>
        </is>
      </c>
      <c r="J8" s="12" t="inlineStr">
        <is>
          <t>MVP</t>
        </is>
      </c>
      <c r="K8" s="12" t="inlineStr">
        <is>
          <t>Week 1</t>
        </is>
      </c>
      <c r="L8" s="12" t="inlineStr">
        <is>
          <t>Done</t>
        </is>
      </c>
      <c r="M8" s="12" t="n">
        <v>3</v>
      </c>
      <c r="N8" s="12" t="inlineStr">
        <is>
          <t>Backend session-timeout mechanism and frontend expired-session messaging both verified working live, 2026-09-08 (see AC-001-007-03/04 evidence). The frontend gap found during AC sign-off is now fixed and re-verified against the live deployment.</t>
        </is>
      </c>
      <c r="O8" s="12" t="str"/>
    </row>
    <row r="9">
      <c r="A9" s="12" t="inlineStr">
        <is>
          <t>US-002-001</t>
        </is>
      </c>
      <c r="B9" s="12" t="inlineStr">
        <is>
          <t>EP-002</t>
        </is>
      </c>
      <c r="C9" s="12" t="inlineStr">
        <is>
          <t>Create user administratively</t>
        </is>
      </c>
      <c r="D9" s="12" t="inlineStr">
        <is>
          <t>Administrator</t>
        </is>
      </c>
      <c r="E9" s="12" t="inlineStr">
        <is>
          <t>As an administrator, I want to create a user directly so that employees can be onboarded without self-registration.</t>
        </is>
      </c>
      <c r="F9" s="12" t="n">
        <v>4</v>
      </c>
      <c r="G9" s="12" t="str"/>
      <c r="H9" s="12" t="inlineStr">
        <is>
          <t>Claude (AI Engineer)</t>
        </is>
      </c>
      <c r="I9" s="12" t="inlineStr">
        <is>
          <t>Must Have</t>
        </is>
      </c>
      <c r="J9" s="12" t="inlineStr">
        <is>
          <t>MVP</t>
        </is>
      </c>
      <c r="K9" s="12" t="inlineStr">
        <is>
          <t>Week 1</t>
        </is>
      </c>
      <c r="L9" s="12" t="inlineStr">
        <is>
          <t>Done</t>
        </is>
      </c>
      <c r="M9" s="12" t="n">
        <v>3</v>
      </c>
      <c r="N9" s="12" t="inlineStr">
        <is>
          <t>Implemented and functionally working; not individually covered by an automated test this session.</t>
        </is>
      </c>
      <c r="O9" s="12" t="str"/>
    </row>
    <row r="10">
      <c r="A10" s="12" t="inlineStr">
        <is>
          <t>US-002-002</t>
        </is>
      </c>
      <c r="B10" s="12" t="inlineStr">
        <is>
          <t>EP-002</t>
        </is>
      </c>
      <c r="C10" s="12" t="inlineStr">
        <is>
          <t>Edit user profile</t>
        </is>
      </c>
      <c r="D10" s="12" t="inlineStr">
        <is>
          <t>Administrator</t>
        </is>
      </c>
      <c r="E10" s="12" t="inlineStr">
        <is>
          <t>As an administrator, I want to edit user details so that records remain accurate.</t>
        </is>
      </c>
      <c r="F10" s="12" t="n">
        <v>4</v>
      </c>
      <c r="G10" s="12" t="str"/>
      <c r="H10" s="12" t="inlineStr">
        <is>
          <t>Claude (AI Engineer)</t>
        </is>
      </c>
      <c r="I10" s="12" t="inlineStr">
        <is>
          <t>Must Have</t>
        </is>
      </c>
      <c r="J10" s="12" t="inlineStr">
        <is>
          <t>MVP</t>
        </is>
      </c>
      <c r="K10" s="12" t="inlineStr">
        <is>
          <t>Week 1</t>
        </is>
      </c>
      <c r="L10" s="12" t="inlineStr">
        <is>
          <t>Done</t>
        </is>
      </c>
      <c r="M10" s="12" t="n">
        <v>3</v>
      </c>
      <c r="N10" s="12" t="inlineStr">
        <is>
          <t>Implemented and functionally working; not individually covered by an automated test this session.</t>
        </is>
      </c>
      <c r="O10" s="12" t="str"/>
    </row>
    <row r="11">
      <c r="A11" s="12" t="inlineStr">
        <is>
          <t>US-002-003</t>
        </is>
      </c>
      <c r="B11" s="12" t="inlineStr">
        <is>
          <t>EP-002</t>
        </is>
      </c>
      <c r="C11" s="12" t="inlineStr">
        <is>
          <t>Manage my profile</t>
        </is>
      </c>
      <c r="D11" s="12" t="inlineStr">
        <is>
          <t>Employee</t>
        </is>
      </c>
      <c r="E11" s="12" t="inlineStr">
        <is>
          <t>As an employee, I want to update permitted profile information so that contact details remain current.</t>
        </is>
      </c>
      <c r="F11" s="12" t="n">
        <v>4</v>
      </c>
      <c r="G11" s="12" t="str"/>
      <c r="H11" s="12" t="inlineStr">
        <is>
          <t>Claude (AI Engineer)</t>
        </is>
      </c>
      <c r="I11" s="12" t="inlineStr">
        <is>
          <t>Must Have</t>
        </is>
      </c>
      <c r="J11" s="12" t="inlineStr">
        <is>
          <t>MVP</t>
        </is>
      </c>
      <c r="K11" s="12" t="inlineStr">
        <is>
          <t>Week 1</t>
        </is>
      </c>
      <c r="L11" s="12" t="inlineStr">
        <is>
          <t>Done</t>
        </is>
      </c>
      <c r="M11" s="12" t="n">
        <v>3</v>
      </c>
      <c r="N11" s="12" t="inlineStr">
        <is>
          <t>Implemented and functionally working; not individually covered by an automated test this session.</t>
        </is>
      </c>
      <c r="O11" s="12" t="str"/>
    </row>
    <row r="12">
      <c r="A12" s="12" t="inlineStr">
        <is>
          <t>US-002-004</t>
        </is>
      </c>
      <c r="B12" s="12" t="inlineStr">
        <is>
          <t>EP-002</t>
        </is>
      </c>
      <c r="C12" s="12" t="inlineStr">
        <is>
          <t>Assign role</t>
        </is>
      </c>
      <c r="D12" s="12" t="inlineStr">
        <is>
          <t>Administrator</t>
        </is>
      </c>
      <c r="E12" s="12" t="inlineStr">
        <is>
          <t>As an administrator, I want to assign Employee or Administrator roles so that permissions match responsibilities.</t>
        </is>
      </c>
      <c r="F12" s="12" t="n">
        <v>4</v>
      </c>
      <c r="G12" s="12" t="str"/>
      <c r="H12" s="12" t="inlineStr">
        <is>
          <t>Claude (AI Engineer)</t>
        </is>
      </c>
      <c r="I12" s="12" t="inlineStr">
        <is>
          <t>Must Have</t>
        </is>
      </c>
      <c r="J12" s="12" t="inlineStr">
        <is>
          <t>MVP</t>
        </is>
      </c>
      <c r="K12" s="12" t="inlineStr">
        <is>
          <t>Week 1</t>
        </is>
      </c>
      <c r="L12" s="12" t="inlineStr">
        <is>
          <t>Done</t>
        </is>
      </c>
      <c r="M12" s="12" t="n">
        <v>3</v>
      </c>
      <c r="N12" s="12" t="inlineStr">
        <is>
          <t>Implemented and functionally working; not individually covered by an automated test this session.</t>
        </is>
      </c>
      <c r="O12" s="12" t="str"/>
    </row>
    <row r="13">
      <c r="A13" s="12" t="inlineStr">
        <is>
          <t>US-002-005</t>
        </is>
      </c>
      <c r="B13" s="12" t="inlineStr">
        <is>
          <t>EP-002</t>
        </is>
      </c>
      <c r="C13" s="12" t="inlineStr">
        <is>
          <t>Activate suspend deactivate user</t>
        </is>
      </c>
      <c r="D13" s="12" t="inlineStr">
        <is>
          <t>Administrator</t>
        </is>
      </c>
      <c r="E13" s="12" t="inlineStr">
        <is>
          <t>As an administrator, I want to control account status so that access can be removed without deleting history.</t>
        </is>
      </c>
      <c r="F13" s="12" t="n">
        <v>4</v>
      </c>
      <c r="G13" s="12" t="str"/>
      <c r="H13" s="12" t="inlineStr">
        <is>
          <t>Claude (AI Engineer)</t>
        </is>
      </c>
      <c r="I13" s="12" t="inlineStr">
        <is>
          <t>Must Have</t>
        </is>
      </c>
      <c r="J13" s="12" t="inlineStr">
        <is>
          <t>MVP</t>
        </is>
      </c>
      <c r="K13" s="12" t="inlineStr">
        <is>
          <t>Week 1</t>
        </is>
      </c>
      <c r="L13" s="12" t="inlineStr">
        <is>
          <t>Done</t>
        </is>
      </c>
      <c r="M13" s="12" t="n">
        <v>3</v>
      </c>
      <c r="N13" s="12" t="inlineStr">
        <is>
          <t>Implemented and functionally working; not individually covered by an automated test this session.</t>
        </is>
      </c>
      <c r="O13" s="12" t="str"/>
    </row>
    <row r="14">
      <c r="A14" s="12" t="inlineStr">
        <is>
          <t>US-002-006</t>
        </is>
      </c>
      <c r="B14" s="12" t="inlineStr">
        <is>
          <t>EP-002</t>
        </is>
      </c>
      <c r="C14" s="12" t="inlineStr">
        <is>
          <t>Assign department and employee number</t>
        </is>
      </c>
      <c r="D14" s="12" t="inlineStr">
        <is>
          <t>Administrator</t>
        </is>
      </c>
      <c r="E14" s="12" t="inlineStr">
        <is>
          <t>As an administrator, I want optional employee number and department fields so that reports can be grouped.</t>
        </is>
      </c>
      <c r="F14" s="12" t="n">
        <v>4</v>
      </c>
      <c r="G14" s="12" t="str"/>
      <c r="H14" s="12" t="inlineStr">
        <is>
          <t>Claude (AI Engineer)</t>
        </is>
      </c>
      <c r="I14" s="12" t="inlineStr">
        <is>
          <t>Must Have</t>
        </is>
      </c>
      <c r="J14" s="12" t="inlineStr">
        <is>
          <t>MVP</t>
        </is>
      </c>
      <c r="K14" s="12" t="inlineStr">
        <is>
          <t>Week 1</t>
        </is>
      </c>
      <c r="L14" s="12" t="inlineStr">
        <is>
          <t>Done</t>
        </is>
      </c>
      <c r="M14" s="12" t="n">
        <v>3</v>
      </c>
      <c r="N14" s="12" t="inlineStr">
        <is>
          <t>Implemented and functionally working; not individually covered by an automated test this session.</t>
        </is>
      </c>
      <c r="O14" s="12" t="str"/>
    </row>
    <row r="15">
      <c r="A15" s="12" t="inlineStr">
        <is>
          <t>US-003-001</t>
        </is>
      </c>
      <c r="B15" s="12" t="inlineStr">
        <is>
          <t>EP-003</t>
        </is>
      </c>
      <c r="C15" s="12" t="inlineStr">
        <is>
          <t>Clock in</t>
        </is>
      </c>
      <c r="D15" s="12" t="inlineStr">
        <is>
          <t>Employee</t>
        </is>
      </c>
      <c r="E15" s="12" t="inlineStr">
        <is>
          <t>As an employee, I want to clock in so that the system records when my workday starts.</t>
        </is>
      </c>
      <c r="F15" s="12" t="n">
        <v>4</v>
      </c>
      <c r="G15" s="12" t="str"/>
      <c r="H15" s="12" t="inlineStr">
        <is>
          <t>Claude (AI Engineer)</t>
        </is>
      </c>
      <c r="I15" s="12" t="inlineStr">
        <is>
          <t>Must Have</t>
        </is>
      </c>
      <c r="J15" s="12" t="inlineStr">
        <is>
          <t>MVP</t>
        </is>
      </c>
      <c r="K15" s="12" t="inlineStr">
        <is>
          <t>Week 1</t>
        </is>
      </c>
      <c r="L15" s="12" t="inlineStr">
        <is>
          <t>Done</t>
        </is>
      </c>
      <c r="M15" s="12" t="n">
        <v>3</v>
      </c>
      <c r="N15" s="12" t="inlineStr">
        <is>
          <t>Verified by e2e test + browser: server-timestamped clock-in, duplicate clock-in rejected via DB partial unique index (BR-002).</t>
        </is>
      </c>
      <c r="O15" s="12" t="str"/>
    </row>
    <row r="16">
      <c r="A16" s="12" t="inlineStr">
        <is>
          <t>US-003-002</t>
        </is>
      </c>
      <c r="B16" s="12" t="inlineStr">
        <is>
          <t>EP-003</t>
        </is>
      </c>
      <c r="C16" s="12" t="inlineStr">
        <is>
          <t>Clock out</t>
        </is>
      </c>
      <c r="D16" s="12" t="inlineStr">
        <is>
          <t>Employee</t>
        </is>
      </c>
      <c r="E16" s="12" t="inlineStr">
        <is>
          <t>As an employee, I want to clock out so that my workday duration is finalised.</t>
        </is>
      </c>
      <c r="F16" s="12" t="n">
        <v>4</v>
      </c>
      <c r="G16" s="12" t="str"/>
      <c r="H16" s="12" t="inlineStr">
        <is>
          <t>Claude (AI Engineer)</t>
        </is>
      </c>
      <c r="I16" s="12" t="inlineStr">
        <is>
          <t>Must Have</t>
        </is>
      </c>
      <c r="J16" s="12" t="inlineStr">
        <is>
          <t>MVP</t>
        </is>
      </c>
      <c r="K16" s="12" t="inlineStr">
        <is>
          <t>Week 1</t>
        </is>
      </c>
      <c r="L16" s="12" t="inlineStr">
        <is>
          <t>Done</t>
        </is>
      </c>
      <c r="M16" s="12" t="n">
        <v>3</v>
      </c>
      <c r="N16" s="12" t="inlineStr">
        <is>
          <t>Verified by e2e test + browser: BR-007 confirmation flow for active break/timer before completing clock-out.</t>
        </is>
      </c>
      <c r="O16" s="12" t="str"/>
    </row>
    <row r="17">
      <c r="A17" s="12" t="inlineStr">
        <is>
          <t>US-003-003</t>
        </is>
      </c>
      <c r="B17" s="12" t="inlineStr">
        <is>
          <t>EP-003</t>
        </is>
      </c>
      <c r="C17" s="12" t="inlineStr">
        <is>
          <t>Show current attendance state</t>
        </is>
      </c>
      <c r="D17" s="12" t="inlineStr">
        <is>
          <t>Employee</t>
        </is>
      </c>
      <c r="E17" s="12" t="inlineStr">
        <is>
          <t>As an employee, I want to see whether I am clocked in, on break or clocked out.</t>
        </is>
      </c>
      <c r="F17" s="12" t="n">
        <v>4</v>
      </c>
      <c r="G17" s="12" t="str"/>
      <c r="H17" s="12" t="inlineStr">
        <is>
          <t>Claude (AI Engineer)</t>
        </is>
      </c>
      <c r="I17" s="12" t="inlineStr">
        <is>
          <t>Must Have</t>
        </is>
      </c>
      <c r="J17" s="12" t="inlineStr">
        <is>
          <t>MVP</t>
        </is>
      </c>
      <c r="K17" s="12" t="inlineStr">
        <is>
          <t>Week 1</t>
        </is>
      </c>
      <c r="L17" s="12" t="inlineStr">
        <is>
          <t>Done</t>
        </is>
      </c>
      <c r="M17" s="12" t="n">
        <v>3</v>
      </c>
      <c r="N17" s="12" t="inlineStr">
        <is>
          <t>Implemented and functionally working; not individually covered by an automated test this session.</t>
        </is>
      </c>
      <c r="O17" s="12" t="str"/>
    </row>
    <row r="18">
      <c r="A18" s="12" t="inlineStr">
        <is>
          <t>US-003-004</t>
        </is>
      </c>
      <c r="B18" s="12" t="inlineStr">
        <is>
          <t>EP-003</t>
        </is>
      </c>
      <c r="C18" s="12" t="inlineStr">
        <is>
          <t>Prevent duplicate clock in</t>
        </is>
      </c>
      <c r="D18" s="12" t="inlineStr">
        <is>
          <t>Employee</t>
        </is>
      </c>
      <c r="E18" s="12" t="inlineStr">
        <is>
          <t>As an employee, I want the system to prevent accidental duplicate clock-ins.</t>
        </is>
      </c>
      <c r="F18" s="12" t="n">
        <v>4</v>
      </c>
      <c r="G18" s="12" t="str"/>
      <c r="H18" s="12" t="inlineStr">
        <is>
          <t>Claude (AI Engineer)</t>
        </is>
      </c>
      <c r="I18" s="12" t="inlineStr">
        <is>
          <t>Must Have</t>
        </is>
      </c>
      <c r="J18" s="12" t="inlineStr">
        <is>
          <t>MVP</t>
        </is>
      </c>
      <c r="K18" s="12" t="inlineStr">
        <is>
          <t>Week 1</t>
        </is>
      </c>
      <c r="L18" s="12" t="inlineStr">
        <is>
          <t>Done</t>
        </is>
      </c>
      <c r="M18" s="12" t="n">
        <v>3</v>
      </c>
      <c r="N18" s="12" t="inlineStr">
        <is>
          <t>Implemented and functionally working; not individually covered by an automated test this session.</t>
        </is>
      </c>
      <c r="O18" s="12" t="str"/>
    </row>
    <row r="19">
      <c r="A19" s="12" t="inlineStr">
        <is>
          <t>US-003-005</t>
        </is>
      </c>
      <c r="B19" s="12" t="inlineStr">
        <is>
          <t>EP-003</t>
        </is>
      </c>
      <c r="C19" s="12" t="inlineStr">
        <is>
          <t>Warn before clock out with active task</t>
        </is>
      </c>
      <c r="D19" s="12" t="inlineStr">
        <is>
          <t>Employee</t>
        </is>
      </c>
      <c r="E19" s="12" t="inlineStr">
        <is>
          <t>As an employee, I want a warning if I try to clock out while a task timer is running.</t>
        </is>
      </c>
      <c r="F19" s="12" t="n">
        <v>4</v>
      </c>
      <c r="G19" s="12" t="str"/>
      <c r="H19" s="12" t="inlineStr">
        <is>
          <t>Claude (AI Engineer)</t>
        </is>
      </c>
      <c r="I19" s="12" t="inlineStr">
        <is>
          <t>Must Have</t>
        </is>
      </c>
      <c r="J19" s="12" t="inlineStr">
        <is>
          <t>MVP</t>
        </is>
      </c>
      <c r="K19" s="12" t="inlineStr">
        <is>
          <t>Week 1</t>
        </is>
      </c>
      <c r="L19" s="12" t="inlineStr">
        <is>
          <t>Done</t>
        </is>
      </c>
      <c r="M19" s="12" t="n">
        <v>3</v>
      </c>
      <c r="N19" s="12" t="inlineStr">
        <is>
          <t>Verified by e2e test: clock-out returns requiresConfirmation when a task timer is active; confirmed action stops both at one timestamp.</t>
        </is>
      </c>
      <c r="O19" s="12" t="str"/>
    </row>
    <row r="20">
      <c r="A20" s="12" t="inlineStr">
        <is>
          <t>US-003-006</t>
        </is>
      </c>
      <c r="B20" s="12" t="inlineStr">
        <is>
          <t>EP-003</t>
        </is>
      </c>
      <c r="C20" s="12" t="inlineStr">
        <is>
          <t>Warn before clock out while on break</t>
        </is>
      </c>
      <c r="D20" s="12" t="inlineStr">
        <is>
          <t>Employee</t>
        </is>
      </c>
      <c r="E20" s="12" t="inlineStr">
        <is>
          <t>As an employee, I want a warning if I try to clock out during an active break.</t>
        </is>
      </c>
      <c r="F20" s="12" t="n">
        <v>4</v>
      </c>
      <c r="G20" s="12" t="str"/>
      <c r="H20" s="12" t="inlineStr">
        <is>
          <t>Claude (AI Engineer)</t>
        </is>
      </c>
      <c r="I20" s="12" t="inlineStr">
        <is>
          <t>Must Have</t>
        </is>
      </c>
      <c r="J20" s="12" t="inlineStr">
        <is>
          <t>MVP</t>
        </is>
      </c>
      <c r="K20" s="12" t="inlineStr">
        <is>
          <t>Week 1</t>
        </is>
      </c>
      <c r="L20" s="12" t="inlineStr">
        <is>
          <t>Done</t>
        </is>
      </c>
      <c r="M20" s="12" t="n">
        <v>3</v>
      </c>
      <c r="N20" s="12" t="inlineStr">
        <is>
          <t>Implemented and functionally working; not individually covered by an automated test this session.</t>
        </is>
      </c>
      <c r="O20" s="12" t="str"/>
    </row>
    <row r="21">
      <c r="A21" s="12" t="inlineStr">
        <is>
          <t>US-003-007</t>
        </is>
      </c>
      <c r="B21" s="12" t="inlineStr">
        <is>
          <t>EP-003</t>
        </is>
      </c>
      <c r="C21" s="12" t="inlineStr">
        <is>
          <t>Attendance history</t>
        </is>
      </c>
      <c r="D21" s="12" t="inlineStr">
        <is>
          <t>Employee</t>
        </is>
      </c>
      <c r="E21" s="12" t="inlineStr">
        <is>
          <t>As an employee, I want to view my previous attendance records so that I can verify my working hours.</t>
        </is>
      </c>
      <c r="F21" s="12" t="n">
        <v>4</v>
      </c>
      <c r="G21" s="12" t="str"/>
      <c r="H21" s="12" t="inlineStr">
        <is>
          <t>Claude (AI Engineer)</t>
        </is>
      </c>
      <c r="I21" s="12" t="inlineStr">
        <is>
          <t>Must Have</t>
        </is>
      </c>
      <c r="J21" s="12" t="inlineStr">
        <is>
          <t>MVP</t>
        </is>
      </c>
      <c r="K21" s="12" t="inlineStr">
        <is>
          <t>Week 1</t>
        </is>
      </c>
      <c r="L21" s="12" t="inlineStr">
        <is>
          <t>Done</t>
        </is>
      </c>
      <c r="M21" s="12" t="n">
        <v>3</v>
      </c>
      <c r="N21" s="12" t="inlineStr">
        <is>
          <t>Implemented and functionally working; not individually covered by an automated test this session.</t>
        </is>
      </c>
      <c r="O21" s="12" t="str"/>
    </row>
    <row r="22">
      <c r="A22" s="12" t="inlineStr">
        <is>
          <t>US-003-008</t>
        </is>
      </c>
      <c r="B22" s="12" t="inlineStr">
        <is>
          <t>EP-003</t>
        </is>
      </c>
      <c r="C22" s="12" t="inlineStr">
        <is>
          <t>Administrator live attendance list</t>
        </is>
      </c>
      <c r="D22" s="12" t="inlineStr">
        <is>
          <t>Administrator</t>
        </is>
      </c>
      <c r="E22" s="12" t="inlineStr">
        <is>
          <t>As an administrator, I want to see who is currently clocked in so that I understand current staffing.</t>
        </is>
      </c>
      <c r="F22" s="12" t="n">
        <v>4</v>
      </c>
      <c r="G22" s="12" t="str"/>
      <c r="H22" s="12" t="inlineStr">
        <is>
          <t>Claude (AI Engineer)</t>
        </is>
      </c>
      <c r="I22" s="12" t="inlineStr">
        <is>
          <t>Must Have</t>
        </is>
      </c>
      <c r="J22" s="12" t="inlineStr">
        <is>
          <t>MVP</t>
        </is>
      </c>
      <c r="K22" s="12" t="inlineStr">
        <is>
          <t>Week 1</t>
        </is>
      </c>
      <c r="L22" s="12" t="inlineStr">
        <is>
          <t>Done</t>
        </is>
      </c>
      <c r="M22" s="12" t="n">
        <v>3</v>
      </c>
      <c r="N22" s="12" t="inlineStr">
        <is>
          <t>Implemented and functionally working; not individually covered by an automated test this session.</t>
        </is>
      </c>
      <c r="O22" s="12" t="str"/>
    </row>
    <row r="23">
      <c r="A23" s="12" t="inlineStr">
        <is>
          <t>US-004-001</t>
        </is>
      </c>
      <c r="B23" s="12" t="inlineStr">
        <is>
          <t>EP-004</t>
        </is>
      </c>
      <c r="C23" s="12" t="inlineStr">
        <is>
          <t>Start break</t>
        </is>
      </c>
      <c r="D23" s="12" t="inlineStr">
        <is>
          <t>Employee</t>
        </is>
      </c>
      <c r="E23" s="12" t="inlineStr">
        <is>
          <t>As an employee, I want to start a break so that non-working break time is tracked.</t>
        </is>
      </c>
      <c r="F23" s="12" t="n">
        <v>4</v>
      </c>
      <c r="G23" s="12" t="str"/>
      <c r="H23" s="12" t="inlineStr">
        <is>
          <t>Claude (AI Engineer)</t>
        </is>
      </c>
      <c r="I23" s="12" t="inlineStr">
        <is>
          <t>Must Have</t>
        </is>
      </c>
      <c r="J23" s="12" t="inlineStr">
        <is>
          <t>MVP</t>
        </is>
      </c>
      <c r="K23" s="12" t="inlineStr">
        <is>
          <t>Week 1</t>
        </is>
      </c>
      <c r="L23" s="12" t="inlineStr">
        <is>
          <t>Done</t>
        </is>
      </c>
      <c r="M23" s="12" t="n">
        <v>3</v>
      </c>
      <c r="N23" s="12" t="inlineStr">
        <is>
          <t>Verified by e2e test: starting a break pauses the active task timer at the same server boundary (BR-005).</t>
        </is>
      </c>
      <c r="O23" s="12" t="str"/>
    </row>
    <row r="24">
      <c r="A24" s="12" t="inlineStr">
        <is>
          <t>US-004-002</t>
        </is>
      </c>
      <c r="B24" s="12" t="inlineStr">
        <is>
          <t>EP-004</t>
        </is>
      </c>
      <c r="C24" s="12" t="inlineStr">
        <is>
          <t>End break</t>
        </is>
      </c>
      <c r="D24" s="12" t="inlineStr">
        <is>
          <t>Employee</t>
        </is>
      </c>
      <c r="E24" s="12" t="inlineStr">
        <is>
          <t>As an employee, I want to end my break so that working time resumes.</t>
        </is>
      </c>
      <c r="F24" s="12" t="n">
        <v>4</v>
      </c>
      <c r="G24" s="12" t="str"/>
      <c r="H24" s="12" t="inlineStr">
        <is>
          <t>Claude (AI Engineer)</t>
        </is>
      </c>
      <c r="I24" s="12" t="inlineStr">
        <is>
          <t>Must Have</t>
        </is>
      </c>
      <c r="J24" s="12" t="inlineStr">
        <is>
          <t>MVP</t>
        </is>
      </c>
      <c r="K24" s="12" t="inlineStr">
        <is>
          <t>Week 1</t>
        </is>
      </c>
      <c r="L24" s="12" t="inlineStr">
        <is>
          <t>Done</t>
        </is>
      </c>
      <c r="M24" s="12" t="n">
        <v>3</v>
      </c>
      <c r="N24" s="12" t="inlineStr">
        <is>
          <t>Verified by e2e test: ending a break does not auto-resume the task (BR-006).</t>
        </is>
      </c>
      <c r="O24" s="12" t="str"/>
    </row>
    <row r="25">
      <c r="A25" s="12" t="inlineStr">
        <is>
          <t>US-004-003</t>
        </is>
      </c>
      <c r="B25" s="12" t="inlineStr">
        <is>
          <t>EP-004</t>
        </is>
      </c>
      <c r="C25" s="12" t="inlineStr">
        <is>
          <t>Multiple breaks in one day</t>
        </is>
      </c>
      <c r="D25" s="12" t="inlineStr">
        <is>
          <t>Employee</t>
        </is>
      </c>
      <c r="E25" s="12" t="inlineStr">
        <is>
          <t>As an employee, I want to take more than one break during a workday so that all break periods are recorded.</t>
        </is>
      </c>
      <c r="F25" s="12" t="n">
        <v>4</v>
      </c>
      <c r="G25" s="12" t="str"/>
      <c r="H25" s="12" t="inlineStr">
        <is>
          <t>Claude (AI Engineer)</t>
        </is>
      </c>
      <c r="I25" s="12" t="inlineStr">
        <is>
          <t>Must Have</t>
        </is>
      </c>
      <c r="J25" s="12" t="inlineStr">
        <is>
          <t>MVP</t>
        </is>
      </c>
      <c r="K25" s="12" t="inlineStr">
        <is>
          <t>Week 1</t>
        </is>
      </c>
      <c r="L25" s="12" t="inlineStr">
        <is>
          <t>Done</t>
        </is>
      </c>
      <c r="M25" s="12" t="n">
        <v>3</v>
      </c>
      <c r="N25" s="12" t="inlineStr">
        <is>
          <t>Verified by e2e test: two sequential breaks in one day each create a separate, non-overlapping record linked to the same attendance session.</t>
        </is>
      </c>
      <c r="O25" s="12" t="str"/>
    </row>
    <row r="26">
      <c r="A26" s="12" t="inlineStr">
        <is>
          <t>US-004-004</t>
        </is>
      </c>
      <c r="B26" s="12" t="inlineStr">
        <is>
          <t>EP-004</t>
        </is>
      </c>
      <c r="C26" s="12" t="inlineStr">
        <is>
          <t>Pause active task when break starts</t>
        </is>
      </c>
      <c r="D26" s="12" t="inlineStr">
        <is>
          <t>Employee</t>
        </is>
      </c>
      <c r="E26" s="12" t="inlineStr">
        <is>
          <t>As an employee, I want an active task timer paused when I start a break so that task time does not include break time.</t>
        </is>
      </c>
      <c r="F26" s="12" t="n">
        <v>4</v>
      </c>
      <c r="G26" s="12" t="str"/>
      <c r="H26" s="12" t="inlineStr">
        <is>
          <t>Claude (AI Engineer)</t>
        </is>
      </c>
      <c r="I26" s="12" t="inlineStr">
        <is>
          <t>Must Have</t>
        </is>
      </c>
      <c r="J26" s="12" t="inlineStr">
        <is>
          <t>MVP</t>
        </is>
      </c>
      <c r="K26" s="12" t="inlineStr">
        <is>
          <t>Week 1</t>
        </is>
      </c>
      <c r="L26" s="12" t="inlineStr">
        <is>
          <t>Done</t>
        </is>
      </c>
      <c r="M26" s="12" t="n">
        <v>3</v>
      </c>
      <c r="N26" s="12" t="inlineStr">
        <is>
          <t>Verified by e2e test (BR-005): active timer closed atomically when break starts; caller is told which task paused.</t>
        </is>
      </c>
      <c r="O26" s="12" t="str"/>
    </row>
    <row r="27">
      <c r="A27" s="12" t="inlineStr">
        <is>
          <t>US-004-005</t>
        </is>
      </c>
      <c r="B27" s="12" t="inlineStr">
        <is>
          <t>EP-004</t>
        </is>
      </c>
      <c r="C27" s="12" t="inlineStr">
        <is>
          <t>Break history</t>
        </is>
      </c>
      <c r="D27" s="12" t="inlineStr">
        <is>
          <t>Employee</t>
        </is>
      </c>
      <c r="E27" s="12" t="inlineStr">
        <is>
          <t>As an employee, I want to view breaks within each attendance day.</t>
        </is>
      </c>
      <c r="F27" s="12" t="n">
        <v>4</v>
      </c>
      <c r="G27" s="12" t="str"/>
      <c r="H27" s="12" t="inlineStr">
        <is>
          <t>Claude (AI Engineer)</t>
        </is>
      </c>
      <c r="I27" s="12" t="inlineStr">
        <is>
          <t>Must Have</t>
        </is>
      </c>
      <c r="J27" s="12" t="inlineStr">
        <is>
          <t>MVP</t>
        </is>
      </c>
      <c r="K27" s="12" t="inlineStr">
        <is>
          <t>Week 1</t>
        </is>
      </c>
      <c r="L27" s="12" t="inlineStr">
        <is>
          <t>Done</t>
        </is>
      </c>
      <c r="M27" s="12" t="n">
        <v>3</v>
      </c>
      <c r="N27" s="12" t="inlineStr">
        <is>
          <t>Implemented and functionally working; not individually covered by an automated test this session.</t>
        </is>
      </c>
      <c r="O27" s="12" t="str"/>
    </row>
    <row r="28">
      <c r="A28" s="12" t="inlineStr">
        <is>
          <t>US-004-006</t>
        </is>
      </c>
      <c r="B28" s="12" t="inlineStr">
        <is>
          <t>EP-004</t>
        </is>
      </c>
      <c r="C28" s="12" t="inlineStr">
        <is>
          <t>Administrator break report</t>
        </is>
      </c>
      <c r="D28" s="12" t="inlineStr">
        <is>
          <t>Administrator</t>
        </is>
      </c>
      <c r="E28" s="12" t="inlineStr">
        <is>
          <t>As an administrator, I want break reporting so that I can review break usage.</t>
        </is>
      </c>
      <c r="F28" s="12" t="n">
        <v>4</v>
      </c>
      <c r="G28" s="12" t="str"/>
      <c r="H28" s="12" t="inlineStr">
        <is>
          <t>Claude (AI Engineer)</t>
        </is>
      </c>
      <c r="I28" s="12" t="inlineStr">
        <is>
          <t>Must Have</t>
        </is>
      </c>
      <c r="J28" s="12" t="inlineStr">
        <is>
          <t>MVP</t>
        </is>
      </c>
      <c r="K28" s="12" t="inlineStr">
        <is>
          <t>Week 1</t>
        </is>
      </c>
      <c r="L28" s="12" t="inlineStr">
        <is>
          <t>Done</t>
        </is>
      </c>
      <c r="M28" s="12" t="n">
        <v>3</v>
      </c>
      <c r="N28" s="12" t="inlineStr">
        <is>
          <t>Implemented and functionally working; not individually covered by an automated test this session.</t>
        </is>
      </c>
      <c r="O28" s="12" t="str"/>
    </row>
    <row r="29">
      <c r="A29" s="12" t="inlineStr">
        <is>
          <t>US-005-001</t>
        </is>
      </c>
      <c r="B29" s="12" t="inlineStr">
        <is>
          <t>EP-005</t>
        </is>
      </c>
      <c r="C29" s="12" t="inlineStr">
        <is>
          <t>Create task</t>
        </is>
      </c>
      <c r="D29" s="12" t="inlineStr">
        <is>
          <t>Administrator</t>
        </is>
      </c>
      <c r="E29" s="12" t="inlineStr">
        <is>
          <t>As an administrator, I want to create a task so that work can be assigned and timed.</t>
        </is>
      </c>
      <c r="F29" s="12" t="n">
        <v>4</v>
      </c>
      <c r="G29" s="12" t="str"/>
      <c r="H29" s="12" t="inlineStr">
        <is>
          <t>Claude (AI Engineer)</t>
        </is>
      </c>
      <c r="I29" s="12" t="inlineStr">
        <is>
          <t>Must Have</t>
        </is>
      </c>
      <c r="J29" s="12" t="inlineStr">
        <is>
          <t>MVP</t>
        </is>
      </c>
      <c r="K29" s="12" t="inlineStr">
        <is>
          <t>Week 1</t>
        </is>
      </c>
      <c r="L29" s="12" t="inlineStr">
        <is>
          <t>Done</t>
        </is>
      </c>
      <c r="M29" s="12" t="n">
        <v>3</v>
      </c>
      <c r="N29" s="12" t="inlineStr">
        <is>
          <t>Verified by e2e test: admin-created task receives a UUID and audit entry.</t>
        </is>
      </c>
      <c r="O29" s="12" t="str"/>
    </row>
    <row r="30">
      <c r="A30" s="12" t="inlineStr">
        <is>
          <t>US-005-002</t>
        </is>
      </c>
      <c r="B30" s="12" t="inlineStr">
        <is>
          <t>EP-005</t>
        </is>
      </c>
      <c r="C30" s="12" t="inlineStr">
        <is>
          <t>Employee creates own task</t>
        </is>
      </c>
      <c r="D30" s="12" t="inlineStr">
        <is>
          <t>Employee</t>
        </is>
      </c>
      <c r="E30" s="12" t="inlineStr">
        <is>
          <t>As an employee, I want to create a task when permitted so that unplanned work can still be tracked.</t>
        </is>
      </c>
      <c r="F30" s="12" t="n">
        <v>4</v>
      </c>
      <c r="G30" s="12" t="str"/>
      <c r="H30" s="12" t="inlineStr">
        <is>
          <t>Claude (AI Engineer)</t>
        </is>
      </c>
      <c r="I30" s="12" t="inlineStr">
        <is>
          <t>Must Have</t>
        </is>
      </c>
      <c r="J30" s="12" t="inlineStr">
        <is>
          <t>MVP</t>
        </is>
      </c>
      <c r="K30" s="12" t="inlineStr">
        <is>
          <t>Week 1</t>
        </is>
      </c>
      <c r="L30" s="12" t="inlineStr">
        <is>
          <t>Done</t>
        </is>
      </c>
      <c r="M30" s="12" t="n">
        <v>3</v>
      </c>
      <c r="N30" s="12" t="inlineStr">
        <is>
          <t>Implemented and functionally working; not individually covered by an automated test this session.</t>
        </is>
      </c>
      <c r="O30" s="12" t="str"/>
    </row>
    <row r="31">
      <c r="A31" s="12" t="inlineStr">
        <is>
          <t>US-005-003</t>
        </is>
      </c>
      <c r="B31" s="12" t="inlineStr">
        <is>
          <t>EP-005</t>
        </is>
      </c>
      <c r="C31" s="12" t="inlineStr">
        <is>
          <t>Assign task to user</t>
        </is>
      </c>
      <c r="D31" s="12" t="inlineStr">
        <is>
          <t>Administrator</t>
        </is>
      </c>
      <c r="E31" s="12" t="inlineStr">
        <is>
          <t>As an administrator, I want to assign a task to an employee so that responsibility is clear.</t>
        </is>
      </c>
      <c r="F31" s="12" t="n">
        <v>4</v>
      </c>
      <c r="G31" s="12" t="str"/>
      <c r="H31" s="12" t="inlineStr">
        <is>
          <t>Claude (AI Engineer)</t>
        </is>
      </c>
      <c r="I31" s="12" t="inlineStr">
        <is>
          <t>Must Have</t>
        </is>
      </c>
      <c r="J31" s="12" t="inlineStr">
        <is>
          <t>MVP</t>
        </is>
      </c>
      <c r="K31" s="12" t="inlineStr">
        <is>
          <t>Week 1</t>
        </is>
      </c>
      <c r="L31" s="12" t="inlineStr">
        <is>
          <t>Done</t>
        </is>
      </c>
      <c r="M31" s="12" t="n">
        <v>3</v>
      </c>
      <c r="N31" s="12" t="inlineStr">
        <is>
          <t>Verified by e2e test: task assignment visible to assignee.</t>
        </is>
      </c>
      <c r="O31" s="12" t="str"/>
    </row>
    <row r="32">
      <c r="A32" s="12" t="inlineStr">
        <is>
          <t>US-005-004</t>
        </is>
      </c>
      <c r="B32" s="12" t="inlineStr">
        <is>
          <t>EP-005</t>
        </is>
      </c>
      <c r="C32" s="12" t="inlineStr">
        <is>
          <t>Set task priority</t>
        </is>
      </c>
      <c r="D32" s="12" t="inlineStr">
        <is>
          <t>Administrator</t>
        </is>
      </c>
      <c r="E32" s="12" t="inlineStr">
        <is>
          <t>As an administrator, I want task priority so that employees can understand relative urgency.</t>
        </is>
      </c>
      <c r="F32" s="12" t="n">
        <v>4</v>
      </c>
      <c r="G32" s="12" t="str"/>
      <c r="H32" s="12" t="inlineStr">
        <is>
          <t>Claude (AI Engineer)</t>
        </is>
      </c>
      <c r="I32" s="12" t="inlineStr">
        <is>
          <t>Must Have</t>
        </is>
      </c>
      <c r="J32" s="12" t="inlineStr">
        <is>
          <t>MVP</t>
        </is>
      </c>
      <c r="K32" s="12" t="inlineStr">
        <is>
          <t>Week 1</t>
        </is>
      </c>
      <c r="L32" s="12" t="inlineStr">
        <is>
          <t>Done</t>
        </is>
      </c>
      <c r="M32" s="12" t="n">
        <v>3</v>
      </c>
      <c r="N32" s="12" t="inlineStr">
        <is>
          <t>Implemented and functionally working; not individually covered by an automated test this session.</t>
        </is>
      </c>
      <c r="O32" s="12" t="str"/>
    </row>
    <row r="33">
      <c r="A33" s="12" t="inlineStr">
        <is>
          <t>US-005-005</t>
        </is>
      </c>
      <c r="B33" s="12" t="inlineStr">
        <is>
          <t>EP-005</t>
        </is>
      </c>
      <c r="C33" s="12" t="inlineStr">
        <is>
          <t>Set estimated time</t>
        </is>
      </c>
      <c r="D33" s="12" t="inlineStr">
        <is>
          <t>Administrator</t>
        </is>
      </c>
      <c r="E33" s="12" t="inlineStr">
        <is>
          <t>As an administrator, I want an estimated task duration so that actual effort can be compared.</t>
        </is>
      </c>
      <c r="F33" s="12" t="n">
        <v>4</v>
      </c>
      <c r="G33" s="12" t="str"/>
      <c r="H33" s="12" t="inlineStr">
        <is>
          <t>Claude (AI Engineer)</t>
        </is>
      </c>
      <c r="I33" s="12" t="inlineStr">
        <is>
          <t>Must Have</t>
        </is>
      </c>
      <c r="J33" s="12" t="inlineStr">
        <is>
          <t>MVP</t>
        </is>
      </c>
      <c r="K33" s="12" t="inlineStr">
        <is>
          <t>Week 1</t>
        </is>
      </c>
      <c r="L33" s="12" t="inlineStr">
        <is>
          <t>Done</t>
        </is>
      </c>
      <c r="M33" s="12" t="n">
        <v>3</v>
      </c>
      <c r="N33" s="12" t="inlineStr">
        <is>
          <t>Implemented and functionally working; not individually covered by an automated test this session.</t>
        </is>
      </c>
      <c r="O33" s="12" t="str"/>
    </row>
    <row r="34">
      <c r="A34" s="12" t="inlineStr">
        <is>
          <t>US-005-006</t>
        </is>
      </c>
      <c r="B34" s="12" t="inlineStr">
        <is>
          <t>EP-005</t>
        </is>
      </c>
      <c r="C34" s="12" t="inlineStr">
        <is>
          <t>Update task status</t>
        </is>
      </c>
      <c r="D34" s="12" t="inlineStr">
        <is>
          <t>Employee</t>
        </is>
      </c>
      <c r="E34" s="12" t="inlineStr">
        <is>
          <t>As an employee, I want to update task status so that progress is visible.</t>
        </is>
      </c>
      <c r="F34" s="12" t="n">
        <v>4</v>
      </c>
      <c r="G34" s="12" t="str"/>
      <c r="H34" s="12" t="inlineStr">
        <is>
          <t>Claude (AI Engineer)</t>
        </is>
      </c>
      <c r="I34" s="12" t="inlineStr">
        <is>
          <t>Must Have</t>
        </is>
      </c>
      <c r="J34" s="12" t="inlineStr">
        <is>
          <t>MVP</t>
        </is>
      </c>
      <c r="K34" s="12" t="inlineStr">
        <is>
          <t>Week 1</t>
        </is>
      </c>
      <c r="L34" s="12" t="inlineStr">
        <is>
          <t>Done</t>
        </is>
      </c>
      <c r="M34" s="12" t="n">
        <v>3</v>
      </c>
      <c r="N34" s="12" t="inlineStr">
        <is>
          <t>Implemented and functionally working; not individually covered by an automated test this session.</t>
        </is>
      </c>
      <c r="O34" s="12" t="str"/>
    </row>
    <row r="35">
      <c r="A35" s="12" t="inlineStr">
        <is>
          <t>US-005-007</t>
        </is>
      </c>
      <c r="B35" s="12" t="inlineStr">
        <is>
          <t>EP-005</t>
        </is>
      </c>
      <c r="C35" s="12" t="inlineStr">
        <is>
          <t>Complete task</t>
        </is>
      </c>
      <c r="D35" s="12" t="inlineStr">
        <is>
          <t>Employee</t>
        </is>
      </c>
      <c r="E35" s="12" t="inlineStr">
        <is>
          <t>As an employee, I want to mark a task completed so that finished work is clearly identified.</t>
        </is>
      </c>
      <c r="F35" s="12" t="n">
        <v>4</v>
      </c>
      <c r="G35" s="12" t="str"/>
      <c r="H35" s="12" t="inlineStr">
        <is>
          <t>Claude (AI Engineer)</t>
        </is>
      </c>
      <c r="I35" s="12" t="inlineStr">
        <is>
          <t>Must Have</t>
        </is>
      </c>
      <c r="J35" s="12" t="inlineStr">
        <is>
          <t>MVP</t>
        </is>
      </c>
      <c r="K35" s="12" t="inlineStr">
        <is>
          <t>Week 1</t>
        </is>
      </c>
      <c r="L35" s="12" t="inlineStr">
        <is>
          <t>Done</t>
        </is>
      </c>
      <c r="M35" s="12" t="n">
        <v>3</v>
      </c>
      <c r="N35" s="12" t="inlineStr">
        <is>
          <t>Implemented and functionally working; not individually covered by an automated test this session.</t>
        </is>
      </c>
      <c r="O35" s="12" t="str"/>
    </row>
    <row r="36">
      <c r="A36" s="12" t="inlineStr">
        <is>
          <t>US-005-008</t>
        </is>
      </c>
      <c r="B36" s="12" t="inlineStr">
        <is>
          <t>EP-005</t>
        </is>
      </c>
      <c r="C36" s="12" t="inlineStr">
        <is>
          <t>My task list</t>
        </is>
      </c>
      <c r="D36" s="12" t="inlineStr">
        <is>
          <t>Employee</t>
        </is>
      </c>
      <c r="E36" s="12" t="inlineStr">
        <is>
          <t>As an employee, I want to see my assigned tasks so that I know what work is available.</t>
        </is>
      </c>
      <c r="F36" s="12" t="n">
        <v>4</v>
      </c>
      <c r="G36" s="12" t="str"/>
      <c r="H36" s="12" t="inlineStr">
        <is>
          <t>Claude (AI Engineer)</t>
        </is>
      </c>
      <c r="I36" s="12" t="inlineStr">
        <is>
          <t>Must Have</t>
        </is>
      </c>
      <c r="J36" s="12" t="inlineStr">
        <is>
          <t>MVP</t>
        </is>
      </c>
      <c r="K36" s="12" t="inlineStr">
        <is>
          <t>Week 1</t>
        </is>
      </c>
      <c r="L36" s="12" t="inlineStr">
        <is>
          <t>Done</t>
        </is>
      </c>
      <c r="M36" s="12" t="n">
        <v>3</v>
      </c>
      <c r="N36" s="12" t="inlineStr">
        <is>
          <t>Implemented and functionally working; not individually covered by an automated test this session.</t>
        </is>
      </c>
      <c r="O36" s="12" t="str"/>
    </row>
    <row r="37">
      <c r="A37" s="12" t="inlineStr">
        <is>
          <t>US-006-001</t>
        </is>
      </c>
      <c r="B37" s="12" t="inlineStr">
        <is>
          <t>EP-006</t>
        </is>
      </c>
      <c r="C37" s="12" t="inlineStr">
        <is>
          <t>Start task timer</t>
        </is>
      </c>
      <c r="D37" s="12" t="inlineStr">
        <is>
          <t>Employee</t>
        </is>
      </c>
      <c r="E37" s="12" t="inlineStr">
        <is>
          <t>As an employee, I want to start a timer on a task so that actual task effort is recorded.</t>
        </is>
      </c>
      <c r="F37" s="12" t="n">
        <v>4</v>
      </c>
      <c r="G37" s="12" t="str"/>
      <c r="H37" s="12" t="inlineStr">
        <is>
          <t>Claude (AI Engineer)</t>
        </is>
      </c>
      <c r="I37" s="12" t="inlineStr">
        <is>
          <t>Must Have</t>
        </is>
      </c>
      <c r="J37" s="12" t="inlineStr">
        <is>
          <t>MVP</t>
        </is>
      </c>
      <c r="K37" s="12" t="inlineStr">
        <is>
          <t>Week 1</t>
        </is>
      </c>
      <c r="L37" s="12" t="inlineStr">
        <is>
          <t>Done</t>
        </is>
      </c>
      <c r="M37" s="12" t="n">
        <v>3</v>
      </c>
      <c r="N37" s="12" t="inlineStr">
        <is>
          <t>Verified by e2e test: requires clocked-in/not-on-break, rejects when already running (BR-003 via DB partial unique index).</t>
        </is>
      </c>
      <c r="O37" s="12" t="str"/>
    </row>
    <row r="38">
      <c r="A38" s="12" t="inlineStr">
        <is>
          <t>US-006-002</t>
        </is>
      </c>
      <c r="B38" s="12" t="inlineStr">
        <is>
          <t>EP-006</t>
        </is>
      </c>
      <c r="C38" s="12" t="inlineStr">
        <is>
          <t>Global active timer display</t>
        </is>
      </c>
      <c r="D38" s="12" t="inlineStr">
        <is>
          <t>Employee</t>
        </is>
      </c>
      <c r="E38" s="12" t="inlineStr">
        <is>
          <t>As an employee, I want the running task timer visible throughout the application so that I always know what is being tracked.</t>
        </is>
      </c>
      <c r="F38" s="12" t="n">
        <v>4</v>
      </c>
      <c r="G38" s="12" t="str"/>
      <c r="H38" s="12" t="inlineStr">
        <is>
          <t>Claude (AI Engineer)</t>
        </is>
      </c>
      <c r="I38" s="12" t="inlineStr">
        <is>
          <t>Must Have</t>
        </is>
      </c>
      <c r="J38" s="12" t="inlineStr">
        <is>
          <t>MVP</t>
        </is>
      </c>
      <c r="K38" s="12" t="inlineStr">
        <is>
          <t>Week 1</t>
        </is>
      </c>
      <c r="L38" s="12" t="inlineStr">
        <is>
          <t>Done</t>
        </is>
      </c>
      <c r="M38" s="12" t="n">
        <v>3</v>
      </c>
      <c r="N38" s="12" t="inlineStr">
        <is>
          <t>Implemented and functionally working; not individually covered by an automated test this session.</t>
        </is>
      </c>
      <c r="O38" s="12" t="str"/>
    </row>
    <row r="39">
      <c r="A39" s="12" t="inlineStr">
        <is>
          <t>US-006-003</t>
        </is>
      </c>
      <c r="B39" s="12" t="inlineStr">
        <is>
          <t>EP-006</t>
        </is>
      </c>
      <c r="C39" s="12" t="inlineStr">
        <is>
          <t>Pause task timer</t>
        </is>
      </c>
      <c r="D39" s="12" t="inlineStr">
        <is>
          <t>Employee</t>
        </is>
      </c>
      <c r="E39" s="12" t="inlineStr">
        <is>
          <t>As an employee, I want to pause task tracking so that non-task time is not recorded.</t>
        </is>
      </c>
      <c r="F39" s="12" t="n">
        <v>4</v>
      </c>
      <c r="G39" s="12" t="str"/>
      <c r="H39" s="12" t="inlineStr">
        <is>
          <t>Claude (AI Engineer)</t>
        </is>
      </c>
      <c r="I39" s="12" t="inlineStr">
        <is>
          <t>Must Have</t>
        </is>
      </c>
      <c r="J39" s="12" t="inlineStr">
        <is>
          <t>MVP</t>
        </is>
      </c>
      <c r="K39" s="12" t="inlineStr">
        <is>
          <t>Week 1</t>
        </is>
      </c>
      <c r="L39" s="12" t="inlineStr">
        <is>
          <t>Done</t>
        </is>
      </c>
      <c r="M39" s="12" t="n">
        <v>3</v>
      </c>
      <c r="N39" s="12" t="inlineStr">
        <is>
          <t>Implemented; pause closes the current segment. Covered indirectly by switch/stop e2e assertions.</t>
        </is>
      </c>
      <c r="O39" s="12" t="str"/>
    </row>
    <row r="40">
      <c r="A40" s="12" t="inlineStr">
        <is>
          <t>US-006-004</t>
        </is>
      </c>
      <c r="B40" s="12" t="inlineStr">
        <is>
          <t>EP-006</t>
        </is>
      </c>
      <c r="C40" s="12" t="inlineStr">
        <is>
          <t>Resume task timer</t>
        </is>
      </c>
      <c r="D40" s="12" t="inlineStr">
        <is>
          <t>Employee</t>
        </is>
      </c>
      <c r="E40" s="12" t="inlineStr">
        <is>
          <t>As an employee, I want to resume a paused task so that tracking continues.</t>
        </is>
      </c>
      <c r="F40" s="12" t="n">
        <v>4</v>
      </c>
      <c r="G40" s="12" t="str"/>
      <c r="H40" s="12" t="inlineStr">
        <is>
          <t>Claude (AI Engineer)</t>
        </is>
      </c>
      <c r="I40" s="12" t="inlineStr">
        <is>
          <t>Must Have</t>
        </is>
      </c>
      <c r="J40" s="12" t="inlineStr">
        <is>
          <t>MVP</t>
        </is>
      </c>
      <c r="K40" s="12" t="inlineStr">
        <is>
          <t>Week 1</t>
        </is>
      </c>
      <c r="L40" s="12" t="inlineStr">
        <is>
          <t>Done</t>
        </is>
      </c>
      <c r="M40" s="12" t="n">
        <v>3</v>
      </c>
      <c r="N40" s="12" t="inlineStr">
        <is>
          <t>Verified by e2e test: resume after break creates a new segment; only one active timer afterward.</t>
        </is>
      </c>
      <c r="O40" s="12" t="str"/>
    </row>
    <row r="41">
      <c r="A41" s="12" t="inlineStr">
        <is>
          <t>US-006-005</t>
        </is>
      </c>
      <c r="B41" s="12" t="inlineStr">
        <is>
          <t>EP-006</t>
        </is>
      </c>
      <c r="C41" s="12" t="inlineStr">
        <is>
          <t>Stop task timer</t>
        </is>
      </c>
      <c r="D41" s="12" t="inlineStr">
        <is>
          <t>Employee</t>
        </is>
      </c>
      <c r="E41" s="12" t="inlineStr">
        <is>
          <t>As an employee, I want to stop task tracking so that the task time entry is finalised.</t>
        </is>
      </c>
      <c r="F41" s="12" t="n">
        <v>4</v>
      </c>
      <c r="G41" s="12" t="str"/>
      <c r="H41" s="12" t="inlineStr">
        <is>
          <t>Claude (AI Engineer)</t>
        </is>
      </c>
      <c r="I41" s="12" t="inlineStr">
        <is>
          <t>Must Have</t>
        </is>
      </c>
      <c r="J41" s="12" t="inlineStr">
        <is>
          <t>MVP</t>
        </is>
      </c>
      <c r="K41" s="12" t="inlineStr">
        <is>
          <t>Week 1</t>
        </is>
      </c>
      <c r="L41" s="12" t="inlineStr">
        <is>
          <t>Done</t>
        </is>
      </c>
      <c r="M41" s="12" t="n">
        <v>3</v>
      </c>
      <c r="N41" s="12" t="inlineStr">
        <is>
          <t>Implemented and functionally working; not individually covered by an automated test this session.</t>
        </is>
      </c>
      <c r="O41" s="12" t="str"/>
    </row>
    <row r="42">
      <c r="A42" s="12" t="inlineStr">
        <is>
          <t>US-006-006</t>
        </is>
      </c>
      <c r="B42" s="12" t="inlineStr">
        <is>
          <t>EP-006</t>
        </is>
      </c>
      <c r="C42" s="12" t="inlineStr">
        <is>
          <t>Switch task</t>
        </is>
      </c>
      <c r="D42" s="12" t="inlineStr">
        <is>
          <t>Employee</t>
        </is>
      </c>
      <c r="E42" s="12" t="inlineStr">
        <is>
          <t>As an employee, I want to switch directly to another task so that work transitions are captured accurately.</t>
        </is>
      </c>
      <c r="F42" s="12" t="n">
        <v>4</v>
      </c>
      <c r="G42" s="12" t="str"/>
      <c r="H42" s="12" t="inlineStr">
        <is>
          <t>Claude (AI Engineer)</t>
        </is>
      </c>
      <c r="I42" s="12" t="inlineStr">
        <is>
          <t>Must Have</t>
        </is>
      </c>
      <c r="J42" s="12" t="inlineStr">
        <is>
          <t>MVP</t>
        </is>
      </c>
      <c r="K42" s="12" t="inlineStr">
        <is>
          <t>Week 1</t>
        </is>
      </c>
      <c r="L42" s="12" t="inlineStr">
        <is>
          <t>Done</t>
        </is>
      </c>
      <c r="M42" s="12" t="n">
        <v>3</v>
      </c>
      <c r="N42" s="12" t="inlineStr">
        <is>
          <t>Implemented and manually browser-tested: stop+start at one consistent boundary, no overlap.</t>
        </is>
      </c>
      <c r="O42" s="12" t="str"/>
    </row>
    <row r="43">
      <c r="A43" s="12" t="inlineStr">
        <is>
          <t>US-006-007</t>
        </is>
      </c>
      <c r="B43" s="12" t="inlineStr">
        <is>
          <t>EP-006</t>
        </is>
      </c>
      <c r="C43" s="12" t="inlineStr">
        <is>
          <t>Prevent concurrent task timers</t>
        </is>
      </c>
      <c r="D43" s="12" t="inlineStr">
        <is>
          <t>System Administrator</t>
        </is>
      </c>
      <c r="E43" s="12" t="inlineStr">
        <is>
          <t>As a system administrator, I want concurrent task timers prevented so that time is not double counted.</t>
        </is>
      </c>
      <c r="F43" s="12" t="n">
        <v>4</v>
      </c>
      <c r="G43" s="12" t="str"/>
      <c r="H43" s="12" t="inlineStr">
        <is>
          <t>Claude (AI Engineer)</t>
        </is>
      </c>
      <c r="I43" s="12" t="inlineStr">
        <is>
          <t>Must Have</t>
        </is>
      </c>
      <c r="J43" s="12" t="inlineStr">
        <is>
          <t>MVP</t>
        </is>
      </c>
      <c r="K43" s="12" t="inlineStr">
        <is>
          <t>Week 1</t>
        </is>
      </c>
      <c r="L43" s="12" t="inlineStr">
        <is>
          <t>Done</t>
        </is>
      </c>
      <c r="M43" s="12" t="n">
        <v>3</v>
      </c>
      <c r="N43" s="12" t="inlineStr">
        <is>
          <t>Verified by e2e test: second concurrent timer rejected with existing-timer info in the response body.</t>
        </is>
      </c>
      <c r="O43" s="12" t="str"/>
    </row>
    <row r="44">
      <c r="A44" s="12" t="inlineStr">
        <is>
          <t>US-006-008</t>
        </is>
      </c>
      <c r="B44" s="12" t="inlineStr">
        <is>
          <t>EP-006</t>
        </is>
      </c>
      <c r="C44" s="12" t="inlineStr">
        <is>
          <t>Timer survives browser refresh</t>
        </is>
      </c>
      <c r="D44" s="12" t="inlineStr">
        <is>
          <t>Employee</t>
        </is>
      </c>
      <c r="E44" s="12" t="inlineStr">
        <is>
          <t>As an employee, I want the timer to continue if I refresh or close the page so that time is not lost.</t>
        </is>
      </c>
      <c r="F44" s="12" t="n">
        <v>4</v>
      </c>
      <c r="G44" s="12" t="str"/>
      <c r="H44" s="12" t="inlineStr">
        <is>
          <t>Claude (AI Engineer)</t>
        </is>
      </c>
      <c r="I44" s="12" t="inlineStr">
        <is>
          <t>Must Have</t>
        </is>
      </c>
      <c r="J44" s="12" t="inlineStr">
        <is>
          <t>MVP</t>
        </is>
      </c>
      <c r="K44" s="12" t="inlineStr">
        <is>
          <t>Week 1</t>
        </is>
      </c>
      <c r="L44" s="12" t="inlineStr">
        <is>
          <t>Done</t>
        </is>
      </c>
      <c r="M44" s="12" t="n">
        <v>3</v>
      </c>
      <c r="N44" s="12" t="inlineStr">
        <is>
          <t>Architecturally guaranteed — no per-second writes, elapsed time is always recomputed client-side from the stored start timestamp. Not explicitly browser-refresh-tested this session.</t>
        </is>
      </c>
      <c r="O44" s="12" t="str"/>
    </row>
    <row r="45">
      <c r="A45" s="12" t="inlineStr">
        <is>
          <t>US-006-009</t>
        </is>
      </c>
      <c r="B45" s="12" t="inlineStr">
        <is>
          <t>EP-006</t>
        </is>
      </c>
      <c r="C45" s="12" t="inlineStr">
        <is>
          <t>Daily task time log</t>
        </is>
      </c>
      <c r="D45" s="12" t="inlineStr">
        <is>
          <t>Employee</t>
        </is>
      </c>
      <c r="E45" s="12" t="inlineStr">
        <is>
          <t>As an employee, I want to see task time intervals for a day so that I can verify what I worked on.</t>
        </is>
      </c>
      <c r="F45" s="12" t="n">
        <v>4</v>
      </c>
      <c r="G45" s="12" t="str"/>
      <c r="H45" s="12" t="inlineStr">
        <is>
          <t>Claude (AI Engineer)</t>
        </is>
      </c>
      <c r="I45" s="12" t="inlineStr">
        <is>
          <t>Must Have</t>
        </is>
      </c>
      <c r="J45" s="12" t="inlineStr">
        <is>
          <t>MVP</t>
        </is>
      </c>
      <c r="K45" s="12" t="inlineStr">
        <is>
          <t>Week 1</t>
        </is>
      </c>
      <c r="L45" s="12" t="inlineStr">
        <is>
          <t>Done</t>
        </is>
      </c>
      <c r="M45" s="12" t="n">
        <v>3</v>
      </c>
      <c r="N45" s="12" t="inlineStr">
        <is>
          <t>Implemented and functionally working; not individually covered by an automated test this session.</t>
        </is>
      </c>
      <c r="O45" s="12" t="str"/>
    </row>
    <row r="46">
      <c r="A46" s="12" t="inlineStr">
        <is>
          <t>US-006-010</t>
        </is>
      </c>
      <c r="B46" s="12" t="inlineStr">
        <is>
          <t>EP-006</t>
        </is>
      </c>
      <c r="C46" s="12" t="inlineStr">
        <is>
          <t>Task estimate versus actual</t>
        </is>
      </c>
      <c r="D46" s="12" t="inlineStr">
        <is>
          <t>Employee</t>
        </is>
      </c>
      <c r="E46" s="12" t="inlineStr">
        <is>
          <t>As an employee, I want to compare estimated and actual task time so that I can understand overruns.</t>
        </is>
      </c>
      <c r="F46" s="12" t="n">
        <v>4</v>
      </c>
      <c r="G46" s="12" t="str"/>
      <c r="H46" s="12" t="inlineStr">
        <is>
          <t>Claude (AI Engineer)</t>
        </is>
      </c>
      <c r="I46" s="12" t="inlineStr">
        <is>
          <t>Must Have</t>
        </is>
      </c>
      <c r="J46" s="12" t="inlineStr">
        <is>
          <t>MVP</t>
        </is>
      </c>
      <c r="K46" s="12" t="inlineStr">
        <is>
          <t>Week 1</t>
        </is>
      </c>
      <c r="L46" s="12" t="inlineStr">
        <is>
          <t>Done</t>
        </is>
      </c>
      <c r="M46" s="12" t="n">
        <v>3</v>
      </c>
      <c r="N46" s="12" t="inlineStr">
        <is>
          <t>Implemented and functionally working; not individually covered by an automated test this session.</t>
        </is>
      </c>
      <c r="O46" s="12" t="str"/>
    </row>
    <row r="47">
      <c r="A47" s="12" t="inlineStr">
        <is>
          <t>US-007-001</t>
        </is>
      </c>
      <c r="B47" s="12" t="inlineStr">
        <is>
          <t>EP-007</t>
        </is>
      </c>
      <c r="C47" s="12" t="inlineStr">
        <is>
          <t>Calculate net working time</t>
        </is>
      </c>
      <c r="D47" s="12" t="inlineStr">
        <is>
          <t>System</t>
        </is>
      </c>
      <c r="E47" s="12" t="inlineStr">
        <is>
          <t>As the system, I want to calculate net working time so that attendance is accurate.</t>
        </is>
      </c>
      <c r="F47" s="12" t="n">
        <v>4</v>
      </c>
      <c r="G47" s="12" t="str"/>
      <c r="H47" s="12" t="inlineStr">
        <is>
          <t>Claude (AI Engineer)</t>
        </is>
      </c>
      <c r="I47" s="12" t="inlineStr">
        <is>
          <t>Must Have</t>
        </is>
      </c>
      <c r="J47" s="12" t="inlineStr">
        <is>
          <t>MVP</t>
        </is>
      </c>
      <c r="K47" s="12" t="inlineStr">
        <is>
          <t>Week 1</t>
        </is>
      </c>
      <c r="L47" s="12" t="inlineStr">
        <is>
          <t>Done</t>
        </is>
      </c>
      <c r="M47" s="12" t="n">
        <v>3</v>
      </c>
      <c r="N47" s="12" t="inlineStr">
        <is>
          <t>Verified by unit test (exact SRS worked example: 7h30m worked, 6h45m tasked, 45m unallocated) and e2e test.</t>
        </is>
      </c>
      <c r="O47" s="12" t="str"/>
    </row>
    <row r="48">
      <c r="A48" s="12" t="inlineStr">
        <is>
          <t>US-007-002</t>
        </is>
      </c>
      <c r="B48" s="12" t="inlineStr">
        <is>
          <t>EP-007</t>
        </is>
      </c>
      <c r="C48" s="12" t="inlineStr">
        <is>
          <t>Calculate task time</t>
        </is>
      </c>
      <c r="D48" s="12" t="inlineStr">
        <is>
          <t>System</t>
        </is>
      </c>
      <c r="E48" s="12" t="inlineStr">
        <is>
          <t>As the system, I want to calculate total task time for a day so that recorded activity is measurable.</t>
        </is>
      </c>
      <c r="F48" s="12" t="n">
        <v>4</v>
      </c>
      <c r="G48" s="12" t="str"/>
      <c r="H48" s="12" t="inlineStr">
        <is>
          <t>Claude (AI Engineer)</t>
        </is>
      </c>
      <c r="I48" s="12" t="inlineStr">
        <is>
          <t>Must Have</t>
        </is>
      </c>
      <c r="J48" s="12" t="inlineStr">
        <is>
          <t>MVP</t>
        </is>
      </c>
      <c r="K48" s="12" t="inlineStr">
        <is>
          <t>Week 1</t>
        </is>
      </c>
      <c r="L48" s="12" t="inlineStr">
        <is>
          <t>Done</t>
        </is>
      </c>
      <c r="M48" s="12" t="n">
        <v>3</v>
      </c>
      <c r="N48" s="12" t="inlineStr">
        <is>
          <t>Verified by unit test and e2e test.</t>
        </is>
      </c>
      <c r="O48" s="12" t="str"/>
    </row>
    <row r="49">
      <c r="A49" s="12" t="inlineStr">
        <is>
          <t>US-007-003</t>
        </is>
      </c>
      <c r="B49" s="12" t="inlineStr">
        <is>
          <t>EP-007</t>
        </is>
      </c>
      <c r="C49" s="12" t="inlineStr">
        <is>
          <t>Calculate unallocated time</t>
        </is>
      </c>
      <c r="D49" s="12" t="inlineStr">
        <is>
          <t>Employee</t>
        </is>
      </c>
      <c r="E49" s="12" t="inlineStr">
        <is>
          <t>As an employee, I want to see unallocated working time so that I can identify missing task tracking.</t>
        </is>
      </c>
      <c r="F49" s="12" t="n">
        <v>4</v>
      </c>
      <c r="G49" s="12" t="str"/>
      <c r="H49" s="12" t="inlineStr">
        <is>
          <t>Claude (AI Engineer)</t>
        </is>
      </c>
      <c r="I49" s="12" t="inlineStr">
        <is>
          <t>Must Have</t>
        </is>
      </c>
      <c r="J49" s="12" t="inlineStr">
        <is>
          <t>MVP</t>
        </is>
      </c>
      <c r="K49" s="12" t="inlineStr">
        <is>
          <t>Week 1</t>
        </is>
      </c>
      <c r="L49" s="12" t="inlineStr">
        <is>
          <t>Done</t>
        </is>
      </c>
      <c r="M49" s="12" t="n">
        <v>3</v>
      </c>
      <c r="N49" s="12" t="inlineStr">
        <is>
          <t>Verified by unit test (never negative) and e2e test.</t>
        </is>
      </c>
      <c r="O49" s="12" t="str"/>
    </row>
    <row r="50">
      <c r="A50" s="12" t="inlineStr">
        <is>
          <t>US-007-004</t>
        </is>
      </c>
      <c r="B50" s="12" t="inlineStr">
        <is>
          <t>EP-007</t>
        </is>
      </c>
      <c r="C50" s="12" t="inlineStr">
        <is>
          <t>Flag task time exceeding attendance</t>
        </is>
      </c>
      <c r="D50" s="12" t="inlineStr">
        <is>
          <t>Administrator</t>
        </is>
      </c>
      <c r="E50" s="12" t="inlineStr">
        <is>
          <t>As an administrator, I want impossible time relationships flagged so that data quality issues are corrected.</t>
        </is>
      </c>
      <c r="F50" s="12" t="n">
        <v>4</v>
      </c>
      <c r="G50" s="12" t="str"/>
      <c r="H50" s="12" t="inlineStr">
        <is>
          <t>Claude (AI Engineer)</t>
        </is>
      </c>
      <c r="I50" s="12" t="inlineStr">
        <is>
          <t>Must Have</t>
        </is>
      </c>
      <c r="J50" s="12" t="inlineStr">
        <is>
          <t>MVP</t>
        </is>
      </c>
      <c r="K50" s="12" t="inlineStr">
        <is>
          <t>Week 1</t>
        </is>
      </c>
      <c r="L50" s="12" t="inlineStr">
        <is>
          <t>Done</t>
        </is>
      </c>
      <c r="M50" s="12" t="n">
        <v>3</v>
      </c>
      <c r="N50" s="12" t="inlineStr">
        <is>
          <t>Verified by unit test: task time exceeding attendance flags hasDataQualityException without altering original records. No dedicated admin exception-review screen yet — surfaced via My Day badge and reconciliation payload only.</t>
        </is>
      </c>
      <c r="O50" s="12" t="str"/>
    </row>
    <row r="51">
      <c r="A51" s="12" t="inlineStr">
        <is>
          <t>US-007-005</t>
        </is>
      </c>
      <c r="B51" s="12" t="inlineStr">
        <is>
          <t>EP-007</t>
        </is>
      </c>
      <c r="C51" s="12" t="inlineStr">
        <is>
          <t>Daily activity timeline</t>
        </is>
      </c>
      <c r="D51" s="12" t="inlineStr">
        <is>
          <t>Employee</t>
        </is>
      </c>
      <c r="E51" s="12" t="inlineStr">
        <is>
          <t>As an employee, I want one timeline of attendance, breaks and task activity so that my workday is understandable.</t>
        </is>
      </c>
      <c r="F51" s="12" t="n">
        <v>4</v>
      </c>
      <c r="G51" s="12" t="str"/>
      <c r="H51" s="12" t="inlineStr">
        <is>
          <t>Claude (AI Engineer)</t>
        </is>
      </c>
      <c r="I51" s="12" t="inlineStr">
        <is>
          <t>Must Have</t>
        </is>
      </c>
      <c r="J51" s="12" t="inlineStr">
        <is>
          <t>MVP</t>
        </is>
      </c>
      <c r="K51" s="12" t="inlineStr">
        <is>
          <t>Week 1</t>
        </is>
      </c>
      <c r="L51" s="12" t="inlineStr">
        <is>
          <t>Done</t>
        </is>
      </c>
      <c r="M51" s="12" t="n">
        <v>3</v>
      </c>
      <c r="N51" s="12" t="inlineStr">
        <is>
          <t>Implemented and functionally working; not individually covered by an automated test this session.</t>
        </is>
      </c>
      <c r="O51" s="12" t="str"/>
    </row>
    <row r="52">
      <c r="A52" s="12" t="inlineStr">
        <is>
          <t>US-008-001</t>
        </is>
      </c>
      <c r="B52" s="12" t="inlineStr">
        <is>
          <t>EP-008</t>
        </is>
      </c>
      <c r="C52" s="12" t="inlineStr">
        <is>
          <t>Employee My Day dashboard</t>
        </is>
      </c>
      <c r="D52" s="12" t="inlineStr">
        <is>
          <t>Employee</t>
        </is>
      </c>
      <c r="E52" s="12" t="inlineStr">
        <is>
          <t>As an employee, I want a single dashboard for attendance, break status, current task and totals so that daily actions are simple.</t>
        </is>
      </c>
      <c r="F52" s="12" t="n">
        <v>4</v>
      </c>
      <c r="G52" s="12" t="str"/>
      <c r="H52" s="12" t="inlineStr">
        <is>
          <t>Claude (AI Engineer)</t>
        </is>
      </c>
      <c r="I52" s="12" t="inlineStr">
        <is>
          <t>Must Have</t>
        </is>
      </c>
      <c r="J52" s="12" t="inlineStr">
        <is>
          <t>MVP</t>
        </is>
      </c>
      <c r="K52" s="12" t="inlineStr">
        <is>
          <t>Week 1</t>
        </is>
      </c>
      <c r="L52" s="12" t="inlineStr">
        <is>
          <t>Done</t>
        </is>
      </c>
      <c r="M52" s="12" t="n">
        <v>3</v>
      </c>
      <c r="N52" s="12" t="inlineStr">
        <is>
          <t>Implemented and functionally working; not individually covered by an automated test this session.</t>
        </is>
      </c>
      <c r="O52" s="12" t="str"/>
    </row>
    <row r="53">
      <c r="A53" s="12" t="inlineStr">
        <is>
          <t>US-008-002</t>
        </is>
      </c>
      <c r="B53" s="12" t="inlineStr">
        <is>
          <t>EP-008</t>
        </is>
      </c>
      <c r="C53" s="12" t="inlineStr">
        <is>
          <t>Administrator dashboard KPIs</t>
        </is>
      </c>
      <c r="D53" s="12" t="inlineStr">
        <is>
          <t>Administrator</t>
        </is>
      </c>
      <c r="E53" s="12" t="inlineStr">
        <is>
          <t>As an administrator, I want high-level daily KPIs so that I can understand current workforce activity.</t>
        </is>
      </c>
      <c r="F53" s="12" t="n">
        <v>4</v>
      </c>
      <c r="G53" s="12" t="str"/>
      <c r="H53" s="12" t="inlineStr">
        <is>
          <t>Claude (AI Engineer)</t>
        </is>
      </c>
      <c r="I53" s="12" t="inlineStr">
        <is>
          <t>Must Have</t>
        </is>
      </c>
      <c r="J53" s="12" t="inlineStr">
        <is>
          <t>MVP</t>
        </is>
      </c>
      <c r="K53" s="12" t="inlineStr">
        <is>
          <t>Week 1</t>
        </is>
      </c>
      <c r="L53" s="12" t="inlineStr">
        <is>
          <t>Done</t>
        </is>
      </c>
      <c r="M53" s="12" t="n">
        <v>3</v>
      </c>
      <c r="N53" s="12" t="inlineStr">
        <is>
          <t>Implemented and functionally working; not individually covered by an automated test this session.</t>
        </is>
      </c>
      <c r="O53" s="12" t="str"/>
    </row>
    <row r="54">
      <c r="A54" s="12" t="inlineStr">
        <is>
          <t>US-008-003</t>
        </is>
      </c>
      <c r="B54" s="12" t="inlineStr">
        <is>
          <t>EP-008</t>
        </is>
      </c>
      <c r="C54" s="12" t="inlineStr">
        <is>
          <t>Live user activity table</t>
        </is>
      </c>
      <c r="D54" s="12" t="inlineStr">
        <is>
          <t>Administrator</t>
        </is>
      </c>
      <c r="E54" s="12" t="inlineStr">
        <is>
          <t>As an administrator, I want a live table of user status so that I can see current attendance and task activity.</t>
        </is>
      </c>
      <c r="F54" s="12" t="n">
        <v>4</v>
      </c>
      <c r="G54" s="12" t="str"/>
      <c r="H54" s="12" t="inlineStr">
        <is>
          <t>Claude (AI Engineer)</t>
        </is>
      </c>
      <c r="I54" s="12" t="inlineStr">
        <is>
          <t>Must Have</t>
        </is>
      </c>
      <c r="J54" s="12" t="inlineStr">
        <is>
          <t>MVP</t>
        </is>
      </c>
      <c r="K54" s="12" t="inlineStr">
        <is>
          <t>Week 1</t>
        </is>
      </c>
      <c r="L54" s="12" t="inlineStr">
        <is>
          <t>Done</t>
        </is>
      </c>
      <c r="M54" s="12" t="n">
        <v>3</v>
      </c>
      <c r="N54" s="12" t="inlineStr">
        <is>
          <t>Implemented and functionally working; not individually covered by an automated test this session.</t>
        </is>
      </c>
      <c r="O54" s="12" t="str"/>
    </row>
    <row r="55">
      <c r="A55" s="12" t="inlineStr">
        <is>
          <t>US-008-004</t>
        </is>
      </c>
      <c r="B55" s="12" t="inlineStr">
        <is>
          <t>EP-008</t>
        </is>
      </c>
      <c r="C55" s="12" t="inlineStr">
        <is>
          <t>Task dashboard</t>
        </is>
      </c>
      <c r="D55" s="12" t="inlineStr">
        <is>
          <t>Administrator</t>
        </is>
      </c>
      <c r="E55" s="12" t="inlineStr">
        <is>
          <t>As an administrator, I want task status summaries so that I can identify active, overdue and completed work.</t>
        </is>
      </c>
      <c r="F55" s="12" t="n">
        <v>4</v>
      </c>
      <c r="G55" s="12" t="str"/>
      <c r="H55" s="12" t="inlineStr">
        <is>
          <t>Claude (AI Engineer)</t>
        </is>
      </c>
      <c r="I55" s="12" t="inlineStr">
        <is>
          <t>Must Have</t>
        </is>
      </c>
      <c r="J55" s="12" t="inlineStr">
        <is>
          <t>MVP</t>
        </is>
      </c>
      <c r="K55" s="12" t="inlineStr">
        <is>
          <t>Week 1</t>
        </is>
      </c>
      <c r="L55" s="12" t="inlineStr">
        <is>
          <t>Done</t>
        </is>
      </c>
      <c r="M55" s="12" t="n">
        <v>3</v>
      </c>
      <c r="N55" s="12" t="inlineStr">
        <is>
          <t>Implemented and functionally working; not individually covered by an automated test this session.</t>
        </is>
      </c>
      <c r="O55" s="12" t="str"/>
    </row>
    <row r="56">
      <c r="A56" s="12" t="inlineStr">
        <is>
          <t>US-008-005</t>
        </is>
      </c>
      <c r="B56" s="12" t="inlineStr">
        <is>
          <t>EP-008</t>
        </is>
      </c>
      <c r="C56" s="12" t="inlineStr">
        <is>
          <t>Responsive dashboard</t>
        </is>
      </c>
      <c r="D56" s="12" t="inlineStr">
        <is>
          <t>Employee</t>
        </is>
      </c>
      <c r="E56" s="12" t="inlineStr">
        <is>
          <t>As a user, I want dashboards usable on phone and desktop so that I can clock and track tasks from different devices.</t>
        </is>
      </c>
      <c r="F56" s="12" t="n">
        <v>4</v>
      </c>
      <c r="G56" s="12" t="str"/>
      <c r="H56" s="12" t="inlineStr">
        <is>
          <t>Claude (AI Engineer)</t>
        </is>
      </c>
      <c r="I56" s="12" t="inlineStr">
        <is>
          <t>Must Have</t>
        </is>
      </c>
      <c r="J56" s="12" t="inlineStr">
        <is>
          <t>MVP</t>
        </is>
      </c>
      <c r="K56" s="12" t="inlineStr">
        <is>
          <t>Week 1</t>
        </is>
      </c>
      <c r="L56" s="12" t="inlineStr">
        <is>
          <t>Done</t>
        </is>
      </c>
      <c r="M56" s="12" t="n">
        <v>3</v>
      </c>
      <c r="N56" s="12" t="inlineStr">
        <is>
          <t>Manual mobile-viewport (375x812) QA pass found and fixed a real gap: the sidebar nav was 'hidden md:flex' with no mobile alternative at all, so only the current page's primary actions were reachable and every other screen was unreachable on a phone. Added a hamburger toggle (aria-label/aria-expanded) that reveals the same nav list inline. Verified visually: no horizontal scroll, Clock In/attendance state stay visible, menu opens/closes correctly.</t>
        </is>
      </c>
      <c r="O56" s="12" t="str"/>
    </row>
    <row r="57">
      <c r="A57" s="12" t="inlineStr">
        <is>
          <t>US-009-001</t>
        </is>
      </c>
      <c r="B57" s="12" t="inlineStr">
        <is>
          <t>EP-009</t>
        </is>
      </c>
      <c r="C57" s="12" t="inlineStr">
        <is>
          <t>Request attendance correction</t>
        </is>
      </c>
      <c r="D57" s="12" t="inlineStr">
        <is>
          <t>Employee</t>
        </is>
      </c>
      <c r="E57" s="12" t="inlineStr">
        <is>
          <t>As an employee, I want to request correction of an attendance mistake so that records can be fixed without hidden edits.</t>
        </is>
      </c>
      <c r="F57" s="12" t="n">
        <v>4</v>
      </c>
      <c r="G57" s="12" t="str"/>
      <c r="H57" s="12" t="inlineStr">
        <is>
          <t>Claude (AI Engineer)</t>
        </is>
      </c>
      <c r="I57" s="12" t="inlineStr">
        <is>
          <t>Must Have</t>
        </is>
      </c>
      <c r="J57" s="12" t="inlineStr">
        <is>
          <t>MVP</t>
        </is>
      </c>
      <c r="K57" s="12" t="inlineStr">
        <is>
          <t>Week 1</t>
        </is>
      </c>
      <c r="L57" s="12" t="inlineStr">
        <is>
          <t>Done</t>
        </is>
      </c>
      <c r="M57" s="12" t="n">
        <v>3</v>
      </c>
      <c r="N57" s="12" t="inlineStr">
        <is>
          <t>Verified by e2e test: request does not overwrite the original record; visible to the requester.</t>
        </is>
      </c>
      <c r="O57" s="12" t="str"/>
    </row>
    <row r="58">
      <c r="A58" s="12" t="inlineStr">
        <is>
          <t>US-009-002</t>
        </is>
      </c>
      <c r="B58" s="12" t="inlineStr">
        <is>
          <t>EP-009</t>
        </is>
      </c>
      <c r="C58" s="12" t="inlineStr">
        <is>
          <t>Approve attendance correction</t>
        </is>
      </c>
      <c r="D58" s="12" t="inlineStr">
        <is>
          <t>Administrator</t>
        </is>
      </c>
      <c r="E58" s="12" t="inlineStr">
        <is>
          <t>As an administrator, I want to approve or reject attendance corrections so that changes are controlled.</t>
        </is>
      </c>
      <c r="F58" s="12" t="n">
        <v>4</v>
      </c>
      <c r="G58" s="12" t="str"/>
      <c r="H58" s="12" t="inlineStr">
        <is>
          <t>Claude (AI Engineer)</t>
        </is>
      </c>
      <c r="I58" s="12" t="inlineStr">
        <is>
          <t>Must Have</t>
        </is>
      </c>
      <c r="J58" s="12" t="inlineStr">
        <is>
          <t>MVP</t>
        </is>
      </c>
      <c r="K58" s="12" t="inlineStr">
        <is>
          <t>Week 1</t>
        </is>
      </c>
      <c r="L58" s="12" t="inlineStr">
        <is>
          <t>Done</t>
        </is>
      </c>
      <c r="M58" s="12" t="n">
        <v>3</v>
      </c>
      <c r="N58" s="12" t="inlineStr">
        <is>
          <t>Verified by e2e test: approval applies the corrected values and preserves the original in the audit log (before/after).</t>
        </is>
      </c>
      <c r="O58" s="12" t="str"/>
    </row>
    <row r="59">
      <c r="A59" s="12" t="inlineStr">
        <is>
          <t>US-009-003</t>
        </is>
      </c>
      <c r="B59" s="12" t="inlineStr">
        <is>
          <t>EP-009</t>
        </is>
      </c>
      <c r="C59" s="12" t="inlineStr">
        <is>
          <t>Request task time correction</t>
        </is>
      </c>
      <c r="D59" s="12" t="inlineStr">
        <is>
          <t>Employee</t>
        </is>
      </c>
      <c r="E59" s="12" t="inlineStr">
        <is>
          <t>As an employee, I want to request correction of task time so that forgotten/incorrect timer events can be resolved.</t>
        </is>
      </c>
      <c r="F59" s="12" t="n">
        <v>4</v>
      </c>
      <c r="G59" s="12" t="str"/>
      <c r="H59" s="12" t="inlineStr">
        <is>
          <t>Claude (AI Engineer)</t>
        </is>
      </c>
      <c r="I59" s="12" t="inlineStr">
        <is>
          <t>Must Have</t>
        </is>
      </c>
      <c r="J59" s="12" t="inlineStr">
        <is>
          <t>MVP</t>
        </is>
      </c>
      <c r="K59" s="12" t="inlineStr">
        <is>
          <t>Week 1</t>
        </is>
      </c>
      <c r="L59" s="12" t="inlineStr">
        <is>
          <t>Done</t>
        </is>
      </c>
      <c r="M59" s="12" t="n">
        <v>3</v>
      </c>
      <c r="N59" s="12" t="inlineStr">
        <is>
          <t>Implemented and functionally working; not individually covered by an automated test this session.</t>
        </is>
      </c>
      <c r="O59" s="12" t="str"/>
    </row>
    <row r="60">
      <c r="A60" s="12" t="inlineStr">
        <is>
          <t>US-009-004</t>
        </is>
      </c>
      <c r="B60" s="12" t="inlineStr">
        <is>
          <t>EP-009</t>
        </is>
      </c>
      <c r="C60" s="12" t="inlineStr">
        <is>
          <t>Administrator direct correction</t>
        </is>
      </c>
      <c r="D60" s="12" t="inlineStr">
        <is>
          <t>Administrator</t>
        </is>
      </c>
      <c r="E60" s="12" t="inlineStr">
        <is>
          <t>As an administrator, I want to correct authorised records directly so that operational errors can be resolved quickly.</t>
        </is>
      </c>
      <c r="F60" s="12" t="n">
        <v>4</v>
      </c>
      <c r="G60" s="12" t="str"/>
      <c r="H60" s="12" t="inlineStr">
        <is>
          <t>Claude (AI Engineer)</t>
        </is>
      </c>
      <c r="I60" s="12" t="inlineStr">
        <is>
          <t>Must Have</t>
        </is>
      </c>
      <c r="J60" s="12" t="inlineStr">
        <is>
          <t>MVP</t>
        </is>
      </c>
      <c r="K60" s="12" t="inlineStr">
        <is>
          <t>Week 1</t>
        </is>
      </c>
      <c r="L60" s="12" t="inlineStr">
        <is>
          <t>Done</t>
        </is>
      </c>
      <c r="M60" s="12" t="n">
        <v>3</v>
      </c>
      <c r="N60" s="12" t="inlineStr">
        <is>
          <t>Implemented and functionally working; not individually covered by an automated test this session.</t>
        </is>
      </c>
      <c r="O60" s="12" t="str"/>
    </row>
    <row r="61">
      <c r="A61" s="12" t="inlineStr">
        <is>
          <t>US-009-005</t>
        </is>
      </c>
      <c r="B61" s="12" t="inlineStr">
        <is>
          <t>EP-009</t>
        </is>
      </c>
      <c r="C61" s="12" t="inlineStr">
        <is>
          <t>Audit log</t>
        </is>
      </c>
      <c r="D61" s="12" t="inlineStr">
        <is>
          <t>Auditor</t>
        </is>
      </c>
      <c r="E61" s="12" t="inlineStr">
        <is>
          <t>As an auditor, I want a tamper-resistant audit view so that sensitive changes are traceable.</t>
        </is>
      </c>
      <c r="F61" s="12" t="n">
        <v>4</v>
      </c>
      <c r="G61" s="12" t="str"/>
      <c r="H61" s="12" t="inlineStr">
        <is>
          <t>Claude (AI Engineer)</t>
        </is>
      </c>
      <c r="I61" s="12" t="inlineStr">
        <is>
          <t>Must Have</t>
        </is>
      </c>
      <c r="J61" s="12" t="inlineStr">
        <is>
          <t>MVP</t>
        </is>
      </c>
      <c r="K61" s="12" t="inlineStr">
        <is>
          <t>Week 1</t>
        </is>
      </c>
      <c r="L61" s="12" t="inlineStr">
        <is>
          <t>Done</t>
        </is>
      </c>
      <c r="M61" s="12" t="n">
        <v>3</v>
      </c>
      <c r="N61" s="12" t="inlineStr">
        <is>
          <t>Verified by e2e test: audit entries carry actor/action/target/before/after and are filterable by action.</t>
        </is>
      </c>
      <c r="O61" s="12" t="str"/>
    </row>
    <row r="62">
      <c r="A62" s="12" t="inlineStr">
        <is>
          <t>US-010-001</t>
        </is>
      </c>
      <c r="B62" s="12" t="inlineStr">
        <is>
          <t>EP-010</t>
        </is>
      </c>
      <c r="C62" s="12" t="inlineStr">
        <is>
          <t>Daily attendance report</t>
        </is>
      </c>
      <c r="D62" s="12" t="inlineStr">
        <is>
          <t>Administrator</t>
        </is>
      </c>
      <c r="E62" s="12" t="inlineStr">
        <is>
          <t>As an administrator, I want a daily attendance report so that I can review who worked and for how long.</t>
        </is>
      </c>
      <c r="F62" s="12" t="n">
        <v>4</v>
      </c>
      <c r="G62" s="12" t="str"/>
      <c r="H62" s="12" t="inlineStr">
        <is>
          <t>Claude (AI Engineer)</t>
        </is>
      </c>
      <c r="I62" s="12" t="inlineStr">
        <is>
          <t>Must Have</t>
        </is>
      </c>
      <c r="J62" s="12" t="inlineStr">
        <is>
          <t>MVP</t>
        </is>
      </c>
      <c r="K62" s="12" t="inlineStr">
        <is>
          <t>Week 1</t>
        </is>
      </c>
      <c r="L62" s="12" t="inlineStr">
        <is>
          <t>Done</t>
        </is>
      </c>
      <c r="M62" s="12" t="n">
        <v>3</v>
      </c>
      <c r="N62" s="12" t="inlineStr">
        <is>
          <t>Implemented and functionally working; not individually covered by an automated test this session.</t>
        </is>
      </c>
      <c r="O62" s="12" t="str"/>
    </row>
    <row r="63">
      <c r="A63" s="12" t="inlineStr">
        <is>
          <t>US-010-002</t>
        </is>
      </c>
      <c r="B63" s="12" t="inlineStr">
        <is>
          <t>EP-010</t>
        </is>
      </c>
      <c r="C63" s="12" t="inlineStr">
        <is>
          <t>Weekly monthly attendance report</t>
        </is>
      </c>
      <c r="D63" s="12" t="inlineStr">
        <is>
          <t>Administrator</t>
        </is>
      </c>
      <c r="E63" s="12" t="inlineStr">
        <is>
          <t>As an administrator, I want weekly/monthly attendance summaries so that working patterns are visible.</t>
        </is>
      </c>
      <c r="F63" s="12" t="n">
        <v>4</v>
      </c>
      <c r="G63" s="12" t="str"/>
      <c r="H63" s="12" t="inlineStr">
        <is>
          <t>Claude (AI Engineer)</t>
        </is>
      </c>
      <c r="I63" s="12" t="inlineStr">
        <is>
          <t>Must Have</t>
        </is>
      </c>
      <c r="J63" s="12" t="inlineStr">
        <is>
          <t>MVP</t>
        </is>
      </c>
      <c r="K63" s="12" t="inlineStr">
        <is>
          <t>Week 1</t>
        </is>
      </c>
      <c r="L63" s="12" t="inlineStr">
        <is>
          <t>Done</t>
        </is>
      </c>
      <c r="M63" s="12" t="n">
        <v>3</v>
      </c>
      <c r="N63" s="12" t="inlineStr">
        <is>
          <t>Implemented and functionally working; not individually covered by an automated test this session.</t>
        </is>
      </c>
      <c r="O63" s="12" t="str"/>
    </row>
    <row r="64">
      <c r="A64" s="12" t="inlineStr">
        <is>
          <t>US-010-003</t>
        </is>
      </c>
      <c r="B64" s="12" t="inlineStr">
        <is>
          <t>EP-010</t>
        </is>
      </c>
      <c r="C64" s="12" t="inlineStr">
        <is>
          <t>Task time report</t>
        </is>
      </c>
      <c r="D64" s="12" t="inlineStr">
        <is>
          <t>Administrator</t>
        </is>
      </c>
      <c r="E64" s="12" t="inlineStr">
        <is>
          <t>As an administrator, I want task-time reporting so that I can see actual time spent on work.</t>
        </is>
      </c>
      <c r="F64" s="12" t="n">
        <v>4</v>
      </c>
      <c r="G64" s="12" t="str"/>
      <c r="H64" s="12" t="inlineStr">
        <is>
          <t>Claude (AI Engineer)</t>
        </is>
      </c>
      <c r="I64" s="12" t="inlineStr">
        <is>
          <t>Must Have</t>
        </is>
      </c>
      <c r="J64" s="12" t="inlineStr">
        <is>
          <t>MVP</t>
        </is>
      </c>
      <c r="K64" s="12" t="inlineStr">
        <is>
          <t>Week 1</t>
        </is>
      </c>
      <c r="L64" s="12" t="inlineStr">
        <is>
          <t>Done</t>
        </is>
      </c>
      <c r="M64" s="12" t="n">
        <v>3</v>
      </c>
      <c r="N64" s="12" t="inlineStr">
        <is>
          <t>Implemented and functionally working; not individually covered by an automated test this session.</t>
        </is>
      </c>
      <c r="O64" s="12" t="str"/>
    </row>
    <row r="65">
      <c r="A65" s="12" t="inlineStr">
        <is>
          <t>US-010-004</t>
        </is>
      </c>
      <c r="B65" s="12" t="inlineStr">
        <is>
          <t>EP-010</t>
        </is>
      </c>
      <c r="C65" s="12" t="inlineStr">
        <is>
          <t>Unallocated time report</t>
        </is>
      </c>
      <c r="D65" s="12" t="inlineStr">
        <is>
          <t>Administrator</t>
        </is>
      </c>
      <c r="E65" s="12" t="inlineStr">
        <is>
          <t>As an administrator, I want unallocated-time reporting so that missing task tracking can be identified.</t>
        </is>
      </c>
      <c r="F65" s="12" t="n">
        <v>4</v>
      </c>
      <c r="G65" s="12" t="str"/>
      <c r="H65" s="12" t="inlineStr">
        <is>
          <t>Claude (AI Engineer)</t>
        </is>
      </c>
      <c r="I65" s="12" t="inlineStr">
        <is>
          <t>Must Have</t>
        </is>
      </c>
      <c r="J65" s="12" t="inlineStr">
        <is>
          <t>MVP</t>
        </is>
      </c>
      <c r="K65" s="12" t="inlineStr">
        <is>
          <t>Week 1</t>
        </is>
      </c>
      <c r="L65" s="12" t="inlineStr">
        <is>
          <t>Done</t>
        </is>
      </c>
      <c r="M65" s="12" t="n">
        <v>3</v>
      </c>
      <c r="N65" s="12" t="inlineStr">
        <is>
          <t>Implemented and functionally working; not individually covered by an automated test this session.</t>
        </is>
      </c>
      <c r="O65" s="12" t="str"/>
    </row>
    <row r="66">
      <c r="A66" s="12" t="inlineStr">
        <is>
          <t>US-010-005</t>
        </is>
      </c>
      <c r="B66" s="12" t="inlineStr">
        <is>
          <t>EP-010</t>
        </is>
      </c>
      <c r="C66" s="12" t="inlineStr">
        <is>
          <t>Export report</t>
        </is>
      </c>
      <c r="D66" s="12" t="inlineStr">
        <is>
          <t>Administrator</t>
        </is>
      </c>
      <c r="E66" s="12" t="inlineStr">
        <is>
          <t>As an administrator, I want to export filtered reports so that data can be used outside the application.</t>
        </is>
      </c>
      <c r="F66" s="12" t="n">
        <v>4</v>
      </c>
      <c r="G66" s="12" t="str"/>
      <c r="H66" s="12" t="inlineStr">
        <is>
          <t>Claude (AI Engineer)</t>
        </is>
      </c>
      <c r="I66" s="12" t="inlineStr">
        <is>
          <t>Must Have</t>
        </is>
      </c>
      <c r="J66" s="12" t="inlineStr">
        <is>
          <t>MVP</t>
        </is>
      </c>
      <c r="K66" s="12" t="inlineStr">
        <is>
          <t>Week 1</t>
        </is>
      </c>
      <c r="L66" s="12" t="inlineStr">
        <is>
          <t>Done</t>
        </is>
      </c>
      <c r="M66" s="12" t="n">
        <v>3</v>
      </c>
      <c r="N66" s="12" t="inlineStr">
        <is>
          <t>Implemented and functionally working; not individually covered by an automated test this session.</t>
        </is>
      </c>
      <c r="O66" s="12" t="str"/>
    </row>
    <row r="67">
      <c r="A67" s="12" t="inlineStr">
        <is>
          <t>US-011-001</t>
        </is>
      </c>
      <c r="B67" s="12" t="inlineStr">
        <is>
          <t>EP-011</t>
        </is>
      </c>
      <c r="C67" s="12" t="inlineStr">
        <is>
          <t>Task assignment notification</t>
        </is>
      </c>
      <c r="D67" s="12" t="inlineStr">
        <is>
          <t>Employee</t>
        </is>
      </c>
      <c r="E67" s="12" t="inlineStr">
        <is>
          <t>As an employee, I want to be notified when a task is assigned so that I know new work exists.</t>
        </is>
      </c>
      <c r="F67" s="12" t="n">
        <v>4</v>
      </c>
      <c r="G67" s="12" t="str"/>
      <c r="H67" s="12" t="inlineStr">
        <is>
          <t>Claude (AI Engineer)</t>
        </is>
      </c>
      <c r="I67" s="12" t="inlineStr">
        <is>
          <t>Should Have</t>
        </is>
      </c>
      <c r="J67" s="12" t="inlineStr">
        <is>
          <t>R1</t>
        </is>
      </c>
      <c r="K67" s="12" t="inlineStr">
        <is>
          <t>Week 1</t>
        </is>
      </c>
      <c r="L67" s="12" t="inlineStr">
        <is>
          <t>Not Started</t>
        </is>
      </c>
      <c r="M67" s="12" t="n">
        <v>3</v>
      </c>
      <c r="N67" s="12" t="inlineStr">
        <is>
          <t>Deferred to R1 per SRS Release Plan (EP-011) or blocked on infrastructure choice (US-012-005).</t>
        </is>
      </c>
      <c r="O67" s="12" t="str"/>
    </row>
    <row r="68">
      <c r="A68" s="12" t="inlineStr">
        <is>
          <t>US-011-002</t>
        </is>
      </c>
      <c r="B68" s="12" t="inlineStr">
        <is>
          <t>EP-011</t>
        </is>
      </c>
      <c r="C68" s="12" t="inlineStr">
        <is>
          <t>Missing clock-out reminder</t>
        </is>
      </c>
      <c r="D68" s="12" t="inlineStr">
        <is>
          <t>Employee</t>
        </is>
      </c>
      <c r="E68" s="12" t="inlineStr">
        <is>
          <t>As an employee, I want a reminder if I appear to have forgotten to clock out so that incomplete attendance is reduced.</t>
        </is>
      </c>
      <c r="F68" s="12" t="n">
        <v>4</v>
      </c>
      <c r="G68" s="12" t="str"/>
      <c r="H68" s="12" t="inlineStr">
        <is>
          <t>Claude (AI Engineer)</t>
        </is>
      </c>
      <c r="I68" s="12" t="inlineStr">
        <is>
          <t>Should Have</t>
        </is>
      </c>
      <c r="J68" s="12" t="inlineStr">
        <is>
          <t>R1</t>
        </is>
      </c>
      <c r="K68" s="12" t="inlineStr">
        <is>
          <t>Week 1</t>
        </is>
      </c>
      <c r="L68" s="12" t="inlineStr">
        <is>
          <t>Not Started</t>
        </is>
      </c>
      <c r="M68" s="12" t="n">
        <v>3</v>
      </c>
      <c r="N68" s="12" t="inlineStr">
        <is>
          <t>Deferred to R1 per SRS Release Plan (EP-011) or blocked on infrastructure choice (US-012-005).</t>
        </is>
      </c>
      <c r="O68" s="12" t="str"/>
    </row>
    <row r="69">
      <c r="A69" s="12" t="inlineStr">
        <is>
          <t>US-011-003</t>
        </is>
      </c>
      <c r="B69" s="12" t="inlineStr">
        <is>
          <t>EP-011</t>
        </is>
      </c>
      <c r="C69" s="12" t="inlineStr">
        <is>
          <t>Long-running task timer reminder</t>
        </is>
      </c>
      <c r="D69" s="12" t="inlineStr">
        <is>
          <t>Employee</t>
        </is>
      </c>
      <c r="E69" s="12" t="inlineStr">
        <is>
          <t>As an employee, I want a reminder when a task timer has been running unusually long so that accidental over-recording can be corrected.</t>
        </is>
      </c>
      <c r="F69" s="12" t="n">
        <v>4</v>
      </c>
      <c r="G69" s="12" t="str"/>
      <c r="H69" s="12" t="inlineStr">
        <is>
          <t>Claude (AI Engineer)</t>
        </is>
      </c>
      <c r="I69" s="12" t="inlineStr">
        <is>
          <t>Should Have</t>
        </is>
      </c>
      <c r="J69" s="12" t="inlineStr">
        <is>
          <t>R1</t>
        </is>
      </c>
      <c r="K69" s="12" t="inlineStr">
        <is>
          <t>Week 1</t>
        </is>
      </c>
      <c r="L69" s="12" t="inlineStr">
        <is>
          <t>Not Started</t>
        </is>
      </c>
      <c r="M69" s="12" t="n">
        <v>3</v>
      </c>
      <c r="N69" s="12" t="inlineStr">
        <is>
          <t>Deferred to R1 per SRS Release Plan (EP-011) or blocked on infrastructure choice (US-012-005).</t>
        </is>
      </c>
      <c r="O69" s="12" t="str"/>
    </row>
    <row r="70">
      <c r="A70" s="12" t="inlineStr">
        <is>
          <t>US-011-004</t>
        </is>
      </c>
      <c r="B70" s="12" t="inlineStr">
        <is>
          <t>EP-011</t>
        </is>
      </c>
      <c r="C70" s="12" t="inlineStr">
        <is>
          <t>Unallocated time reminder</t>
        </is>
      </c>
      <c r="D70" s="12" t="inlineStr">
        <is>
          <t>Employee</t>
        </is>
      </c>
      <c r="E70" s="12" t="inlineStr">
        <is>
          <t>As an employee, I want a reminder when my completed workday has unallocated time so that missing task tracking can be reviewed.</t>
        </is>
      </c>
      <c r="F70" s="12" t="n">
        <v>4</v>
      </c>
      <c r="G70" s="12" t="str"/>
      <c r="H70" s="12" t="inlineStr">
        <is>
          <t>Claude (AI Engineer)</t>
        </is>
      </c>
      <c r="I70" s="12" t="inlineStr">
        <is>
          <t>Should Have</t>
        </is>
      </c>
      <c r="J70" s="12" t="inlineStr">
        <is>
          <t>R1</t>
        </is>
      </c>
      <c r="K70" s="12" t="inlineStr">
        <is>
          <t>Week 1</t>
        </is>
      </c>
      <c r="L70" s="12" t="inlineStr">
        <is>
          <t>Not Started</t>
        </is>
      </c>
      <c r="M70" s="12" t="n">
        <v>3</v>
      </c>
      <c r="N70" s="12" t="inlineStr">
        <is>
          <t>Deferred to R1 per SRS Release Plan (EP-011) or blocked on infrastructure choice (US-012-005).</t>
        </is>
      </c>
      <c r="O70" s="12" t="str"/>
    </row>
    <row r="71">
      <c r="A71" s="12" t="inlineStr">
        <is>
          <t>US-012-001</t>
        </is>
      </c>
      <c r="B71" s="12" t="inlineStr">
        <is>
          <t>EP-012</t>
        </is>
      </c>
      <c r="C71" s="12" t="inlineStr">
        <is>
          <t>Secure password storage</t>
        </is>
      </c>
      <c r="D71" s="12" t="inlineStr">
        <is>
          <t>Security Administrator</t>
        </is>
      </c>
      <c r="E71" s="12" t="inlineStr">
        <is>
          <t>As a security administrator, I want passwords securely hashed so that credential exposure risk is minimised.</t>
        </is>
      </c>
      <c r="F71" s="12" t="n">
        <v>4</v>
      </c>
      <c r="G71" s="12" t="str"/>
      <c r="H71" s="12" t="inlineStr">
        <is>
          <t>Claude (AI Engineer)</t>
        </is>
      </c>
      <c r="I71" s="12" t="inlineStr">
        <is>
          <t>Must Have</t>
        </is>
      </c>
      <c r="J71" s="12" t="inlineStr">
        <is>
          <t>MVP</t>
        </is>
      </c>
      <c r="K71" s="12" t="inlineStr">
        <is>
          <t>Week 1</t>
        </is>
      </c>
      <c r="L71" s="12" t="inlineStr">
        <is>
          <t>Done</t>
        </is>
      </c>
      <c r="M71" s="12" t="n">
        <v>3</v>
      </c>
      <c r="N71" s="12" t="inlineStr">
        <is>
          <t>Argon2id via the `argon2` package; verified indirectly by every e2e login.</t>
        </is>
      </c>
      <c r="O71" s="12" t="str"/>
    </row>
    <row r="72">
      <c r="A72" s="12" t="inlineStr">
        <is>
          <t>US-012-002</t>
        </is>
      </c>
      <c r="B72" s="12" t="inlineStr">
        <is>
          <t>EP-012</t>
        </is>
      </c>
      <c r="C72" s="12" t="inlineStr">
        <is>
          <t>Authorisation enforcement</t>
        </is>
      </c>
      <c r="D72" s="12" t="inlineStr">
        <is>
          <t>Security Administrator</t>
        </is>
      </c>
      <c r="E72" s="12" t="inlineStr">
        <is>
          <t>As a security administrator, I want server-side role checks so that employees cannot access administrator functions.</t>
        </is>
      </c>
      <c r="F72" s="12" t="n">
        <v>4</v>
      </c>
      <c r="G72" s="12" t="str"/>
      <c r="H72" s="12" t="inlineStr">
        <is>
          <t>Claude (AI Engineer)</t>
        </is>
      </c>
      <c r="I72" s="12" t="inlineStr">
        <is>
          <t>Must Have</t>
        </is>
      </c>
      <c r="J72" s="12" t="inlineStr">
        <is>
          <t>MVP</t>
        </is>
      </c>
      <c r="K72" s="12" t="inlineStr">
        <is>
          <t>Week 1</t>
        </is>
      </c>
      <c r="L72" s="12" t="inlineStr">
        <is>
          <t>Done</t>
        </is>
      </c>
      <c r="M72" s="12" t="n">
        <v>3</v>
      </c>
      <c r="N72" s="12" t="inlineStr">
        <is>
          <t>Verified by e2e test: employee blocked (403) from an admin-only endpoint; unauthenticated requests blocked (401).</t>
        </is>
      </c>
      <c r="O72" s="12" t="str"/>
    </row>
    <row r="73">
      <c r="A73" s="12" t="inlineStr">
        <is>
          <t>US-012-003</t>
        </is>
      </c>
      <c r="B73" s="12" t="inlineStr">
        <is>
          <t>EP-012</t>
        </is>
      </c>
      <c r="C73" s="12" t="inlineStr">
        <is>
          <t>Time integrity</t>
        </is>
      </c>
      <c r="D73" s="12" t="inlineStr">
        <is>
          <t>System Administrator</t>
        </is>
      </c>
      <c r="E73" s="12" t="inlineStr">
        <is>
          <t>As a system administrator, I want server-authoritative time and concurrency safeguards so that attendance/task duration is trustworthy.</t>
        </is>
      </c>
      <c r="F73" s="12" t="n">
        <v>4</v>
      </c>
      <c r="G73" s="12" t="str"/>
      <c r="H73" s="12" t="inlineStr">
        <is>
          <t>Claude (AI Engineer)</t>
        </is>
      </c>
      <c r="I73" s="12" t="inlineStr">
        <is>
          <t>Must Have</t>
        </is>
      </c>
      <c r="J73" s="12" t="inlineStr">
        <is>
          <t>MVP</t>
        </is>
      </c>
      <c r="K73" s="12" t="inlineStr">
        <is>
          <t>Week 1</t>
        </is>
      </c>
      <c r="L73" s="12" t="inlineStr">
        <is>
          <t>Done</t>
        </is>
      </c>
      <c r="M73" s="12" t="n">
        <v>3</v>
      </c>
      <c r="N73" s="12" t="inlineStr">
        <is>
          <t>Verified by e2e test: all official timestamps are server-generated; BR-002/BR-003 enforced by Postgres partial unique indexes, not just application logic.</t>
        </is>
      </c>
      <c r="O73" s="12" t="str"/>
    </row>
    <row r="74">
      <c r="A74" s="12" t="inlineStr">
        <is>
          <t>US-012-004</t>
        </is>
      </c>
      <c r="B74" s="12" t="inlineStr">
        <is>
          <t>EP-012</t>
        </is>
      </c>
      <c r="C74" s="12" t="inlineStr">
        <is>
          <t>Application logging and monitoring</t>
        </is>
      </c>
      <c r="D74" s="12" t="inlineStr">
        <is>
          <t>Operations Engineer</t>
        </is>
      </c>
      <c r="E74" s="12" t="inlineStr">
        <is>
          <t>As an operations engineer, I want structured logs and health monitoring so that incidents can be diagnosed.</t>
        </is>
      </c>
      <c r="F74" s="12" t="n">
        <v>4</v>
      </c>
      <c r="G74" s="12" t="str"/>
      <c r="H74" s="12" t="inlineStr">
        <is>
          <t>Claude (AI Engineer)</t>
        </is>
      </c>
      <c r="I74" s="12" t="inlineStr">
        <is>
          <t>Must Have</t>
        </is>
      </c>
      <c r="J74" s="12" t="inlineStr">
        <is>
          <t>MVP</t>
        </is>
      </c>
      <c r="K74" s="12" t="inlineStr">
        <is>
          <t>Week 1</t>
        </is>
      </c>
      <c r="L74" s="12" t="inlineStr">
        <is>
          <t>Done</t>
        </is>
      </c>
      <c r="M74" s="12" t="n">
        <v>3</v>
      </c>
      <c r="N74" s="12" t="inlineStr">
        <is>
          <t>Structured JSON request logging (pino-http) with correlation IDs wired in and manually verified: id round-trips via x-request-id header, passwords/cookies never appear in logs, /health and /ready produce zero log noise.</t>
        </is>
      </c>
      <c r="O74" s="12" t="str"/>
    </row>
    <row r="75">
      <c r="A75" s="12" t="inlineStr">
        <is>
          <t>US-012-005</t>
        </is>
      </c>
      <c r="B75" s="12" t="inlineStr">
        <is>
          <t>EP-012</t>
        </is>
      </c>
      <c r="C75" s="12" t="inlineStr">
        <is>
          <t>Backup and restore</t>
        </is>
      </c>
      <c r="D75" s="12" t="inlineStr">
        <is>
          <t>Operations Engineer</t>
        </is>
      </c>
      <c r="E75" s="12" t="inlineStr">
        <is>
          <t>As an operations engineer, I want database backups and a tested restore process so that data can be recovered.</t>
        </is>
      </c>
      <c r="F75" s="12" t="n">
        <v>4</v>
      </c>
      <c r="G75" s="12" t="str"/>
      <c r="H75" s="12" t="inlineStr">
        <is>
          <t>Claude (AI Engineer)</t>
        </is>
      </c>
      <c r="I75" s="12" t="inlineStr">
        <is>
          <t>Must Have</t>
        </is>
      </c>
      <c r="J75" s="12" t="inlineStr">
        <is>
          <t>MVP</t>
        </is>
      </c>
      <c r="K75" s="12" t="inlineStr">
        <is>
          <t>Week 1</t>
        </is>
      </c>
      <c r="L75" s="12" t="inlineStr">
        <is>
          <t>Done</t>
        </is>
      </c>
      <c r="M75" s="12" t="n">
        <v>3</v>
      </c>
      <c r="N75" s="12" t="inlineStr">
        <is>
          <t>Backup/restore POLICY and PROCEDURE documented (docs/BACKUP_AND_RESTORE.md, RPO=15min/RTO=4hr). Real Azure Database for PostgreSQL Flexible Server live (atms-db-zh5xgcupqkpwy, centralus) with automated backups (14-day retention). Restore drill executed 2026-09-08: point-in-time restore to a new server, schema and seeded-account data verified, drill instance discarded. Logged in the testing-cadence table in BACKUP_AND_RESTORE.md.</t>
        </is>
      </c>
      <c r="O75" s="12" t="str"/>
    </row>
    <row r="76">
      <c r="A76" s="12" t="inlineStr">
        <is>
          <t>US-012-006</t>
        </is>
      </c>
      <c r="B76" s="12" t="inlineStr">
        <is>
          <t>EP-012</t>
        </is>
      </c>
      <c r="C76" s="12" t="inlineStr">
        <is>
          <t>CI/CD quality gates</t>
        </is>
      </c>
      <c r="D76" s="12" t="inlineStr">
        <is>
          <t>Release Manager</t>
        </is>
      </c>
      <c r="E76" s="12" t="inlineStr">
        <is>
          <t>As a release manager, I want automated build, test and security gates so that defective releases are less likely to reach production.</t>
        </is>
      </c>
      <c r="F76" s="12" t="n">
        <v>4</v>
      </c>
      <c r="G76" s="12" t="str"/>
      <c r="H76" s="12" t="inlineStr">
        <is>
          <t>Claude (AI Engineer)</t>
        </is>
      </c>
      <c r="I76" s="12" t="inlineStr">
        <is>
          <t>Must Have</t>
        </is>
      </c>
      <c r="J76" s="12" t="inlineStr">
        <is>
          <t>MVP</t>
        </is>
      </c>
      <c r="K76" s="12" t="inlineStr">
        <is>
          <t>Week 1</t>
        </is>
      </c>
      <c r="L76" s="12" t="inlineStr">
        <is>
          <t>Done</t>
        </is>
      </c>
      <c r="M76" s="12" t="n">
        <v>3</v>
      </c>
      <c r="N76" s="12" t="inlineStr">
        <is>
          <t>GitHub Actions CI (lint, unit, e2e, both builds, both Docker images) is green on every push. A separate manual-trigger deploy workflow builds/pushes images and updates Azure Container Apps once repo secrets are configured (see DEPLOYMENT.md).</t>
        </is>
      </c>
      <c r="O76" s="12" t="str"/>
    </row>
  </sheetData>
  <conditionalFormatting sqref="L2:L76">
    <cfRule type="expression" priority="1" dxfId="0">
      <formula>L2="Done"</formula>
    </cfRule>
    <cfRule type="expression" priority="2" dxfId="1">
      <formula>L2="Blocked"</formula>
    </cfRule>
    <cfRule type="expression" priority="3" dxfId="4">
      <formula>L2="In Progress"</formula>
    </cfRule>
  </conditionalFormatting>
  <dataValidations count="3">
    <dataValidation sqref="I2:I76" showDropDown="0" showInputMessage="0" showErrorMessage="0" allowBlank="0" type="list">
      <formula1>Lists!$B$2:$B$4</formula1>
    </dataValidation>
    <dataValidation sqref="J2:J76" showDropDown="0" showInputMessage="0" showErrorMessage="0" allowBlank="0" type="list">
      <formula1>Lists!$C$2:$C$4</formula1>
    </dataValidation>
    <dataValidation sqref="L2:L76"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K301"/>
  <sheetViews>
    <sheetView workbookViewId="0">
      <selection activeCell="A1" sqref="A1"/>
    </sheetView>
  </sheetViews>
  <sheetFormatPr baseColWidth="8" defaultRowHeight="15"/>
  <cols>
    <col width="17" customWidth="1" min="1" max="1"/>
    <col width="15" customWidth="1" min="2" max="2"/>
    <col width="12" customWidth="1" min="3" max="3"/>
    <col width="70" customWidth="1" min="4" max="4"/>
    <col width="16" customWidth="1" min="5" max="5"/>
    <col width="16" customWidth="1" min="6" max="6"/>
    <col width="30" customWidth="1" min="7" max="7"/>
    <col width="14" customWidth="1" min="8" max="8"/>
    <col width="16" customWidth="1" min="9" max="9"/>
    <col width="16" customWidth="1" min="10" max="10"/>
    <col width="28" customWidth="1" min="11" max="11"/>
  </cols>
  <sheetData>
    <row r="1" ht="24" customHeight="1">
      <c r="A1" s="5" t="inlineStr">
        <is>
          <t>AC ID</t>
        </is>
      </c>
      <c r="B1" s="5" t="inlineStr">
        <is>
          <t>Story ID</t>
        </is>
      </c>
      <c r="C1" s="5" t="inlineStr">
        <is>
          <t>Epic ID</t>
        </is>
      </c>
      <c r="D1" s="5" t="inlineStr">
        <is>
          <t>Acceptance Criterion</t>
        </is>
      </c>
      <c r="E1" s="5" t="inlineStr">
        <is>
          <t>Test Case ID</t>
        </is>
      </c>
      <c r="F1" s="5" t="inlineStr">
        <is>
          <t>Test Status</t>
        </is>
      </c>
      <c r="G1" s="5" t="inlineStr">
        <is>
          <t>Evidence / Link</t>
        </is>
      </c>
      <c r="H1" s="5" t="inlineStr">
        <is>
          <t>Defect ID</t>
        </is>
      </c>
      <c r="I1" s="5" t="inlineStr">
        <is>
          <t>Tester</t>
        </is>
      </c>
      <c r="J1" s="5" t="inlineStr">
        <is>
          <t>Test Cycle</t>
        </is>
      </c>
      <c r="K1" s="5" t="inlineStr">
        <is>
          <t>Comments</t>
        </is>
      </c>
    </row>
    <row r="2">
      <c r="A2" s="12" t="inlineStr">
        <is>
          <t>AC-001-001-01</t>
        </is>
      </c>
      <c r="B2" s="12" t="inlineStr">
        <is>
          <t>US-001-001</t>
        </is>
      </c>
      <c r="C2" s="12" t="inlineStr">
        <is>
          <t>EP-001</t>
        </is>
      </c>
      <c r="D2" s="12" t="inlineStr">
        <is>
          <t>Registration captures first name, surname, email, phone number and password.</t>
        </is>
      </c>
      <c r="E2" s="12" t="str"/>
      <c r="F2" s="12" t="inlineStr">
        <is>
          <t>Pass</t>
        </is>
      </c>
      <c r="G2" s="12" t="str"/>
      <c r="H2" s="12" t="str"/>
      <c r="I2" s="12" t="inlineStr">
        <is>
          <t>Claude (AI Engineer)</t>
        </is>
      </c>
      <c r="J2" s="12" t="inlineStr">
        <is>
          <t>SIT</t>
        </is>
      </c>
      <c r="K2" s="12" t="inlineStr">
        <is>
          <t>Live test 2026-09-08: registered with distinct field values, confirmed via admin GET /users?status=PENDING that firstName/surname/phoneNumber/email all persisted exactly as submitted (register response itself only returns id/email/status by design, so persistence was checked directly, not via the response echo).</t>
        </is>
      </c>
    </row>
    <row r="3">
      <c r="A3" s="12" t="inlineStr">
        <is>
          <t>AC-001-001-02</t>
        </is>
      </c>
      <c r="B3" s="12" t="inlineStr">
        <is>
          <t>US-001-001</t>
        </is>
      </c>
      <c r="C3" s="12" t="inlineStr">
        <is>
          <t>EP-001</t>
        </is>
      </c>
      <c r="D3" s="12" t="inlineStr">
        <is>
          <t>Email address must be unique and valid.</t>
        </is>
      </c>
      <c r="E3" s="12" t="str"/>
      <c r="F3" s="12" t="inlineStr">
        <is>
          <t>Pass</t>
        </is>
      </c>
      <c r="G3" s="12" t="str"/>
      <c r="H3" s="12" t="str"/>
      <c r="I3" s="12" t="inlineStr">
        <is>
          <t>Claude (AI Engineer)</t>
        </is>
      </c>
      <c r="J3" s="12" t="inlineStr">
        <is>
          <t>SIT</t>
        </is>
      </c>
      <c r="K3" s="12" t="inlineStr">
        <is>
          <t>Live test 2026-09-08: invalid email format (not-an-email) -&gt; 400 field error; duplicate email -&gt; 409 (existing e2e test).</t>
        </is>
      </c>
    </row>
    <row r="4">
      <c r="A4" s="12" t="inlineStr">
        <is>
          <t>AC-001-001-03</t>
        </is>
      </c>
      <c r="B4" s="12" t="inlineStr">
        <is>
          <t>US-001-001</t>
        </is>
      </c>
      <c r="C4" s="12" t="inlineStr">
        <is>
          <t>EP-001</t>
        </is>
      </c>
      <c r="D4" s="12" t="inlineStr">
        <is>
          <t>Password must meet configured password policy.</t>
        </is>
      </c>
      <c r="E4" s="12" t="str"/>
      <c r="F4" s="12" t="inlineStr">
        <is>
          <t>Pass</t>
        </is>
      </c>
      <c r="G4" s="12" t="str"/>
      <c r="H4" s="12" t="str"/>
      <c r="I4" s="12" t="inlineStr">
        <is>
          <t>Claude (AI Engineer)</t>
        </is>
      </c>
      <c r="J4" s="12" t="inlineStr">
        <is>
          <t>SIT</t>
        </is>
      </c>
      <c r="K4" s="12" t="inlineStr">
        <is>
          <t>Live test 2026-09-08: POST /auth/register with password "weak" -&gt; 400, field errors listing the unmet policy rules.</t>
        </is>
      </c>
    </row>
    <row r="5">
      <c r="A5" s="12" t="inlineStr">
        <is>
          <t>AC-001-001-04</t>
        </is>
      </c>
      <c r="B5" s="12" t="inlineStr">
        <is>
          <t>US-001-001</t>
        </is>
      </c>
      <c r="C5" s="12" t="inlineStr">
        <is>
          <t>EP-001</t>
        </is>
      </c>
      <c r="D5" s="12" t="inlineStr">
        <is>
          <t>Successful registration creates a user with the configured initial status (Pending or Active).</t>
        </is>
      </c>
      <c r="E5" s="12" t="str"/>
      <c r="F5" s="12" t="inlineStr">
        <is>
          <t>Pass</t>
        </is>
      </c>
      <c r="G5" s="12" t="str"/>
      <c r="H5" s="12" t="str"/>
      <c r="I5" s="12" t="inlineStr">
        <is>
          <t>Claude (AI Engineer)</t>
        </is>
      </c>
      <c r="J5" s="12" t="inlineStr">
        <is>
          <t>SIT</t>
        </is>
      </c>
      <c r="K5" s="12" t="inlineStr">
        <is>
          <t>Live test 2026-09-08: default register -&gt; PENDING. Code-confirmed (auth.service.ts): status = settings.requireRegistrationApproval ? PENDING : ACTIVE, so the ACTIVE branch is a real, reachable code path, not just PENDING.</t>
        </is>
      </c>
    </row>
    <row r="6">
      <c r="A6" s="12" t="inlineStr">
        <is>
          <t>AC-001-002-01</t>
        </is>
      </c>
      <c r="B6" s="12" t="inlineStr">
        <is>
          <t>US-001-002</t>
        </is>
      </c>
      <c r="C6" s="12" t="inlineStr">
        <is>
          <t>EP-001</t>
        </is>
      </c>
      <c r="D6" s="12" t="inlineStr">
        <is>
          <t>Pending users are visible in an administrator queue.</t>
        </is>
      </c>
      <c r="E6" s="12" t="str"/>
      <c r="F6" s="12" t="inlineStr">
        <is>
          <t>Pass</t>
        </is>
      </c>
      <c r="G6" s="12" t="str"/>
      <c r="H6" s="12" t="str"/>
      <c r="I6" s="12" t="inlineStr">
        <is>
          <t>Claude (AI Engineer)</t>
        </is>
      </c>
      <c r="J6" s="12" t="inlineStr">
        <is>
          <t>SIT</t>
        </is>
      </c>
      <c r="K6" s="12" t="inlineStr">
        <is>
          <t>Existing e2e test: GET /users?status=PENDING returns exactly the newly-registered pending user.</t>
        </is>
      </c>
    </row>
    <row r="7">
      <c r="A7" s="12" t="inlineStr">
        <is>
          <t>AC-001-002-02</t>
        </is>
      </c>
      <c r="B7" s="12" t="inlineStr">
        <is>
          <t>US-001-002</t>
        </is>
      </c>
      <c r="C7" s="12" t="inlineStr">
        <is>
          <t>EP-001</t>
        </is>
      </c>
      <c r="D7" s="12" t="inlineStr">
        <is>
          <t>Only authorised administrators can approve or reject.</t>
        </is>
      </c>
      <c r="E7" s="12" t="str"/>
      <c r="F7" s="12" t="inlineStr">
        <is>
          <t>Pass</t>
        </is>
      </c>
      <c r="G7" s="12" t="str"/>
      <c r="H7" s="12" t="str"/>
      <c r="I7" s="12" t="inlineStr">
        <is>
          <t>Claude (AI Engineer)</t>
        </is>
      </c>
      <c r="J7" s="12" t="inlineStr">
        <is>
          <t>SIT</t>
        </is>
      </c>
      <c r="K7" s="12" t="inlineStr">
        <is>
          <t>Live test 2026-09-08: unauthenticated attempt to POST /users/:id/approve -&gt; 401. Endpoint also carries @Roles(ADMINISTRATOR) guard, same mechanism directly proven by the existing RBAC e2e tests on other admin routes.</t>
        </is>
      </c>
    </row>
    <row r="8">
      <c r="A8" s="12" t="inlineStr">
        <is>
          <t>AC-001-002-03</t>
        </is>
      </c>
      <c r="B8" s="12" t="inlineStr">
        <is>
          <t>US-001-002</t>
        </is>
      </c>
      <c r="C8" s="12" t="inlineStr">
        <is>
          <t>EP-001</t>
        </is>
      </c>
      <c r="D8" s="12" t="inlineStr">
        <is>
          <t>Approval activates the user and records approver/date.</t>
        </is>
      </c>
      <c r="E8" s="12" t="str"/>
      <c r="F8" s="12" t="inlineStr">
        <is>
          <t>Pass</t>
        </is>
      </c>
      <c r="G8" s="12" t="str"/>
      <c r="H8" s="12" t="str"/>
      <c r="I8" s="12" t="inlineStr">
        <is>
          <t>Claude (AI Engineer)</t>
        </is>
      </c>
      <c r="J8" s="12" t="inlineStr">
        <is>
          <t>SIT</t>
        </is>
      </c>
      <c r="K8" s="12" t="inlineStr">
        <is>
          <t>Live test 2026-09-08: admin approve response includes status=ACTIVE, approvedById=&lt;admin user id&gt;, approvedAt=&lt;real timestamp&gt;.</t>
        </is>
      </c>
    </row>
    <row r="9">
      <c r="A9" s="12" t="inlineStr">
        <is>
          <t>AC-001-002-04</t>
        </is>
      </c>
      <c r="B9" s="12" t="inlineStr">
        <is>
          <t>US-001-002</t>
        </is>
      </c>
      <c r="C9" s="12" t="inlineStr">
        <is>
          <t>EP-001</t>
        </is>
      </c>
      <c r="D9" s="12" t="inlineStr">
        <is>
          <t>Rejected users cannot sign in unless later reactivated.</t>
        </is>
      </c>
      <c r="E9" s="12" t="str"/>
      <c r="F9" s="12" t="inlineStr">
        <is>
          <t>Pass</t>
        </is>
      </c>
      <c r="G9" s="12" t="str"/>
      <c r="H9" s="12" t="str"/>
      <c r="I9" s="12" t="inlineStr">
        <is>
          <t>Claude (AI Engineer)</t>
        </is>
      </c>
      <c r="J9" s="12" t="inlineStr">
        <is>
          <t>SIT</t>
        </is>
      </c>
      <c r="K9" s="12" t="inlineStr">
        <is>
          <t>Live test 2026-09-08: rejected user login -&gt; 401; after admin reactivation (status=ACTIVE) -&gt; 200.</t>
        </is>
      </c>
    </row>
    <row r="10">
      <c r="A10" s="12" t="inlineStr">
        <is>
          <t>AC-001-003-01</t>
        </is>
      </c>
      <c r="B10" s="12" t="inlineStr">
        <is>
          <t>US-001-003</t>
        </is>
      </c>
      <c r="C10" s="12" t="inlineStr">
        <is>
          <t>EP-001</t>
        </is>
      </c>
      <c r="D10" s="12" t="inlineStr">
        <is>
          <t>Login accepts email and password.</t>
        </is>
      </c>
      <c r="E10" s="12" t="str"/>
      <c r="F10" s="12" t="inlineStr">
        <is>
          <t>Pass</t>
        </is>
      </c>
      <c r="G10" s="12" t="str"/>
      <c r="H10" s="12" t="str"/>
      <c r="I10" s="12" t="inlineStr">
        <is>
          <t>Claude (AI Engineer)</t>
        </is>
      </c>
      <c r="J10" s="12" t="inlineStr">
        <is>
          <t>SIT</t>
        </is>
      </c>
      <c r="K10" s="12" t="inlineStr">
        <is>
          <t>Live test 2026-09-08: POST /auth/login with email+password -&gt; 200 (also existing e2e coverage).</t>
        </is>
      </c>
    </row>
    <row r="11">
      <c r="A11" s="12" t="inlineStr">
        <is>
          <t>AC-001-003-02</t>
        </is>
      </c>
      <c r="B11" s="12" t="inlineStr">
        <is>
          <t>US-001-003</t>
        </is>
      </c>
      <c r="C11" s="12" t="inlineStr">
        <is>
          <t>EP-001</t>
        </is>
      </c>
      <c r="D11" s="12" t="inlineStr">
        <is>
          <t>Invalid credentials return a generic error.</t>
        </is>
      </c>
      <c r="E11" s="12" t="str"/>
      <c r="F11" s="12" t="inlineStr">
        <is>
          <t>Pass</t>
        </is>
      </c>
      <c r="G11" s="12" t="str"/>
      <c r="H11" s="12" t="str"/>
      <c r="I11" s="12" t="inlineStr">
        <is>
          <t>Claude (AI Engineer)</t>
        </is>
      </c>
      <c r="J11" s="12" t="inlineStr">
        <is>
          <t>SIT</t>
        </is>
      </c>
      <c r="K11" s="12" t="inlineStr">
        <is>
          <t>Live test 2026-09-08: wrong-password and nonexistent-email logins return identical 401 "Invalid email or password" - no account-existence leak.</t>
        </is>
      </c>
    </row>
    <row r="12">
      <c r="A12" s="12" t="inlineStr">
        <is>
          <t>AC-001-003-03</t>
        </is>
      </c>
      <c r="B12" s="12" t="inlineStr">
        <is>
          <t>US-001-003</t>
        </is>
      </c>
      <c r="C12" s="12" t="inlineStr">
        <is>
          <t>EP-001</t>
        </is>
      </c>
      <c r="D12" s="12" t="inlineStr">
        <is>
          <t>Successful login creates an authenticated session using secure cookies/tokens.</t>
        </is>
      </c>
      <c r="E12" s="12" t="str"/>
      <c r="F12" s="12" t="inlineStr">
        <is>
          <t>Pass</t>
        </is>
      </c>
      <c r="G12" s="12" t="str"/>
      <c r="H12" s="12" t="str"/>
      <c r="I12" s="12" t="inlineStr">
        <is>
          <t>Claude (AI Engineer)</t>
        </is>
      </c>
      <c r="J12" s="12" t="inlineStr">
        <is>
          <t>SIT</t>
        </is>
      </c>
      <c r="K12" s="12" t="inlineStr">
        <is>
          <t>Live test 2026-09-08: login Set-Cookie headers confirmed atms_access and atms_refresh both HttpOnly; Secure; SameSite=None.</t>
        </is>
      </c>
    </row>
    <row r="13">
      <c r="A13" s="12" t="inlineStr">
        <is>
          <t>AC-001-003-04</t>
        </is>
      </c>
      <c r="B13" s="12" t="inlineStr">
        <is>
          <t>US-001-003</t>
        </is>
      </c>
      <c r="C13" s="12" t="inlineStr">
        <is>
          <t>EP-001</t>
        </is>
      </c>
      <c r="D13" s="12" t="inlineStr">
        <is>
          <t>Inactive, suspended or rejected accounts cannot access protected screens.</t>
        </is>
      </c>
      <c r="E13" s="12" t="str"/>
      <c r="F13" s="12" t="inlineStr">
        <is>
          <t>Pass</t>
        </is>
      </c>
      <c r="G13" s="12" t="str"/>
      <c r="H13" s="12" t="str"/>
      <c r="I13" s="12" t="inlineStr">
        <is>
          <t>Claude (AI Engineer)</t>
        </is>
      </c>
      <c r="J13" s="12" t="inlineStr">
        <is>
          <t>SIT</t>
        </is>
      </c>
      <c r="K13" s="12" t="inlineStr">
        <is>
          <t>Live test 2026-09-08: login attempt against a SUSPENDED account -&gt; 401 "Account is suspended" (existing e2e test covers PENDING specifically; this covers SUSPENDED).</t>
        </is>
      </c>
    </row>
    <row r="14">
      <c r="A14" s="12" t="inlineStr">
        <is>
          <t>AC-001-004-01</t>
        </is>
      </c>
      <c r="B14" s="12" t="inlineStr">
        <is>
          <t>US-001-004</t>
        </is>
      </c>
      <c r="C14" s="12" t="inlineStr">
        <is>
          <t>EP-001</t>
        </is>
      </c>
      <c r="D14" s="12" t="inlineStr">
        <is>
          <t>Logout invalidates the active application session.</t>
        </is>
      </c>
      <c r="E14" s="12" t="str"/>
      <c r="F14" s="12" t="inlineStr">
        <is>
          <t>Pass</t>
        </is>
      </c>
      <c r="G14" s="12" t="str"/>
      <c r="H14" s="12" t="str"/>
      <c r="I14" s="12" t="inlineStr">
        <is>
          <t>Claude (AI Engineer)</t>
        </is>
      </c>
      <c r="J14" s="12" t="inlineStr">
        <is>
          <t>SIT</t>
        </is>
      </c>
      <c r="K14" s="12" t="inlineStr">
        <is>
          <t>Live test 2026-09-08: GET /users/me succeeds (200) before logout; the exact same cookies replayed after logout -&gt; 401. Stronger than the existing e2e test, which only checked that /auth/refresh fails post-logout, not a protected GET with the still-held access token.</t>
        </is>
      </c>
    </row>
    <row r="15">
      <c r="A15" s="12" t="inlineStr">
        <is>
          <t>AC-001-004-02</t>
        </is>
      </c>
      <c r="B15" s="12" t="inlineStr">
        <is>
          <t>US-001-004</t>
        </is>
      </c>
      <c r="C15" s="12" t="inlineStr">
        <is>
          <t>EP-001</t>
        </is>
      </c>
      <c r="D15" s="12" t="inlineStr">
        <is>
          <t>Protected pages cannot be accessed after logout without re-authentication.</t>
        </is>
      </c>
      <c r="E15" s="12" t="str"/>
      <c r="F15" s="12" t="inlineStr">
        <is>
          <t>Pass</t>
        </is>
      </c>
      <c r="G15" s="12" t="str"/>
      <c r="H15" s="12" t="str"/>
      <c r="I15" s="12" t="inlineStr">
        <is>
          <t>Claude (AI Engineer)</t>
        </is>
      </c>
      <c r="J15" s="12" t="inlineStr">
        <is>
          <t>SIT</t>
        </is>
      </c>
      <c r="K15" s="12" t="inlineStr">
        <is>
          <t>Same evidence as AC-001-004-01 - a protected endpoint (GET /users/me) is unreachable immediately after logout, not just eventually once the access token naturally expires.</t>
        </is>
      </c>
    </row>
    <row r="16">
      <c r="A16" s="12" t="inlineStr">
        <is>
          <t>AC-001-004-03</t>
        </is>
      </c>
      <c r="B16" s="12" t="inlineStr">
        <is>
          <t>US-001-004</t>
        </is>
      </c>
      <c r="C16" s="12" t="inlineStr">
        <is>
          <t>EP-001</t>
        </is>
      </c>
      <c r="D16" s="12" t="inlineStr">
        <is>
          <t>Logout is available from the main navigation.</t>
        </is>
      </c>
      <c r="E16" s="12" t="str"/>
      <c r="F16" s="12" t="inlineStr">
        <is>
          <t>Pass</t>
        </is>
      </c>
      <c r="G16" s="12" t="str"/>
      <c r="H16" s="12" t="str"/>
      <c r="I16" s="12" t="inlineStr">
        <is>
          <t>Claude (AI Engineer)</t>
        </is>
      </c>
      <c r="J16" s="12" t="inlineStr">
        <is>
          <t>SIT</t>
        </is>
      </c>
      <c r="K16" s="12" t="inlineStr">
        <is>
          <t>Confirmed live: "Log out" button present in both desktop sidebar and mobile nav on every authenticated page.</t>
        </is>
      </c>
    </row>
    <row r="17">
      <c r="A17" s="12" t="inlineStr">
        <is>
          <t>AC-001-004-04</t>
        </is>
      </c>
      <c r="B17" s="12" t="inlineStr">
        <is>
          <t>US-001-004</t>
        </is>
      </c>
      <c r="C17" s="12" t="inlineStr">
        <is>
          <t>EP-001</t>
        </is>
      </c>
      <c r="D17" s="12" t="inlineStr">
        <is>
          <t>Logout does not alter attendance or task timer records.</t>
        </is>
      </c>
      <c r="E17" s="12" t="str"/>
      <c r="F17" s="12" t="inlineStr">
        <is>
          <t>Pass</t>
        </is>
      </c>
      <c r="G17" s="12" t="str"/>
      <c r="H17" s="12" t="str"/>
      <c r="I17" s="12" t="inlineStr">
        <is>
          <t>Claude (AI Engineer)</t>
        </is>
      </c>
      <c r="J17" s="12" t="inlineStr">
        <is>
          <t>SIT</t>
        </is>
      </c>
      <c r="K17" s="12" t="inlineStr">
        <is>
          <t>Live test 2026-09-08: attendance session id, active timer id, and state identical before logout and after re-login.</t>
        </is>
      </c>
    </row>
    <row r="18">
      <c r="A18" s="12" t="inlineStr">
        <is>
          <t>AC-001-005-01</t>
        </is>
      </c>
      <c r="B18" s="12" t="inlineStr">
        <is>
          <t>US-001-005</t>
        </is>
      </c>
      <c r="C18" s="12" t="inlineStr">
        <is>
          <t>EP-001</t>
        </is>
      </c>
      <c r="D18" s="12" t="inlineStr">
        <is>
          <t>User can submit an email address for reset.</t>
        </is>
      </c>
      <c r="E18" s="12" t="str"/>
      <c r="F18" s="12" t="inlineStr">
        <is>
          <t>Pass</t>
        </is>
      </c>
      <c r="G18" s="12" t="str"/>
      <c r="H18" s="12" t="str"/>
      <c r="I18" s="12" t="inlineStr">
        <is>
          <t>Claude (AI Engineer)</t>
        </is>
      </c>
      <c r="J18" s="12" t="inlineStr">
        <is>
          <t>SIT</t>
        </is>
      </c>
      <c r="K18" s="12" t="inlineStr">
        <is>
          <t>Live test 2026-09-08: POST /auth/forgot-password with a real registered email -&gt; 200.</t>
        </is>
      </c>
    </row>
    <row r="19">
      <c r="A19" s="12" t="inlineStr">
        <is>
          <t>AC-001-005-02</t>
        </is>
      </c>
      <c r="B19" s="12" t="inlineStr">
        <is>
          <t>US-001-005</t>
        </is>
      </c>
      <c r="C19" s="12" t="inlineStr">
        <is>
          <t>EP-001</t>
        </is>
      </c>
      <c r="D19" s="12" t="inlineStr">
        <is>
          <t>Response does not reveal whether an account exists.</t>
        </is>
      </c>
      <c r="E19" s="12" t="str"/>
      <c r="F19" s="12" t="inlineStr">
        <is>
          <t>Pass</t>
        </is>
      </c>
      <c r="G19" s="12" t="str"/>
      <c r="H19" s="12" t="str"/>
      <c r="I19" s="12" t="inlineStr">
        <is>
          <t>Claude (AI Engineer)</t>
        </is>
      </c>
      <c r="J19" s="12" t="inlineStr">
        <is>
          <t>SIT</t>
        </is>
      </c>
      <c r="K19" s="12" t="inlineStr">
        <is>
          <t>Live test 2026-09-08: response body identical (status + message) for a real vs a nonexistent email.</t>
        </is>
      </c>
    </row>
    <row r="20">
      <c r="A20" s="12" t="inlineStr">
        <is>
          <t>AC-001-005-03</t>
        </is>
      </c>
      <c r="B20" s="12" t="inlineStr">
        <is>
          <t>US-001-005</t>
        </is>
      </c>
      <c r="C20" s="12" t="inlineStr">
        <is>
          <t>EP-001</t>
        </is>
      </c>
      <c r="D20" s="12" t="inlineStr">
        <is>
          <t>Reset link/token expires after a configured period.</t>
        </is>
      </c>
      <c r="E20" s="12" t="str"/>
      <c r="F20" s="12" t="inlineStr">
        <is>
          <t>Pass</t>
        </is>
      </c>
      <c r="G20" s="12" t="str"/>
      <c r="H20" s="12" t="str"/>
      <c r="I20" s="12" t="inlineStr">
        <is>
          <t>Claude (AI Engineer)</t>
        </is>
      </c>
      <c r="J20" s="12" t="inlineStr">
        <is>
          <t>SIT</t>
        </is>
      </c>
      <c r="K20" s="12" t="inlineStr">
        <is>
          <t>Live test 2026-09-08: a token seeded with expiresAt in the past is rejected with "Reset link is invalid or has expired". TTL is 1 hour (RESET_TOKEN_TTL_MS, auth.service.ts).</t>
        </is>
      </c>
    </row>
    <row r="21">
      <c r="A21" s="12" t="inlineStr">
        <is>
          <t>AC-001-005-04</t>
        </is>
      </c>
      <c r="B21" s="12" t="inlineStr">
        <is>
          <t>US-001-005</t>
        </is>
      </c>
      <c r="C21" s="12" t="inlineStr">
        <is>
          <t>EP-001</t>
        </is>
      </c>
      <c r="D21" s="12" t="inlineStr">
        <is>
          <t>A used or expired reset token cannot be reused.</t>
        </is>
      </c>
      <c r="E21" s="12" t="str"/>
      <c r="F21" s="12" t="inlineStr">
        <is>
          <t>Pass</t>
        </is>
      </c>
      <c r="G21" s="12" t="str"/>
      <c r="H21" s="12" t="str"/>
      <c r="I21" s="12" t="inlineStr">
        <is>
          <t>Claude (AI Engineer)</t>
        </is>
      </c>
      <c r="J21" s="12" t="inlineStr">
        <is>
          <t>SIT</t>
        </is>
      </c>
      <c r="K21" s="12" t="inlineStr">
        <is>
          <t>Live test 2026-09-08: same token used successfully once (200), reused immediately after -&gt; 400 invalid/expired.</t>
        </is>
      </c>
    </row>
    <row r="22">
      <c r="A22" s="12" t="inlineStr">
        <is>
          <t>AC-001-006-01</t>
        </is>
      </c>
      <c r="B22" s="12" t="inlineStr">
        <is>
          <t>US-001-006</t>
        </is>
      </c>
      <c r="C22" s="12" t="inlineStr">
        <is>
          <t>EP-001</t>
        </is>
      </c>
      <c r="D22" s="12" t="inlineStr">
        <is>
          <t>New password must satisfy password policy.</t>
        </is>
      </c>
      <c r="E22" s="12" t="str"/>
      <c r="F22" s="12" t="inlineStr">
        <is>
          <t>Pass</t>
        </is>
      </c>
      <c r="G22" s="12" t="str"/>
      <c r="H22" s="12" t="str"/>
      <c r="I22" s="12" t="inlineStr">
        <is>
          <t>Claude (AI Engineer)</t>
        </is>
      </c>
      <c r="J22" s="12" t="inlineStr">
        <is>
          <t>SIT</t>
        </is>
      </c>
      <c r="K22" s="12" t="inlineStr">
        <is>
          <t>Live test 2026-09-08: reset with a weak new password -&gt; 400 with the specific unmet policy rules.</t>
        </is>
      </c>
    </row>
    <row r="23">
      <c r="A23" s="12" t="inlineStr">
        <is>
          <t>AC-001-006-02</t>
        </is>
      </c>
      <c r="B23" s="12" t="inlineStr">
        <is>
          <t>US-001-006</t>
        </is>
      </c>
      <c r="C23" s="12" t="inlineStr">
        <is>
          <t>EP-001</t>
        </is>
      </c>
      <c r="D23" s="12" t="inlineStr">
        <is>
          <t>New and confirmation passwords must match.</t>
        </is>
      </c>
      <c r="E23" s="12" t="str"/>
      <c r="F23" s="12" t="inlineStr">
        <is>
          <t>Pass</t>
        </is>
      </c>
      <c r="G23" s="12" t="str"/>
      <c r="H23" s="12" t="str"/>
      <c r="I23" s="12" t="inlineStr">
        <is>
          <t>Claude (AI Engineer)</t>
        </is>
      </c>
      <c r="J23" s="12" t="inlineStr">
        <is>
          <t>SIT</t>
        </is>
      </c>
      <c r="K23" s="12" t="inlineStr">
        <is>
          <t>Live test 2026-09-08: reset with mismatched confirmPassword -&gt; 400 "Passwords do not match".</t>
        </is>
      </c>
    </row>
    <row r="24">
      <c r="A24" s="12" t="inlineStr">
        <is>
          <t>AC-001-006-03</t>
        </is>
      </c>
      <c r="B24" s="12" t="inlineStr">
        <is>
          <t>US-001-006</t>
        </is>
      </c>
      <c r="C24" s="12" t="inlineStr">
        <is>
          <t>EP-001</t>
        </is>
      </c>
      <c r="D24" s="12" t="inlineStr">
        <is>
          <t>Successful reset invalidates the reset token.</t>
        </is>
      </c>
      <c r="E24" s="12" t="str"/>
      <c r="F24" s="12" t="inlineStr">
        <is>
          <t>Pass</t>
        </is>
      </c>
      <c r="G24" s="12" t="str"/>
      <c r="H24" s="12" t="str"/>
      <c r="I24" s="12" t="inlineStr">
        <is>
          <t>Claude (AI Engineer)</t>
        </is>
      </c>
      <c r="J24" s="12" t="inlineStr">
        <is>
          <t>SIT</t>
        </is>
      </c>
      <c r="K24" s="12" t="inlineStr">
        <is>
          <t>Live test 2026-09-08: same evidence as AC-001-005-04 - a successful reset immediately invalidates its own token.</t>
        </is>
      </c>
    </row>
    <row r="25">
      <c r="A25" s="12" t="inlineStr">
        <is>
          <t>AC-001-006-04</t>
        </is>
      </c>
      <c r="B25" s="12" t="inlineStr">
        <is>
          <t>US-001-006</t>
        </is>
      </c>
      <c r="C25" s="12" t="inlineStr">
        <is>
          <t>EP-001</t>
        </is>
      </c>
      <c r="D25" s="12" t="inlineStr">
        <is>
          <t>Existing sessions may be revoked according to security policy.</t>
        </is>
      </c>
      <c r="E25" s="12" t="str"/>
      <c r="F25" s="12" t="inlineStr">
        <is>
          <t>Pass</t>
        </is>
      </c>
      <c r="G25" s="12" t="str"/>
      <c r="H25" s="12" t="str"/>
      <c r="I25" s="12" t="inlineStr">
        <is>
          <t>Claude (AI Engineer)</t>
        </is>
      </c>
      <c r="J25" s="12" t="inlineStr">
        <is>
          <t>SIT</t>
        </is>
      </c>
      <c r="K25" s="12" t="inlineStr">
        <is>
          <t>Live test 2026-09-08: a refresh token captured before a password reset is rejected (401 "Session expired") when used after the reset.</t>
        </is>
      </c>
    </row>
    <row r="26">
      <c r="A26" s="12" t="inlineStr">
        <is>
          <t>AC-001-007-01</t>
        </is>
      </c>
      <c r="B26" s="12" t="inlineStr">
        <is>
          <t>US-001-007</t>
        </is>
      </c>
      <c r="C26" s="12" t="inlineStr">
        <is>
          <t>EP-001</t>
        </is>
      </c>
      <c r="D26" s="12" t="inlineStr">
        <is>
          <t>Inactivity timeout is configurable.</t>
        </is>
      </c>
      <c r="E26" s="12" t="str"/>
      <c r="F26" s="12" t="inlineStr">
        <is>
          <t>Pass</t>
        </is>
      </c>
      <c r="G26" s="12" t="str"/>
      <c r="H26" s="12" t="str"/>
      <c r="I26" s="12" t="inlineStr">
        <is>
          <t>Claude (AI Engineer)</t>
        </is>
      </c>
      <c r="J26" s="12" t="inlineStr">
        <is>
          <t>SIT</t>
        </is>
      </c>
      <c r="K26" s="12" t="inlineStr">
        <is>
          <t>Verified by e2e test: threshold is read from AppSettings.sessionInactivityTimeoutMinutes, confirmed configurable.</t>
        </is>
      </c>
    </row>
    <row r="27">
      <c r="A27" s="12" t="inlineStr">
        <is>
          <t>AC-001-007-02</t>
        </is>
      </c>
      <c r="B27" s="12" t="inlineStr">
        <is>
          <t>US-001-007</t>
        </is>
      </c>
      <c r="C27" s="12" t="inlineStr">
        <is>
          <t>EP-001</t>
        </is>
      </c>
      <c r="D27" s="12" t="inlineStr">
        <is>
          <t>Expired sessions require login again.</t>
        </is>
      </c>
      <c r="E27" s="12" t="str"/>
      <c r="F27" s="12" t="inlineStr">
        <is>
          <t>Pass</t>
        </is>
      </c>
      <c r="G27" s="12" t="str"/>
      <c r="H27" s="12" t="str"/>
      <c r="I27" s="12" t="inlineStr">
        <is>
          <t>Claude (AI Engineer)</t>
        </is>
      </c>
      <c r="J27" s="12" t="inlineStr">
        <is>
          <t>SIT</t>
        </is>
      </c>
      <c r="K27" s="12" t="inlineStr">
        <is>
          <t>Verified by e2e test: expired-by-inactivity refresh token is rejected with 401.</t>
        </is>
      </c>
    </row>
    <row r="28">
      <c r="A28" s="12" t="inlineStr">
        <is>
          <t>AC-001-007-03</t>
        </is>
      </c>
      <c r="B28" s="12" t="inlineStr">
        <is>
          <t>US-001-007</t>
        </is>
      </c>
      <c r="C28" s="12" t="inlineStr">
        <is>
          <t>EP-001</t>
        </is>
      </c>
      <c r="D28" s="12" t="inlineStr">
        <is>
          <t>Session expiry does not stop or modify authoritative attendance/task records.</t>
        </is>
      </c>
      <c r="E28" s="12" t="str"/>
      <c r="F28" s="12" t="inlineStr">
        <is>
          <t>Pass</t>
        </is>
      </c>
      <c r="G28" s="12" t="str"/>
      <c r="H28" s="12" t="str"/>
      <c r="I28" s="12" t="inlineStr">
        <is>
          <t>Claude (AI Engineer)</t>
        </is>
      </c>
      <c r="J28" s="12" t="inlineStr">
        <is>
          <t>SIT</t>
        </is>
      </c>
      <c r="K28" s="12" t="inlineStr">
        <is>
          <t>Live test 2026-09-08: refresh token backdated 31 minutes past the 30-minute inactivity window is rejected, and the underlying attendance record is unchanged (checked via admin, a separate unaffected session).</t>
        </is>
      </c>
    </row>
    <row r="29">
      <c r="A29" s="12" t="inlineStr">
        <is>
          <t>AC-001-007-04</t>
        </is>
      </c>
      <c r="B29" s="12" t="inlineStr">
        <is>
          <t>US-001-007</t>
        </is>
      </c>
      <c r="C29" s="12" t="inlineStr">
        <is>
          <t>EP-001</t>
        </is>
      </c>
      <c r="D29" s="12" t="inlineStr">
        <is>
          <t>User receives a clear expired-session message.</t>
        </is>
      </c>
      <c r="E29" s="12" t="str"/>
      <c r="F29" s="12" t="inlineStr">
        <is>
          <t>Pass</t>
        </is>
      </c>
      <c r="G29" s="12" t="str"/>
      <c r="H29" s="12" t="str"/>
      <c r="I29" s="12" t="inlineStr">
        <is>
          <t>Claude (AI Engineer)</t>
        </is>
      </c>
      <c r="J29" s="12" t="inlineStr">
        <is>
          <t>SIT</t>
        </is>
      </c>
      <c r="K29" s="12" t="inlineStr">
        <is>
          <t>Fixed and verified live, 2026-09-08. First fix attempt (dc11743, in-memory ref) failed live verification: a fresh full-page navigation after simulated expiry showed no message - the ref is empty on first render after a reload, which is the realistic case (reopening the tab), not just an edge case. Corrected to sessionStorage (31d9d1e), which survives a full reload within the same tab. Re-verified by temporarily setting JWT_ACCESS_TTL=8s on the live API, confirming the real banner ("Your session has expired. Please log in again.") appears on a genuine fresh navigation after expiry, AND that a normal deliberate logout still shows the plain login page (no false positive). TTL reverted immediately after.</t>
        </is>
      </c>
    </row>
    <row r="30">
      <c r="A30" s="12" t="inlineStr">
        <is>
          <t>AC-002-001-01</t>
        </is>
      </c>
      <c r="B30" s="12" t="inlineStr">
        <is>
          <t>US-002-001</t>
        </is>
      </c>
      <c r="C30" s="12" t="inlineStr">
        <is>
          <t>EP-002</t>
        </is>
      </c>
      <c r="D30" s="12" t="inlineStr">
        <is>
          <t>Administrator can enter required identity/contact fields.</t>
        </is>
      </c>
      <c r="E30" s="12" t="str"/>
      <c r="F30" s="12" t="inlineStr">
        <is>
          <t>Pass</t>
        </is>
      </c>
      <c r="G30" s="12" t="str"/>
      <c r="H30" s="12" t="str"/>
      <c r="I30" s="12" t="inlineStr">
        <is>
          <t>Claude (AI Engineer)</t>
        </is>
      </c>
      <c r="J30" s="12" t="inlineStr">
        <is>
          <t>SIT</t>
        </is>
      </c>
      <c r="K30" s="12" t="inlineStr">
        <is>
          <t>Live test 2026-09-08: admin POST /users with full identity/contact fields -&gt; 201, all fields persisted exactly as submitted.</t>
        </is>
      </c>
    </row>
    <row r="31">
      <c r="A31" s="12" t="inlineStr">
        <is>
          <t>AC-002-001-02</t>
        </is>
      </c>
      <c r="B31" s="12" t="inlineStr">
        <is>
          <t>US-002-001</t>
        </is>
      </c>
      <c r="C31" s="12" t="inlineStr">
        <is>
          <t>EP-002</t>
        </is>
      </c>
      <c r="D31" s="12" t="inlineStr">
        <is>
          <t>Email uniqueness is enforced.</t>
        </is>
      </c>
      <c r="E31" s="12" t="str"/>
      <c r="F31" s="12" t="inlineStr">
        <is>
          <t>Pass</t>
        </is>
      </c>
      <c r="G31" s="12" t="str"/>
      <c r="H31" s="12" t="str"/>
      <c r="I31" s="12" t="inlineStr">
        <is>
          <t>Claude (AI Engineer)</t>
        </is>
      </c>
      <c r="J31" s="12" t="inlineStr">
        <is>
          <t>SIT</t>
        </is>
      </c>
      <c r="K31" s="12" t="inlineStr">
        <is>
          <t>Live test 2026-09-08: POST /users with a duplicate email -&gt; 409.</t>
        </is>
      </c>
    </row>
    <row r="32">
      <c r="A32" s="12" t="inlineStr">
        <is>
          <t>AC-002-001-03</t>
        </is>
      </c>
      <c r="B32" s="12" t="inlineStr">
        <is>
          <t>US-002-001</t>
        </is>
      </c>
      <c r="C32" s="12" t="inlineStr">
        <is>
          <t>EP-002</t>
        </is>
      </c>
      <c r="D32" s="12" t="inlineStr">
        <is>
          <t>Role and department can be assigned.</t>
        </is>
      </c>
      <c r="E32" s="12" t="str"/>
      <c r="F32" s="12" t="inlineStr">
        <is>
          <t>Pass</t>
        </is>
      </c>
      <c r="G32" s="12" t="str"/>
      <c r="H32" s="12" t="str"/>
      <c r="I32" s="12" t="inlineStr">
        <is>
          <t>Claude (AI Engineer)</t>
        </is>
      </c>
      <c r="J32" s="12" t="inlineStr">
        <is>
          <t>SIT</t>
        </is>
      </c>
      <c r="K32" s="12" t="inlineStr">
        <is>
          <t>Live test 2026-09-08: created user has role=ADMINISTRATOR and departmentId matching what was submitted.</t>
        </is>
      </c>
    </row>
    <row r="33">
      <c r="A33" s="12" t="inlineStr">
        <is>
          <t>AC-002-001-04</t>
        </is>
      </c>
      <c r="B33" s="12" t="inlineStr">
        <is>
          <t>US-002-001</t>
        </is>
      </c>
      <c r="C33" s="12" t="inlineStr">
        <is>
          <t>EP-002</t>
        </is>
      </c>
      <c r="D33" s="12" t="inlineStr">
        <is>
          <t>Creation is audited.</t>
        </is>
      </c>
      <c r="E33" s="12" t="str"/>
      <c r="F33" s="12" t="inlineStr">
        <is>
          <t>Pass</t>
        </is>
      </c>
      <c r="G33" s="12" t="str"/>
      <c r="H33" s="12" t="str"/>
      <c r="I33" s="12" t="inlineStr">
        <is>
          <t>Claude (AI Engineer)</t>
        </is>
      </c>
      <c r="J33" s="12" t="inlineStr">
        <is>
          <t>SIT</t>
        </is>
      </c>
      <c r="K33" s="12" t="inlineStr">
        <is>
          <t>Live test 2026-09-08: GET /audit contains a USER_CREATED entry with the new user's id as targetId.</t>
        </is>
      </c>
    </row>
    <row r="34">
      <c r="A34" s="12" t="inlineStr">
        <is>
          <t>AC-002-002-01</t>
        </is>
      </c>
      <c r="B34" s="12" t="inlineStr">
        <is>
          <t>US-002-002</t>
        </is>
      </c>
      <c r="C34" s="12" t="inlineStr">
        <is>
          <t>EP-002</t>
        </is>
      </c>
      <c r="D34" s="12" t="inlineStr">
        <is>
          <t>Administrator can edit permitted profile fields.</t>
        </is>
      </c>
      <c r="E34" s="12" t="str"/>
      <c r="F34" s="12" t="inlineStr">
        <is>
          <t>Pass</t>
        </is>
      </c>
      <c r="G34" s="12" t="str"/>
      <c r="H34" s="12" t="str"/>
      <c r="I34" s="12" t="inlineStr">
        <is>
          <t>Claude (AI Engineer)</t>
        </is>
      </c>
      <c r="J34" s="12" t="inlineStr">
        <is>
          <t>SIT</t>
        </is>
      </c>
      <c r="K34" s="12" t="inlineStr">
        <is>
          <t>Live test 2026-09-08: admin PATCH /users/:id {firstName, phoneNumber} -&gt; 200, both fields updated.</t>
        </is>
      </c>
    </row>
    <row r="35">
      <c r="A35" s="12" t="inlineStr">
        <is>
          <t>AC-002-002-02</t>
        </is>
      </c>
      <c r="B35" s="12" t="inlineStr">
        <is>
          <t>US-002-002</t>
        </is>
      </c>
      <c r="C35" s="12" t="inlineStr">
        <is>
          <t>EP-002</t>
        </is>
      </c>
      <c r="D35" s="12" t="inlineStr">
        <is>
          <t>Email change is validated for uniqueness.</t>
        </is>
      </c>
      <c r="E35" s="12" t="str"/>
      <c r="F35" s="12" t="inlineStr">
        <is>
          <t>Pass</t>
        </is>
      </c>
      <c r="G35" s="12" t="str"/>
      <c r="H35" s="12" t="str"/>
      <c r="I35" s="12" t="inlineStr">
        <is>
          <t>Claude (AI Engineer)</t>
        </is>
      </c>
      <c r="J35" s="12" t="inlineStr">
        <is>
          <t>SIT</t>
        </is>
      </c>
      <c r="K35" s="12" t="inlineStr">
        <is>
          <t>Live test 2026-09-08: PATCH email to one already in use by another user -&gt; 409.</t>
        </is>
      </c>
    </row>
    <row r="36">
      <c r="A36" s="12" t="inlineStr">
        <is>
          <t>AC-002-002-03</t>
        </is>
      </c>
      <c r="B36" s="12" t="inlineStr">
        <is>
          <t>US-002-002</t>
        </is>
      </c>
      <c r="C36" s="12" t="inlineStr">
        <is>
          <t>EP-002</t>
        </is>
      </c>
      <c r="D36" s="12" t="inlineStr">
        <is>
          <t>Changes do not rewrite historical attendance ownership.</t>
        </is>
      </c>
      <c r="E36" s="12" t="str"/>
      <c r="F36" s="12" t="inlineStr">
        <is>
          <t>Pass</t>
        </is>
      </c>
      <c r="G36" s="12" t="str"/>
      <c r="H36" s="12" t="str"/>
      <c r="I36" s="12" t="inlineStr">
        <is>
          <t>Claude (AI Engineer)</t>
        </is>
      </c>
      <c r="J36" s="12" t="inlineStr">
        <is>
          <t>SIT</t>
        </is>
      </c>
      <c r="K36" s="12" t="inlineStr">
        <is>
          <t>Code-verified: adminUpdate() (users.service.ts) only ever writes to the users table; attendance_sessions.userId is a stable FK never touched by a profile edit.</t>
        </is>
      </c>
    </row>
    <row r="37">
      <c r="A37" s="12" t="inlineStr">
        <is>
          <t>AC-002-002-04</t>
        </is>
      </c>
      <c r="B37" s="12" t="inlineStr">
        <is>
          <t>US-002-002</t>
        </is>
      </c>
      <c r="C37" s="12" t="inlineStr">
        <is>
          <t>EP-002</t>
        </is>
      </c>
      <c r="D37" s="12" t="inlineStr">
        <is>
          <t>Material changes are audited.</t>
        </is>
      </c>
      <c r="E37" s="12" t="str"/>
      <c r="F37" s="12" t="inlineStr">
        <is>
          <t>Pass</t>
        </is>
      </c>
      <c r="G37" s="12" t="str"/>
      <c r="H37" s="12" t="str"/>
      <c r="I37" s="12" t="inlineStr">
        <is>
          <t>Claude (AI Engineer)</t>
        </is>
      </c>
      <c r="J37" s="12" t="inlineStr">
        <is>
          <t>SIT</t>
        </is>
      </c>
      <c r="K37" s="12" t="inlineStr">
        <is>
          <t>Live test 2026-09-08: GET /audit contains a USER_UPDATED entry for the edited user.</t>
        </is>
      </c>
    </row>
    <row r="38">
      <c r="A38" s="12" t="inlineStr">
        <is>
          <t>AC-002-003-01</t>
        </is>
      </c>
      <c r="B38" s="12" t="inlineStr">
        <is>
          <t>US-002-003</t>
        </is>
      </c>
      <c r="C38" s="12" t="inlineStr">
        <is>
          <t>EP-002</t>
        </is>
      </c>
      <c r="D38" s="12" t="inlineStr">
        <is>
          <t>User can edit permitted fields such as phone number.</t>
        </is>
      </c>
      <c r="E38" s="12" t="str"/>
      <c r="F38" s="12" t="inlineStr">
        <is>
          <t>Pass</t>
        </is>
      </c>
      <c r="G38" s="12" t="str"/>
      <c r="H38" s="12" t="str"/>
      <c r="I38" s="12" t="inlineStr">
        <is>
          <t>Claude (AI Engineer)</t>
        </is>
      </c>
      <c r="J38" s="12" t="inlineStr">
        <is>
          <t>SIT</t>
        </is>
      </c>
      <c r="K38" s="12" t="inlineStr">
        <is>
          <t>Live test 2026-09-08: self PATCH /users/me {phoneNumber} -&gt; 200, updated.</t>
        </is>
      </c>
    </row>
    <row r="39">
      <c r="A39" s="12" t="inlineStr">
        <is>
          <t>AC-002-003-02</t>
        </is>
      </c>
      <c r="B39" s="12" t="inlineStr">
        <is>
          <t>US-002-003</t>
        </is>
      </c>
      <c r="C39" s="12" t="inlineStr">
        <is>
          <t>EP-002</t>
        </is>
      </c>
      <c r="D39" s="12" t="inlineStr">
        <is>
          <t>Restricted fields such as role cannot be self-edited.</t>
        </is>
      </c>
      <c r="E39" s="12" t="str"/>
      <c r="F39" s="12" t="inlineStr">
        <is>
          <t>Pass</t>
        </is>
      </c>
      <c r="G39" s="12" t="str"/>
      <c r="H39" s="12" t="str"/>
      <c r="I39" s="12" t="inlineStr">
        <is>
          <t>Claude (AI Engineer)</t>
        </is>
      </c>
      <c r="J39" s="12" t="inlineStr">
        <is>
          <t>SIT</t>
        </is>
      </c>
      <c r="K39" s="12" t="inlineStr">
        <is>
          <t>Live test 2026-09-08: self PATCH /users/me including role=ADMINISTRATOR -&gt; role remains EMPLOYEE afterward (updateOwnProfileSchema structurally has no role field, so it is silently stripped, never reaching the service).</t>
        </is>
      </c>
    </row>
    <row r="40">
      <c r="A40" s="12" t="inlineStr">
        <is>
          <t>AC-002-003-03</t>
        </is>
      </c>
      <c r="B40" s="12" t="inlineStr">
        <is>
          <t>US-002-003</t>
        </is>
      </c>
      <c r="C40" s="12" t="inlineStr">
        <is>
          <t>EP-002</t>
        </is>
      </c>
      <c r="D40" s="12" t="inlineStr">
        <is>
          <t>Validation is applied before save.</t>
        </is>
      </c>
      <c r="E40" s="12" t="str"/>
      <c r="F40" s="12" t="inlineStr">
        <is>
          <t>Pass</t>
        </is>
      </c>
      <c r="G40" s="12" t="str"/>
      <c r="H40" s="12" t="str"/>
      <c r="I40" s="12" t="inlineStr">
        <is>
          <t>Claude (AI Engineer)</t>
        </is>
      </c>
      <c r="J40" s="12" t="inlineStr">
        <is>
          <t>SIT</t>
        </is>
      </c>
      <c r="K40" s="12" t="inlineStr">
        <is>
          <t>Live test 2026-09-08: self PATCH /users/me with firstName= -&gt; 400 validation error.</t>
        </is>
      </c>
    </row>
    <row r="41">
      <c r="A41" s="12" t="inlineStr">
        <is>
          <t>AC-002-003-04</t>
        </is>
      </c>
      <c r="B41" s="12" t="inlineStr">
        <is>
          <t>US-002-003</t>
        </is>
      </c>
      <c r="C41" s="12" t="inlineStr">
        <is>
          <t>EP-002</t>
        </is>
      </c>
      <c r="D41" s="12" t="inlineStr">
        <is>
          <t>Successful update is immediately visible.</t>
        </is>
      </c>
      <c r="E41" s="12" t="str"/>
      <c r="F41" s="12" t="inlineStr">
        <is>
          <t>Pass</t>
        </is>
      </c>
      <c r="G41" s="12" t="str"/>
      <c r="H41" s="12" t="str"/>
      <c r="I41" s="12" t="inlineStr">
        <is>
          <t>Claude (AI Engineer)</t>
        </is>
      </c>
      <c r="J41" s="12" t="inlineStr">
        <is>
          <t>SIT</t>
        </is>
      </c>
      <c r="K41" s="12" t="inlineStr">
        <is>
          <t>Live test 2026-09-08: GET /users/me immediately after a successful self-edit reflects the new value, no caching lag.</t>
        </is>
      </c>
    </row>
    <row r="42">
      <c r="A42" s="12" t="inlineStr">
        <is>
          <t>AC-002-004-01</t>
        </is>
      </c>
      <c r="B42" s="12" t="inlineStr">
        <is>
          <t>US-002-004</t>
        </is>
      </c>
      <c r="C42" s="12" t="inlineStr">
        <is>
          <t>EP-002</t>
        </is>
      </c>
      <c r="D42" s="12" t="inlineStr">
        <is>
          <t>At minimum Employee and Administrator roles exist.</t>
        </is>
      </c>
      <c r="E42" s="12" t="str"/>
      <c r="F42" s="12" t="inlineStr">
        <is>
          <t>Pass</t>
        </is>
      </c>
      <c r="G42" s="12" t="str"/>
      <c r="H42" s="12" t="str"/>
      <c r="I42" s="12" t="inlineStr">
        <is>
          <t>Claude (AI Engineer)</t>
        </is>
      </c>
      <c r="J42" s="12" t="inlineStr">
        <is>
          <t>SIT</t>
        </is>
      </c>
      <c r="K42" s="12" t="inlineStr">
        <is>
          <t>Structural: UserRole enum defines EMPLOYEE and ADMINISTRATOR; both used and exercised extensively throughout this session.</t>
        </is>
      </c>
    </row>
    <row r="43">
      <c r="A43" s="12" t="inlineStr">
        <is>
          <t>AC-002-004-02</t>
        </is>
      </c>
      <c r="B43" s="12" t="inlineStr">
        <is>
          <t>US-002-004</t>
        </is>
      </c>
      <c r="C43" s="12" t="inlineStr">
        <is>
          <t>EP-002</t>
        </is>
      </c>
      <c r="D43" s="12" t="inlineStr">
        <is>
          <t>Role changes require administrator permission.</t>
        </is>
      </c>
      <c r="E43" s="12" t="str"/>
      <c r="F43" s="12" t="inlineStr">
        <is>
          <t>Pass</t>
        </is>
      </c>
      <c r="G43" s="12" t="str"/>
      <c r="H43" s="12" t="str"/>
      <c r="I43" s="12" t="inlineStr">
        <is>
          <t>Claude (AI Engineer)</t>
        </is>
      </c>
      <c r="J43" s="12" t="inlineStr">
        <is>
          <t>SIT</t>
        </is>
      </c>
      <c r="K43" s="12" t="inlineStr">
        <is>
          <t>Live test 2026-09-08: an employee attempting PATCH /users/:id (the only role-change route) -&gt; 403, blocked entirely by the route's admin-only guard.</t>
        </is>
      </c>
    </row>
    <row r="44">
      <c r="A44" s="12" t="inlineStr">
        <is>
          <t>AC-002-004-03</t>
        </is>
      </c>
      <c r="B44" s="12" t="inlineStr">
        <is>
          <t>US-002-004</t>
        </is>
      </c>
      <c r="C44" s="12" t="inlineStr">
        <is>
          <t>EP-002</t>
        </is>
      </c>
      <c r="D44" s="12" t="inlineStr">
        <is>
          <t>New permissions apply to subsequent requests.</t>
        </is>
      </c>
      <c r="E44" s="12" t="str"/>
      <c r="F44" s="12" t="inlineStr">
        <is>
          <t>Pass</t>
        </is>
      </c>
      <c r="G44" s="12" t="str"/>
      <c r="H44" s="12" t="str"/>
      <c r="I44" s="12" t="inlineStr">
        <is>
          <t>Claude (AI Engineer)</t>
        </is>
      </c>
      <c r="J44" s="12" t="inlineStr">
        <is>
          <t>SIT</t>
        </is>
      </c>
      <c r="K44" s="12" t="inlineStr">
        <is>
          <t>Live test 2026-09-08: same still-logged-in session hits an admin-only endpoint -&gt; 403 before promotion; immediately after an admin promotes them to ADMINISTRATOR (no re-login) the same session is no longer blocked by role (JwtStrategy re-checks role fresh from DB on every request, confirmed by code read).</t>
        </is>
      </c>
    </row>
    <row r="45">
      <c r="A45" s="12" t="inlineStr">
        <is>
          <t>AC-002-004-04</t>
        </is>
      </c>
      <c r="B45" s="12" t="inlineStr">
        <is>
          <t>US-002-004</t>
        </is>
      </c>
      <c r="C45" s="12" t="inlineStr">
        <is>
          <t>EP-002</t>
        </is>
      </c>
      <c r="D45" s="12" t="inlineStr">
        <is>
          <t>Role changes are audited.</t>
        </is>
      </c>
      <c r="E45" s="12" t="str"/>
      <c r="F45" s="12" t="inlineStr">
        <is>
          <t>Pass</t>
        </is>
      </c>
      <c r="G45" s="12" t="str"/>
      <c r="H45" s="12" t="str"/>
      <c r="I45" s="12" t="inlineStr">
        <is>
          <t>Claude (AI Engineer)</t>
        </is>
      </c>
      <c r="J45" s="12" t="inlineStr">
        <is>
          <t>SIT</t>
        </is>
      </c>
      <c r="K45" s="12" t="inlineStr">
        <is>
          <t>Live test 2026-09-08: GET /audit contains a USER_ROLE_CHANGED entry for the promoted user.</t>
        </is>
      </c>
    </row>
    <row r="46">
      <c r="A46" s="12" t="inlineStr">
        <is>
          <t>AC-002-005-01</t>
        </is>
      </c>
      <c r="B46" s="12" t="inlineStr">
        <is>
          <t>US-002-005</t>
        </is>
      </c>
      <c r="C46" s="12" t="inlineStr">
        <is>
          <t>EP-002</t>
        </is>
      </c>
      <c r="D46" s="12" t="inlineStr">
        <is>
          <t>Administrator can set Active, Suspended or Inactive.</t>
        </is>
      </c>
      <c r="E46" s="12" t="str"/>
      <c r="F46" s="12" t="inlineStr">
        <is>
          <t>Pass</t>
        </is>
      </c>
      <c r="G46" s="12" t="str"/>
      <c r="H46" s="12" t="str"/>
      <c r="I46" s="12" t="inlineStr">
        <is>
          <t>Claude (AI Engineer)</t>
        </is>
      </c>
      <c r="J46" s="12" t="inlineStr">
        <is>
          <t>SIT</t>
        </is>
      </c>
      <c r="K46" s="12" t="inlineStr">
        <is>
          <t>Live test 2026-09-08: admin PATCH status=SUSPENDED -&gt; 200, status updated.</t>
        </is>
      </c>
    </row>
    <row r="47">
      <c r="A47" s="12" t="inlineStr">
        <is>
          <t>AC-002-005-02</t>
        </is>
      </c>
      <c r="B47" s="12" t="inlineStr">
        <is>
          <t>US-002-005</t>
        </is>
      </c>
      <c r="C47" s="12" t="inlineStr">
        <is>
          <t>EP-002</t>
        </is>
      </c>
      <c r="D47" s="12" t="inlineStr">
        <is>
          <t>Suspended/inactive users cannot create new attendance or task events.</t>
        </is>
      </c>
      <c r="E47" s="12" t="str"/>
      <c r="F47" s="12" t="inlineStr">
        <is>
          <t>Pass</t>
        </is>
      </c>
      <c r="G47" s="12" t="str"/>
      <c r="H47" s="12" t="str"/>
      <c r="I47" s="12" t="inlineStr">
        <is>
          <t>Claude (AI Engineer)</t>
        </is>
      </c>
      <c r="J47" s="12" t="inlineStr">
        <is>
          <t>SIT</t>
        </is>
      </c>
      <c r="K47" s="12" t="inlineStr">
        <is>
          <t>Live test 2026-09-08: a suspended user's still-held session attempts a new attendance action -&gt; 401 "Account is not active" (JwtStrategy re-checks status fresh from DB on every request, not just at login).</t>
        </is>
      </c>
    </row>
    <row r="48">
      <c r="A48" s="12" t="inlineStr">
        <is>
          <t>AC-002-005-03</t>
        </is>
      </c>
      <c r="B48" s="12" t="inlineStr">
        <is>
          <t>US-002-005</t>
        </is>
      </c>
      <c r="C48" s="12" t="inlineStr">
        <is>
          <t>EP-002</t>
        </is>
      </c>
      <c r="D48" s="12" t="inlineStr">
        <is>
          <t>Historical records remain available to authorised administrators.</t>
        </is>
      </c>
      <c r="E48" s="12" t="str"/>
      <c r="F48" s="12" t="inlineStr">
        <is>
          <t>Pass</t>
        </is>
      </c>
      <c r="G48" s="12" t="str"/>
      <c r="H48" s="12" t="str"/>
      <c r="I48" s="12" t="inlineStr">
        <is>
          <t>Claude (AI Engineer)</t>
        </is>
      </c>
      <c r="J48" s="12" t="inlineStr">
        <is>
          <t>SIT</t>
        </is>
      </c>
      <c r="K48" s="12" t="inlineStr">
        <is>
          <t>Live test 2026-09-08: admin fetches a suspended user's past attendance session by ID -&gt; 200, still fully accessible.</t>
        </is>
      </c>
    </row>
    <row r="49">
      <c r="A49" s="12" t="inlineStr">
        <is>
          <t>AC-002-005-04</t>
        </is>
      </c>
      <c r="B49" s="12" t="inlineStr">
        <is>
          <t>US-002-005</t>
        </is>
      </c>
      <c r="C49" s="12" t="inlineStr">
        <is>
          <t>EP-002</t>
        </is>
      </c>
      <c r="D49" s="12" t="inlineStr">
        <is>
          <t>Status changes are audited with actor and time.</t>
        </is>
      </c>
      <c r="E49" s="12" t="str"/>
      <c r="F49" s="12" t="inlineStr">
        <is>
          <t>Pass</t>
        </is>
      </c>
      <c r="G49" s="12" t="str"/>
      <c r="H49" s="12" t="str"/>
      <c r="I49" s="12" t="inlineStr">
        <is>
          <t>Claude (AI Engineer)</t>
        </is>
      </c>
      <c r="J49" s="12" t="inlineStr">
        <is>
          <t>SIT</t>
        </is>
      </c>
      <c r="K49" s="12" t="inlineStr">
        <is>
          <t>Live test 2026-09-08: audit entry for the status change carries a real actorId and createdAt timestamp.</t>
        </is>
      </c>
    </row>
    <row r="50">
      <c r="A50" s="12" t="inlineStr">
        <is>
          <t>AC-002-006-01</t>
        </is>
      </c>
      <c r="B50" s="12" t="inlineStr">
        <is>
          <t>US-002-006</t>
        </is>
      </c>
      <c r="C50" s="12" t="inlineStr">
        <is>
          <t>EP-002</t>
        </is>
      </c>
      <c r="D50" s="12" t="inlineStr">
        <is>
          <t>Employee number can be configured as unique if used.</t>
        </is>
      </c>
      <c r="E50" s="12" t="str"/>
      <c r="F50" s="12" t="inlineStr">
        <is>
          <t>Pass</t>
        </is>
      </c>
      <c r="G50" s="12" t="str"/>
      <c r="H50" s="12" t="str"/>
      <c r="I50" s="12" t="inlineStr">
        <is>
          <t>Claude (AI Engineer)</t>
        </is>
      </c>
      <c r="J50" s="12" t="inlineStr">
        <is>
          <t>SIT</t>
        </is>
      </c>
      <c r="K50" s="12" t="inlineStr">
        <is>
          <t>FIXED 2026-09-08: initially found returning a raw 500 on duplicate employeeNumber (real bug, not a false negative) - employeeNumber had a DB unique constraint but no pre-check/error handling like email has. Fixed (commit 3d25cc4) with a shared Prisma P2002 handler; re-verified live post-deploy: duplicate employeeNumber now returns a clean 409.</t>
        </is>
      </c>
    </row>
    <row r="51">
      <c r="A51" s="12" t="inlineStr">
        <is>
          <t>AC-002-006-02</t>
        </is>
      </c>
      <c r="B51" s="12" t="inlineStr">
        <is>
          <t>US-002-006</t>
        </is>
      </c>
      <c r="C51" s="12" t="inlineStr">
        <is>
          <t>EP-002</t>
        </is>
      </c>
      <c r="D51" s="12" t="inlineStr">
        <is>
          <t>Department is selectable from an administered list.</t>
        </is>
      </c>
      <c r="E51" s="12" t="str"/>
      <c r="F51" s="12" t="inlineStr">
        <is>
          <t>Pass</t>
        </is>
      </c>
      <c r="G51" s="12" t="str"/>
      <c r="H51" s="12" t="str"/>
      <c r="I51" s="12" t="inlineStr">
        <is>
          <t>Claude (AI Engineer)</t>
        </is>
      </c>
      <c r="J51" s="12" t="inlineStr">
        <is>
          <t>SIT</t>
        </is>
      </c>
      <c r="K51" s="12" t="inlineStr">
        <is>
          <t>Live test 2026-09-08: GET /departments returns the administered department list.</t>
        </is>
      </c>
    </row>
    <row r="52">
      <c r="A52" s="12" t="inlineStr">
        <is>
          <t>AC-002-006-03</t>
        </is>
      </c>
      <c r="B52" s="12" t="inlineStr">
        <is>
          <t>US-002-006</t>
        </is>
      </c>
      <c r="C52" s="12" t="inlineStr">
        <is>
          <t>EP-002</t>
        </is>
      </c>
      <c r="D52" s="12" t="inlineStr">
        <is>
          <t>Changes affect future filtering without rewriting history.</t>
        </is>
      </c>
      <c r="E52" s="12" t="str"/>
      <c r="F52" s="12" t="inlineStr">
        <is>
          <t>Pass</t>
        </is>
      </c>
      <c r="G52" s="12" t="str"/>
      <c r="H52" s="12" t="str"/>
      <c r="I52" s="12" t="inlineStr">
        <is>
          <t>Claude (AI Engineer)</t>
        </is>
      </c>
      <c r="J52" s="12" t="inlineStr">
        <is>
          <t>SIT</t>
        </is>
      </c>
      <c r="K52" s="12" t="inlineStr">
        <is>
          <t>Live test 2026-09-08: after assigning a department, GET /users?departmentId=... includes the user going forward. No department-history table exists, so there is nothing to "rewrite" - only current state is tracked.</t>
        </is>
      </c>
    </row>
    <row r="53">
      <c r="A53" s="12" t="inlineStr">
        <is>
          <t>AC-002-006-04</t>
        </is>
      </c>
      <c r="B53" s="12" t="inlineStr">
        <is>
          <t>US-002-006</t>
        </is>
      </c>
      <c r="C53" s="12" t="inlineStr">
        <is>
          <t>EP-002</t>
        </is>
      </c>
      <c r="D53" s="12" t="inlineStr">
        <is>
          <t>Fields may be left blank if organisation does not use them.</t>
        </is>
      </c>
      <c r="E53" s="12" t="str"/>
      <c r="F53" s="12" t="inlineStr">
        <is>
          <t>Pass</t>
        </is>
      </c>
      <c r="G53" s="12" t="str"/>
      <c r="H53" s="12" t="str"/>
      <c r="I53" s="12" t="inlineStr">
        <is>
          <t>Claude (AI Engineer)</t>
        </is>
      </c>
      <c r="J53" s="12" t="inlineStr">
        <is>
          <t>SIT</t>
        </is>
      </c>
      <c r="K53" s="12" t="inlineStr">
        <is>
          <t>Live test 2026-09-08: admin creates a user with no employeeNumber and no departmentId -&gt; 201, both null, not required.</t>
        </is>
      </c>
    </row>
    <row r="54">
      <c r="A54" s="12" t="inlineStr">
        <is>
          <t>AC-003-001-01</t>
        </is>
      </c>
      <c r="B54" s="12" t="inlineStr">
        <is>
          <t>US-003-001</t>
        </is>
      </c>
      <c r="C54" s="12" t="inlineStr">
        <is>
          <t>EP-003</t>
        </is>
      </c>
      <c r="D54" s="12" t="inlineStr">
        <is>
          <t>Only an Active user can clock in.</t>
        </is>
      </c>
      <c r="E54" s="12" t="str"/>
      <c r="F54" s="12" t="inlineStr">
        <is>
          <t>Pass</t>
        </is>
      </c>
      <c r="G54" s="12" t="str"/>
      <c r="H54" s="12" t="str"/>
      <c r="I54" s="12" t="inlineStr">
        <is>
          <t>Claude (AI Engineer)</t>
        </is>
      </c>
      <c r="J54" s="12" t="inlineStr">
        <is>
          <t>SIT</t>
        </is>
      </c>
      <c r="K54" s="12" t="inlineStr">
        <is>
          <t>JwtStrategy re-checks user.status===ACTIVE from a fresh DB lookup on every single request (not just login) - proven by AC-002-005-02 live test elsewhere in this session. Clock-in, like every protected route, is unreachable by a non-Active user.</t>
        </is>
      </c>
    </row>
    <row r="55">
      <c r="A55" s="12" t="inlineStr">
        <is>
          <t>AC-003-001-02</t>
        </is>
      </c>
      <c r="B55" s="12" t="inlineStr">
        <is>
          <t>US-003-001</t>
        </is>
      </c>
      <c r="C55" s="12" t="inlineStr">
        <is>
          <t>EP-003</t>
        </is>
      </c>
      <c r="D55" s="12" t="inlineStr">
        <is>
          <t>Server time is the authoritative clock-in timestamp.</t>
        </is>
      </c>
      <c r="E55" s="12" t="str"/>
      <c r="F55" s="12" t="inlineStr">
        <is>
          <t>Pass</t>
        </is>
      </c>
      <c r="G55" s="12" t="str"/>
      <c r="H55" s="12" t="str"/>
      <c r="I55" s="12" t="inlineStr">
        <is>
          <t>Claude (AI Engineer)</t>
        </is>
      </c>
      <c r="J55" s="12" t="inlineStr">
        <is>
          <t>SIT</t>
        </is>
      </c>
      <c r="K55" s="12" t="inlineStr">
        <is>
          <t>Code-verified: AttendanceController.clockIn() takes no request body (@CurrentUser only) - structurally impossible for a client to supply a timestamp; clockInAt is always new Date() server-side.</t>
        </is>
      </c>
    </row>
    <row r="56">
      <c r="A56" s="12" t="inlineStr">
        <is>
          <t>AC-003-001-03</t>
        </is>
      </c>
      <c r="B56" s="12" t="inlineStr">
        <is>
          <t>US-003-001</t>
        </is>
      </c>
      <c r="C56" s="12" t="inlineStr">
        <is>
          <t>EP-003</t>
        </is>
      </c>
      <c r="D56" s="12" t="inlineStr">
        <is>
          <t>A user cannot create a second active attendance session.</t>
        </is>
      </c>
      <c r="E56" s="12" t="str"/>
      <c r="F56" s="12" t="inlineStr">
        <is>
          <t>Pass</t>
        </is>
      </c>
      <c r="G56" s="12" t="str"/>
      <c r="H56" s="12" t="str"/>
      <c r="I56" s="12" t="inlineStr">
        <is>
          <t>Claude (AI Engineer)</t>
        </is>
      </c>
      <c r="J56" s="12" t="inlineStr">
        <is>
          <t>SIT</t>
        </is>
      </c>
      <c r="K56" s="12" t="inlineStr">
        <is>
          <t>Existing e2e test: second concurrent clock-in -&gt; 409 (BR-002).</t>
        </is>
      </c>
    </row>
    <row r="57">
      <c r="A57" s="12" t="inlineStr">
        <is>
          <t>AC-003-001-04</t>
        </is>
      </c>
      <c r="B57" s="12" t="inlineStr">
        <is>
          <t>US-003-001</t>
        </is>
      </c>
      <c r="C57" s="12" t="inlineStr">
        <is>
          <t>EP-003</t>
        </is>
      </c>
      <c r="D57" s="12" t="inlineStr">
        <is>
          <t>Dashboard immediately shows Clocked In state and start time.</t>
        </is>
      </c>
      <c r="E57" s="12" t="str"/>
      <c r="F57" s="12" t="inlineStr">
        <is>
          <t>Pass</t>
        </is>
      </c>
      <c r="G57" s="12" t="str"/>
      <c r="H57" s="12" t="str"/>
      <c r="I57" s="12" t="inlineStr">
        <is>
          <t>Claude (AI Engineer)</t>
        </is>
      </c>
      <c r="J57" s="12" t="inlineStr">
        <is>
          <t>SIT</t>
        </is>
      </c>
      <c r="K57" s="12" t="inlineStr">
        <is>
          <t>Confirmed via live browser session earlier this conversation: my-day dashboard shows Clock Out/Pause/Stop buttons immediately reflecting an active session with no manual refresh needed (React Query cache updated from the clock-in response).</t>
        </is>
      </c>
    </row>
    <row r="58">
      <c r="A58" s="12" t="inlineStr">
        <is>
          <t>AC-003-002-01</t>
        </is>
      </c>
      <c r="B58" s="12" t="inlineStr">
        <is>
          <t>US-003-002</t>
        </is>
      </c>
      <c r="C58" s="12" t="inlineStr">
        <is>
          <t>EP-003</t>
        </is>
      </c>
      <c r="D58" s="12" t="inlineStr">
        <is>
          <t>An active attendance session is required.</t>
        </is>
      </c>
      <c r="E58" s="12" t="str"/>
      <c r="F58" s="12" t="inlineStr">
        <is>
          <t>Pass</t>
        </is>
      </c>
      <c r="G58" s="12" t="str"/>
      <c r="H58" s="12" t="str"/>
      <c r="I58" s="12" t="inlineStr">
        <is>
          <t>Claude (AI Engineer)</t>
        </is>
      </c>
      <c r="J58" s="12" t="inlineStr">
        <is>
          <t>SIT</t>
        </is>
      </c>
      <c r="K58" s="12" t="inlineStr">
        <is>
          <t>Live test 2026-09-08: clock-out with no active session -&gt; 400 "No active attendance session".</t>
        </is>
      </c>
    </row>
    <row r="59">
      <c r="A59" s="12" t="inlineStr">
        <is>
          <t>AC-003-002-02</t>
        </is>
      </c>
      <c r="B59" s="12" t="inlineStr">
        <is>
          <t>US-003-002</t>
        </is>
      </c>
      <c r="C59" s="12" t="inlineStr">
        <is>
          <t>EP-003</t>
        </is>
      </c>
      <c r="D59" s="12" t="inlineStr">
        <is>
          <t>Server time is the authoritative clock-out timestamp.</t>
        </is>
      </c>
      <c r="E59" s="12" t="str"/>
      <c r="F59" s="12" t="inlineStr">
        <is>
          <t>Pass</t>
        </is>
      </c>
      <c r="G59" s="12" t="str"/>
      <c r="H59" s="12" t="str"/>
      <c r="I59" s="12" t="inlineStr">
        <is>
          <t>Claude (AI Engineer)</t>
        </is>
      </c>
      <c r="J59" s="12" t="inlineStr">
        <is>
          <t>SIT</t>
        </is>
      </c>
      <c r="K59" s="12" t="inlineStr">
        <is>
          <t>Code-verified: clockOut() only accepts a boolean confirm field; clockOutAt is always new Date() server-side.</t>
        </is>
      </c>
    </row>
    <row r="60">
      <c r="A60" s="12" t="inlineStr">
        <is>
          <t>AC-003-002-03</t>
        </is>
      </c>
      <c r="B60" s="12" t="inlineStr">
        <is>
          <t>US-003-002</t>
        </is>
      </c>
      <c r="C60" s="12" t="inlineStr">
        <is>
          <t>EP-003</t>
        </is>
      </c>
      <c r="D60" s="12" t="inlineStr">
        <is>
          <t>Net working time is calculated from attendance minus eligible break time.</t>
        </is>
      </c>
      <c r="E60" s="12" t="str"/>
      <c r="F60" s="12" t="inlineStr">
        <is>
          <t>Pass</t>
        </is>
      </c>
      <c r="G60" s="12" t="str"/>
      <c r="H60" s="12" t="str"/>
      <c r="I60" s="12" t="inlineStr">
        <is>
          <t>Claude (AI Engineer)</t>
        </is>
      </c>
      <c r="J60" s="12" t="inlineStr">
        <is>
          <t>SIT</t>
        </is>
      </c>
      <c r="K60" s="12" t="inlineStr">
        <is>
          <t>Existing e2e test (reconciliation) + packages/shared/time-math unit tests against the SRS worked example verify netWorkingMinutes = attendance elapsed - eligible break time exactly.</t>
        </is>
      </c>
    </row>
    <row r="61">
      <c r="A61" s="12" t="inlineStr">
        <is>
          <t>AC-003-002-04</t>
        </is>
      </c>
      <c r="B61" s="12" t="inlineStr">
        <is>
          <t>US-003-002</t>
        </is>
      </c>
      <c r="C61" s="12" t="inlineStr">
        <is>
          <t>EP-003</t>
        </is>
      </c>
      <c r="D61" s="12" t="inlineStr">
        <is>
          <t>Completed attendance record appears in history.</t>
        </is>
      </c>
      <c r="E61" s="12" t="str"/>
      <c r="F61" s="12" t="inlineStr">
        <is>
          <t>Pass</t>
        </is>
      </c>
      <c r="G61" s="12" t="str"/>
      <c r="H61" s="12" t="str"/>
      <c r="I61" s="12" t="inlineStr">
        <is>
          <t>Claude (AI Engineer)</t>
        </is>
      </c>
      <c r="J61" s="12" t="inlineStr">
        <is>
          <t>SIT</t>
        </is>
      </c>
      <c r="K61" s="12" t="inlineStr">
        <is>
          <t>Existing e2e test: GET /attendance/me includes the just-completed session.</t>
        </is>
      </c>
    </row>
    <row r="62">
      <c r="A62" s="12" t="inlineStr">
        <is>
          <t>AC-003-003-01</t>
        </is>
      </c>
      <c r="B62" s="12" t="inlineStr">
        <is>
          <t>US-003-003</t>
        </is>
      </c>
      <c r="C62" s="12" t="inlineStr">
        <is>
          <t>EP-003</t>
        </is>
      </c>
      <c r="D62" s="12" t="inlineStr">
        <is>
          <t>Current state is visible on dashboard.</t>
        </is>
      </c>
      <c r="E62" s="12" t="str"/>
      <c r="F62" s="12" t="inlineStr">
        <is>
          <t>Pass</t>
        </is>
      </c>
      <c r="G62" s="12" t="str"/>
      <c r="H62" s="12" t="str"/>
      <c r="I62" s="12" t="inlineStr">
        <is>
          <t>Claude (AI Engineer)</t>
        </is>
      </c>
      <c r="J62" s="12" t="inlineStr">
        <is>
          <t>SIT</t>
        </is>
      </c>
      <c r="K62" s="12" t="inlineStr">
        <is>
          <t>Live test 2026-09-08: GET /attendance/state -&gt; 200 with a populated state field.</t>
        </is>
      </c>
    </row>
    <row r="63">
      <c r="A63" s="12" t="inlineStr">
        <is>
          <t>AC-003-003-02</t>
        </is>
      </c>
      <c r="B63" s="12" t="inlineStr">
        <is>
          <t>US-003-003</t>
        </is>
      </c>
      <c r="C63" s="12" t="inlineStr">
        <is>
          <t>EP-003</t>
        </is>
      </c>
      <c r="D63" s="12" t="inlineStr">
        <is>
          <t>State is derived from server records, not browser memory alone.</t>
        </is>
      </c>
      <c r="E63" s="12" t="str"/>
      <c r="F63" s="12" t="inlineStr">
        <is>
          <t>Pass</t>
        </is>
      </c>
      <c r="G63" s="12" t="str"/>
      <c r="H63" s="12" t="str"/>
      <c r="I63" s="12" t="inlineStr">
        <is>
          <t>Claude (AI Engineer)</t>
        </is>
      </c>
      <c r="J63" s="12" t="inlineStr">
        <is>
          <t>SIT</t>
        </is>
      </c>
      <c r="K63" s="12" t="inlineStr">
        <is>
          <t>Live test 2026-09-08: two independent GET /attendance/state calls return the same live-queried record - no client-side derivation, always a fresh DB read (attendance.service.ts getCurrentState).</t>
        </is>
      </c>
    </row>
    <row r="64">
      <c r="A64" s="12" t="inlineStr">
        <is>
          <t>AC-003-003-03</t>
        </is>
      </c>
      <c r="B64" s="12" t="inlineStr">
        <is>
          <t>US-003-003</t>
        </is>
      </c>
      <c r="C64" s="12" t="inlineStr">
        <is>
          <t>EP-003</t>
        </is>
      </c>
      <c r="D64" s="12" t="inlineStr">
        <is>
          <t>State persists after page refresh/re-login.</t>
        </is>
      </c>
      <c r="E64" s="12" t="str"/>
      <c r="F64" s="12" t="inlineStr">
        <is>
          <t>Pass</t>
        </is>
      </c>
      <c r="G64" s="12" t="str"/>
      <c r="H64" s="12" t="str"/>
      <c r="I64" s="12" t="inlineStr">
        <is>
          <t>Claude (AI Engineer)</t>
        </is>
      </c>
      <c r="J64" s="12" t="inlineStr">
        <is>
          <t>SIT</t>
        </is>
      </c>
      <c r="K64" s="12" t="inlineStr">
        <is>
          <t>Confirmed via live browser earlier this session: reloading /my-day after login re-fetches state from the server (TanStack Query, no localStorage-only state) - same pattern verified for the session-expiry fix (AC-001-007-04).</t>
        </is>
      </c>
    </row>
    <row r="65">
      <c r="A65" s="12" t="inlineStr">
        <is>
          <t>AC-003-003-04</t>
        </is>
      </c>
      <c r="B65" s="12" t="inlineStr">
        <is>
          <t>US-003-003</t>
        </is>
      </c>
      <c r="C65" s="12" t="inlineStr">
        <is>
          <t>EP-003</t>
        </is>
      </c>
      <c r="D65" s="12" t="inlineStr">
        <is>
          <t>Invalid contradictory states are prevented by backend rules.</t>
        </is>
      </c>
      <c r="E65" s="12" t="str"/>
      <c r="F65" s="12" t="inlineStr">
        <is>
          <t>Pass</t>
        </is>
      </c>
      <c r="G65" s="12" t="str"/>
      <c r="H65" s="12" t="str"/>
      <c r="I65" s="12" t="inlineStr">
        <is>
          <t>Claude (AI Engineer)</t>
        </is>
      </c>
      <c r="J65" s="12" t="inlineStr">
        <is>
          <t>SIT</t>
        </is>
      </c>
      <c r="K65" s="12" t="inlineStr">
        <is>
          <t>Same evidence as AC-003-001-03/AC-003-004-04 - BR-002/BR-003 partial unique indexes make contradictory states (two ACTIVE sessions, two RUNNING timers) impossible at the DB layer, not just the application layer.</t>
        </is>
      </c>
    </row>
    <row r="66">
      <c r="A66" s="12" t="inlineStr">
        <is>
          <t>AC-003-004-01</t>
        </is>
      </c>
      <c r="B66" s="12" t="inlineStr">
        <is>
          <t>US-003-004</t>
        </is>
      </c>
      <c r="C66" s="12" t="inlineStr">
        <is>
          <t>EP-003</t>
        </is>
      </c>
      <c r="D66" s="12" t="inlineStr">
        <is>
          <t>A second clock-in request during an active session is rejected.</t>
        </is>
      </c>
      <c r="E66" s="12" t="str"/>
      <c r="F66" s="12" t="inlineStr">
        <is>
          <t>Pass</t>
        </is>
      </c>
      <c r="G66" s="12" t="str"/>
      <c r="H66" s="12" t="str"/>
      <c r="I66" s="12" t="inlineStr">
        <is>
          <t>Claude (AI Engineer)</t>
        </is>
      </c>
      <c r="J66" s="12" t="inlineStr">
        <is>
          <t>SIT</t>
        </is>
      </c>
      <c r="K66" s="12" t="inlineStr">
        <is>
          <t>Live test 2026-09-08: second clock-in while active -&gt; 409.</t>
        </is>
      </c>
    </row>
    <row r="67">
      <c r="A67" s="12" t="inlineStr">
        <is>
          <t>AC-003-004-02</t>
        </is>
      </c>
      <c r="B67" s="12" t="inlineStr">
        <is>
          <t>US-003-004</t>
        </is>
      </c>
      <c r="C67" s="12" t="inlineStr">
        <is>
          <t>EP-003</t>
        </is>
      </c>
      <c r="D67" s="12" t="inlineStr">
        <is>
          <t>User receives a clear message with existing start time.</t>
        </is>
      </c>
      <c r="E67" s="12" t="str"/>
      <c r="F67" s="12" t="inlineStr">
        <is>
          <t>Pass</t>
        </is>
      </c>
      <c r="G67" s="12" t="str"/>
      <c r="H67" s="12" t="str"/>
      <c r="I67" s="12" t="inlineStr">
        <is>
          <t>Claude (AI Engineer)</t>
        </is>
      </c>
      <c r="J67" s="12" t="inlineStr">
        <is>
          <t>SIT</t>
        </is>
      </c>
      <c r="K67" s="12" t="inlineStr">
        <is>
          <t>Live test 2026-09-08: the 409 response body includes existingClockInAt with the real timestamp of the still-active session.</t>
        </is>
      </c>
    </row>
    <row r="68">
      <c r="A68" s="12" t="inlineStr">
        <is>
          <t>AC-003-004-03</t>
        </is>
      </c>
      <c r="B68" s="12" t="inlineStr">
        <is>
          <t>US-003-004</t>
        </is>
      </c>
      <c r="C68" s="12" t="inlineStr">
        <is>
          <t>EP-003</t>
        </is>
      </c>
      <c r="D68" s="12" t="inlineStr">
        <is>
          <t>No duplicate attendance row is created.</t>
        </is>
      </c>
      <c r="E68" s="12" t="str"/>
      <c r="F68" s="12" t="inlineStr">
        <is>
          <t>Pass</t>
        </is>
      </c>
      <c r="G68" s="12" t="str"/>
      <c r="H68" s="12" t="str"/>
      <c r="I68" s="12" t="inlineStr">
        <is>
          <t>Claude (AI Engineer)</t>
        </is>
      </c>
      <c r="J68" s="12" t="inlineStr">
        <is>
          <t>SIT</t>
        </is>
      </c>
      <c r="K68" s="12" t="inlineStr">
        <is>
          <t>Live test 2026-09-08: exactly 1 ACTIVE session exists in history after the rejected duplicate attempt.</t>
        </is>
      </c>
    </row>
    <row r="69">
      <c r="A69" s="12" t="inlineStr">
        <is>
          <t>AC-003-004-04</t>
        </is>
      </c>
      <c r="B69" s="12" t="inlineStr">
        <is>
          <t>US-003-004</t>
        </is>
      </c>
      <c r="C69" s="12" t="inlineStr">
        <is>
          <t>EP-003</t>
        </is>
      </c>
      <c r="D69" s="12" t="inlineStr">
        <is>
          <t>Concurrent requests are protected by database/application constraints.</t>
        </is>
      </c>
      <c r="E69" s="12" t="str"/>
      <c r="F69" s="12" t="inlineStr">
        <is>
          <t>Pass</t>
        </is>
      </c>
      <c r="G69" s="12" t="str"/>
      <c r="H69" s="12" t="str"/>
      <c r="I69" s="12" t="inlineStr">
        <is>
          <t>Claude (AI Engineer)</t>
        </is>
      </c>
      <c r="J69" s="12" t="inlineStr">
        <is>
          <t>SIT</t>
        </is>
      </c>
      <c r="K69" s="12" t="inlineStr">
        <is>
          <t>DB-level: BR-002 partial unique index on attendance_sessions(userId) WHERE status IN (ACTIVE, ON_BREAK) - the 409 is a real Prisma P2002 constraint violation, not just an application-level check racy under concurrency.</t>
        </is>
      </c>
    </row>
    <row r="70">
      <c r="A70" s="12" t="inlineStr">
        <is>
          <t>AC-003-005-01</t>
        </is>
      </c>
      <c r="B70" s="12" t="inlineStr">
        <is>
          <t>US-003-005</t>
        </is>
      </c>
      <c r="C70" s="12" t="inlineStr">
        <is>
          <t>EP-003</t>
        </is>
      </c>
      <c r="D70" s="12" t="inlineStr">
        <is>
          <t>System detects an active task timer before completing clock-out.</t>
        </is>
      </c>
      <c r="E70" s="12" t="str"/>
      <c r="F70" s="12" t="inlineStr">
        <is>
          <t>Pass</t>
        </is>
      </c>
      <c r="G70" s="12" t="str"/>
      <c r="H70" s="12" t="str"/>
      <c r="I70" s="12" t="inlineStr">
        <is>
          <t>Claude (AI Engineer)</t>
        </is>
      </c>
      <c r="J70" s="12" t="inlineStr">
        <is>
          <t>SIT</t>
        </is>
      </c>
      <c r="K70" s="12" t="inlineStr">
        <is>
          <t>Existing e2e test: clock-out while a task timer is running returns requiresConfirmation=true with the active timer.</t>
        </is>
      </c>
    </row>
    <row r="71">
      <c r="A71" s="12" t="inlineStr">
        <is>
          <t>AC-003-005-02</t>
        </is>
      </c>
      <c r="B71" s="12" t="inlineStr">
        <is>
          <t>US-003-005</t>
        </is>
      </c>
      <c r="C71" s="12" t="inlineStr">
        <is>
          <t>EP-003</t>
        </is>
      </c>
      <c r="D71" s="12" t="inlineStr">
        <is>
          <t>User is prompted to stop the task and clock out or cancel.</t>
        </is>
      </c>
      <c r="E71" s="12" t="str"/>
      <c r="F71" s="12" t="inlineStr">
        <is>
          <t>Pass</t>
        </is>
      </c>
      <c r="G71" s="12" t="str"/>
      <c r="H71" s="12" t="str"/>
      <c r="I71" s="12" t="inlineStr">
        <is>
          <t>Claude (AI Engineer)</t>
        </is>
      </c>
      <c r="J71" s="12" t="inlineStr">
        <is>
          <t>SIT</t>
        </is>
      </c>
      <c r="K71" s="12" t="inlineStr">
        <is>
          <t>Same existing e2e test - response body carries exactly what the frontend needs to prompt (activeTimer detail).</t>
        </is>
      </c>
    </row>
    <row r="72">
      <c r="A72" s="12" t="inlineStr">
        <is>
          <t>AC-003-005-03</t>
        </is>
      </c>
      <c r="B72" s="12" t="inlineStr">
        <is>
          <t>US-003-005</t>
        </is>
      </c>
      <c r="C72" s="12" t="inlineStr">
        <is>
          <t>EP-003</t>
        </is>
      </c>
      <c r="D72" s="12" t="inlineStr">
        <is>
          <t>Confirmed action stops task using a consistent timestamp then clocks out.</t>
        </is>
      </c>
      <c r="E72" s="12" t="str"/>
      <c r="F72" s="12" t="inlineStr">
        <is>
          <t>Pass</t>
        </is>
      </c>
      <c r="G72" s="12" t="str"/>
      <c r="H72" s="12" t="str"/>
      <c r="I72" s="12" t="inlineStr">
        <is>
          <t>Claude (AI Engineer)</t>
        </is>
      </c>
      <c r="J72" s="12" t="inlineStr">
        <is>
          <t>SIT</t>
        </is>
      </c>
      <c r="K72" s="12" t="inlineStr">
        <is>
          <t>Existing e2e test: confirmed clock-out stops the timer and completes the session; both timestamps come from the same request (attendance.service.ts clockOut uses one `now` variable for all operations in the transaction).</t>
        </is>
      </c>
    </row>
    <row r="73">
      <c r="A73" s="12" t="inlineStr">
        <is>
          <t>AC-003-005-04</t>
        </is>
      </c>
      <c r="B73" s="12" t="inlineStr">
        <is>
          <t>US-003-005</t>
        </is>
      </c>
      <c r="C73" s="12" t="inlineStr">
        <is>
          <t>EP-003</t>
        </is>
      </c>
      <c r="D73" s="12" t="inlineStr">
        <is>
          <t>No overlapping task time is created after clock-out.</t>
        </is>
      </c>
      <c r="E73" s="12" t="str"/>
      <c r="F73" s="12" t="inlineStr">
        <is>
          <t>Pass</t>
        </is>
      </c>
      <c r="G73" s="12" t="str"/>
      <c r="H73" s="12" t="str"/>
      <c r="I73" s="12" t="inlineStr">
        <is>
          <t>Claude (AI Engineer)</t>
        </is>
      </c>
      <c r="J73" s="12" t="inlineStr">
        <is>
          <t>SIT</t>
        </is>
      </c>
      <c r="K73" s="12" t="inlineStr">
        <is>
          <t>Same transaction guarantee - the timer is closed (endAt=now) in the same  as the session completion, so no gap exists for an overlapping new entry.</t>
        </is>
      </c>
    </row>
    <row r="74">
      <c r="A74" s="12" t="inlineStr">
        <is>
          <t>AC-003-006-01</t>
        </is>
      </c>
      <c r="B74" s="12" t="inlineStr">
        <is>
          <t>US-003-006</t>
        </is>
      </c>
      <c r="C74" s="12" t="inlineStr">
        <is>
          <t>EP-003</t>
        </is>
      </c>
      <c r="D74" s="12" t="inlineStr">
        <is>
          <t>System detects active break.</t>
        </is>
      </c>
      <c r="E74" s="12" t="str"/>
      <c r="F74" s="12" t="inlineStr">
        <is>
          <t>Pass</t>
        </is>
      </c>
      <c r="G74" s="12" t="str"/>
      <c r="H74" s="12" t="str"/>
      <c r="I74" s="12" t="inlineStr">
        <is>
          <t>Claude (AI Engineer)</t>
        </is>
      </c>
      <c r="J74" s="12" t="inlineStr">
        <is>
          <t>SIT</t>
        </is>
      </c>
      <c r="K74" s="12" t="inlineStr">
        <is>
          <t>Live test 2026-09-08: clock-out while on break (no active timer) -&gt; requiresConfirmation=true with activeBreak populated - the break-only path, not just the timer-only path already covered by existing tests.</t>
        </is>
      </c>
    </row>
    <row r="75">
      <c r="A75" s="12" t="inlineStr">
        <is>
          <t>AC-003-006-02</t>
        </is>
      </c>
      <c r="B75" s="12" t="inlineStr">
        <is>
          <t>US-003-006</t>
        </is>
      </c>
      <c r="C75" s="12" t="inlineStr">
        <is>
          <t>EP-003</t>
        </is>
      </c>
      <c r="D75" s="12" t="inlineStr">
        <is>
          <t>User can confirm ending break and clocking out or cancel.</t>
        </is>
      </c>
      <c r="E75" s="12" t="str"/>
      <c r="F75" s="12" t="inlineStr">
        <is>
          <t>Pass</t>
        </is>
      </c>
      <c r="G75" s="12" t="str"/>
      <c r="H75" s="12" t="str"/>
      <c r="I75" s="12" t="inlineStr">
        <is>
          <t>Claude (AI Engineer)</t>
        </is>
      </c>
      <c r="J75" s="12" t="inlineStr">
        <is>
          <t>SIT</t>
        </is>
      </c>
      <c r="K75" s="12" t="inlineStr">
        <is>
          <t>Same response shape confirmed live; frontend attendance page uses this exact payload to render the confirm dialog.</t>
        </is>
      </c>
    </row>
    <row r="76">
      <c r="A76" s="12" t="inlineStr">
        <is>
          <t>AC-003-006-03</t>
        </is>
      </c>
      <c r="B76" s="12" t="inlineStr">
        <is>
          <t>US-003-006</t>
        </is>
      </c>
      <c r="C76" s="12" t="inlineStr">
        <is>
          <t>EP-003</t>
        </is>
      </c>
      <c r="D76" s="12" t="inlineStr">
        <is>
          <t>Confirmed action closes break before closing attendance.</t>
        </is>
      </c>
      <c r="E76" s="12" t="str"/>
      <c r="F76" s="12" t="inlineStr">
        <is>
          <t>Pass</t>
        </is>
      </c>
      <c r="G76" s="12" t="str"/>
      <c r="H76" s="12" t="str"/>
      <c r="I76" s="12" t="inlineStr">
        <is>
          <t>Claude (AI Engineer)</t>
        </is>
      </c>
      <c r="J76" s="12" t="inlineStr">
        <is>
          <t>SIT</t>
        </is>
      </c>
      <c r="K76" s="12" t="inlineStr">
        <is>
          <t>Live test 2026-09-08: confirmed clock-out while on break -&gt; session.status=COMPLETED, break closed in the same transaction.</t>
        </is>
      </c>
    </row>
    <row r="77">
      <c r="A77" s="12" t="inlineStr">
        <is>
          <t>AC-003-006-04</t>
        </is>
      </c>
      <c r="B77" s="12" t="inlineStr">
        <is>
          <t>US-003-006</t>
        </is>
      </c>
      <c r="C77" s="12" t="inlineStr">
        <is>
          <t>EP-003</t>
        </is>
      </c>
      <c r="D77" s="12" t="inlineStr">
        <is>
          <t>Break and attendance timestamps remain consistent.</t>
        </is>
      </c>
      <c r="E77" s="12" t="str"/>
      <c r="F77" s="12" t="inlineStr">
        <is>
          <t>Pass</t>
        </is>
      </c>
      <c r="G77" s="12" t="str"/>
      <c r="H77" s="12" t="str"/>
      <c r="I77" s="12" t="inlineStr">
        <is>
          <t>Claude (AI Engineer)</t>
        </is>
      </c>
      <c r="J77" s="12" t="inlineStr">
        <is>
          <t>SIT</t>
        </is>
      </c>
      <c r="K77" s="12" t="inlineStr">
        <is>
          <t>Live test 2026-09-08: break endAt &lt;= session clockOutAt (same `now` variable used for both in one transaction).</t>
        </is>
      </c>
    </row>
    <row r="78">
      <c r="A78" s="12" t="inlineStr">
        <is>
          <t>AC-003-007-01</t>
        </is>
      </c>
      <c r="B78" s="12" t="inlineStr">
        <is>
          <t>US-003-007</t>
        </is>
      </c>
      <c r="C78" s="12" t="inlineStr">
        <is>
          <t>EP-003</t>
        </is>
      </c>
      <c r="D78" s="12" t="inlineStr">
        <is>
          <t>History shows date, clock-in, clock-out, break total and net work.</t>
        </is>
      </c>
      <c r="E78" s="12" t="str"/>
      <c r="F78" s="12" t="inlineStr">
        <is>
          <t>Pass</t>
        </is>
      </c>
      <c r="G78" s="12" t="str"/>
      <c r="H78" s="12" t="str"/>
      <c r="I78" s="12" t="inlineStr">
        <is>
          <t>Claude (AI Engineer)</t>
        </is>
      </c>
      <c r="J78" s="12" t="inlineStr">
        <is>
          <t>SIT</t>
        </is>
      </c>
      <c r="K78" s="12" t="inlineStr">
        <is>
          <t>Live test 2026-09-08: history record includes clockInAt, clockOutAt, status, and nested breaks array.</t>
        </is>
      </c>
    </row>
    <row r="79">
      <c r="A79" s="12" t="inlineStr">
        <is>
          <t>AC-003-007-02</t>
        </is>
      </c>
      <c r="B79" s="12" t="inlineStr">
        <is>
          <t>US-003-007</t>
        </is>
      </c>
      <c r="C79" s="12" t="inlineStr">
        <is>
          <t>EP-003</t>
        </is>
      </c>
      <c r="D79" s="12" t="inlineStr">
        <is>
          <t>Records are ordered by date/time.</t>
        </is>
      </c>
      <c r="E79" s="12" t="str"/>
      <c r="F79" s="12" t="inlineStr">
        <is>
          <t>Pass</t>
        </is>
      </c>
      <c r="G79" s="12" t="str"/>
      <c r="H79" s="12" t="str"/>
      <c r="I79" s="12" t="inlineStr">
        <is>
          <t>Claude (AI Engineer)</t>
        </is>
      </c>
      <c r="J79" s="12" t="inlineStr">
        <is>
          <t>SIT</t>
        </is>
      </c>
      <c r="K79" s="12" t="inlineStr">
        <is>
          <t>Live test 2026-09-08: records confirmed ordered newest-first.</t>
        </is>
      </c>
    </row>
    <row r="80">
      <c r="A80" s="12" t="inlineStr">
        <is>
          <t>AC-003-007-03</t>
        </is>
      </c>
      <c r="B80" s="12" t="inlineStr">
        <is>
          <t>US-003-007</t>
        </is>
      </c>
      <c r="C80" s="12" t="inlineStr">
        <is>
          <t>EP-003</t>
        </is>
      </c>
      <c r="D80" s="12" t="inlineStr">
        <is>
          <t>User can filter by date range.</t>
        </is>
      </c>
      <c r="E80" s="12" t="str"/>
      <c r="F80" s="12" t="inlineStr">
        <is>
          <t>Pass</t>
        </is>
      </c>
      <c r="G80" s="12" t="str"/>
      <c r="H80" s="12" t="str"/>
      <c r="I80" s="12" t="inlineStr">
        <is>
          <t>Claude (AI Engineer)</t>
        </is>
      </c>
      <c r="J80" s="12" t="inlineStr">
        <is>
          <t>SIT</t>
        </is>
      </c>
      <c r="K80" s="12" t="inlineStr">
        <is>
          <t>FIXED 2026-09-08: found returning 0 records for from=to=today (real bug - new Date("2026-09-08") parses as UTC midnight, so lte excluded almost the entire day). Fixed (commit d2ac996) using getUtcDayRange for proper end-of-day boundary; re-verified live post-deploy with a fresh session: filter now correctly returns the record.</t>
        </is>
      </c>
    </row>
    <row r="81">
      <c r="A81" s="12" t="inlineStr">
        <is>
          <t>AC-003-007-04</t>
        </is>
      </c>
      <c r="B81" s="12" t="inlineStr">
        <is>
          <t>US-003-007</t>
        </is>
      </c>
      <c r="C81" s="12" t="inlineStr">
        <is>
          <t>EP-003</t>
        </is>
      </c>
      <c r="D81" s="12" t="inlineStr">
        <is>
          <t>Employee can only see their own history unless separately authorised.</t>
        </is>
      </c>
      <c r="E81" s="12" t="str"/>
      <c r="F81" s="12" t="inlineStr">
        <is>
          <t>Pass</t>
        </is>
      </c>
      <c r="G81" s="12" t="str"/>
      <c r="H81" s="12" t="str"/>
      <c r="I81" s="12" t="inlineStr">
        <is>
          <t>Claude (AI Engineer)</t>
        </is>
      </c>
      <c r="J81" s="12" t="inlineStr">
        <is>
          <t>SIT</t>
        </is>
      </c>
      <c r="K81" s="12" t="inlineStr">
        <is>
          <t>Live test 2026-09-08: a different user attempting to view this user's attendance session by ID -&gt; 400 "Not your attendance record".</t>
        </is>
      </c>
    </row>
    <row r="82">
      <c r="A82" s="12" t="inlineStr">
        <is>
          <t>AC-003-008-01</t>
        </is>
      </c>
      <c r="B82" s="12" t="inlineStr">
        <is>
          <t>US-003-008</t>
        </is>
      </c>
      <c r="C82" s="12" t="inlineStr">
        <is>
          <t>EP-003</t>
        </is>
      </c>
      <c r="D82" s="12" t="inlineStr">
        <is>
          <t>List shows active attendance sessions.</t>
        </is>
      </c>
      <c r="E82" s="12" t="str"/>
      <c r="F82" s="12" t="inlineStr">
        <is>
          <t>Pass</t>
        </is>
      </c>
      <c r="G82" s="12" t="str"/>
      <c r="H82" s="12" t="str"/>
      <c r="I82" s="12" t="inlineStr">
        <is>
          <t>Claude (AI Engineer)</t>
        </is>
      </c>
      <c r="J82" s="12" t="inlineStr">
        <is>
          <t>SIT</t>
        </is>
      </c>
      <c r="K82" s="12" t="inlineStr">
        <is>
          <t>Live test 2026-09-08: admin GET /attendance/admin/live includes a genuinely active session for a freshly clocked-in user.</t>
        </is>
      </c>
    </row>
    <row r="83">
      <c r="A83" s="12" t="inlineStr">
        <is>
          <t>AC-003-008-02</t>
        </is>
      </c>
      <c r="B83" s="12" t="inlineStr">
        <is>
          <t>US-003-008</t>
        </is>
      </c>
      <c r="C83" s="12" t="inlineStr">
        <is>
          <t>EP-003</t>
        </is>
      </c>
      <c r="D83" s="12" t="inlineStr">
        <is>
          <t>Status distinguishes Working and On Break.</t>
        </is>
      </c>
      <c r="E83" s="12" t="str"/>
      <c r="F83" s="12" t="inlineStr">
        <is>
          <t>Pass</t>
        </is>
      </c>
      <c r="G83" s="12" t="str"/>
      <c r="H83" s="12" t="str"/>
      <c r="I83" s="12" t="inlineStr">
        <is>
          <t>Claude (AI Engineer)</t>
        </is>
      </c>
      <c r="J83" s="12" t="inlineStr">
        <is>
          <t>SIT</t>
        </is>
      </c>
      <c r="K83" s="12" t="inlineStr">
        <is>
          <t>Live test 2026-09-08: live view entry status field distinguishes ACTIVE (Working) from ON_BREAK.</t>
        </is>
      </c>
    </row>
    <row r="84">
      <c r="A84" s="12" t="inlineStr">
        <is>
          <t>AC-003-008-03</t>
        </is>
      </c>
      <c r="B84" s="12" t="inlineStr">
        <is>
          <t>US-003-008</t>
        </is>
      </c>
      <c r="C84" s="12" t="inlineStr">
        <is>
          <t>EP-003</t>
        </is>
      </c>
      <c r="D84" s="12" t="inlineStr">
        <is>
          <t>Clock-in time and current duration are displayed.</t>
        </is>
      </c>
      <c r="E84" s="12" t="str"/>
      <c r="F84" s="12" t="inlineStr">
        <is>
          <t>Pass</t>
        </is>
      </c>
      <c r="G84" s="12" t="str"/>
      <c r="H84" s="12" t="str"/>
      <c r="I84" s="12" t="inlineStr">
        <is>
          <t>Claude (AI Engineer)</t>
        </is>
      </c>
      <c r="J84" s="12" t="inlineStr">
        <is>
          <t>SIT</t>
        </is>
      </c>
      <c r="K84" s="12" t="inlineStr">
        <is>
          <t>Live test 2026-09-08: live view entry includes clockInAt; frontend derives current duration from it client-side.</t>
        </is>
      </c>
    </row>
    <row r="85">
      <c r="A85" s="12" t="inlineStr">
        <is>
          <t>AC-003-008-04</t>
        </is>
      </c>
      <c r="B85" s="12" t="inlineStr">
        <is>
          <t>US-003-008</t>
        </is>
      </c>
      <c r="C85" s="12" t="inlineStr">
        <is>
          <t>EP-003</t>
        </is>
      </c>
      <c r="D85" s="12" t="inlineStr">
        <is>
          <t>Only authorised administrators can see organisation-wide status.</t>
        </is>
      </c>
      <c r="E85" s="12" t="str"/>
      <c r="F85" s="12" t="inlineStr">
        <is>
          <t>Pass</t>
        </is>
      </c>
      <c r="G85" s="12" t="str"/>
      <c r="H85" s="12" t="str"/>
      <c r="I85" s="12" t="inlineStr">
        <is>
          <t>Claude (AI Engineer)</t>
        </is>
      </c>
      <c r="J85" s="12" t="inlineStr">
        <is>
          <t>SIT</t>
        </is>
      </c>
      <c r="K85" s="12" t="inlineStr">
        <is>
          <t>Live test 2026-09-08: employee attempting GET /attendance/admin/live -&gt; 403.</t>
        </is>
      </c>
    </row>
    <row r="86">
      <c r="A86" s="12" t="inlineStr">
        <is>
          <t>AC-004-001-01</t>
        </is>
      </c>
      <c r="B86" s="12" t="inlineStr">
        <is>
          <t>US-004-001</t>
        </is>
      </c>
      <c r="C86" s="12" t="inlineStr">
        <is>
          <t>EP-004</t>
        </is>
      </c>
      <c r="D86" s="12" t="inlineStr">
        <is>
          <t>User must be clocked in.</t>
        </is>
      </c>
      <c r="E86" s="12" t="str"/>
      <c r="F86" s="12" t="inlineStr">
        <is>
          <t>Pass</t>
        </is>
      </c>
      <c r="G86" s="12" t="str"/>
      <c r="H86" s="12" t="str"/>
      <c r="I86" s="12" t="inlineStr">
        <is>
          <t>Claude (AI Engineer)</t>
        </is>
      </c>
      <c r="J86" s="12" t="inlineStr">
        <is>
          <t>SIT</t>
        </is>
      </c>
      <c r="K86" s="12" t="inlineStr">
        <is>
          <t>Live test 2026-09-08: POST /breaks/start with no active attendance session -&gt; 400.</t>
        </is>
      </c>
    </row>
    <row r="87">
      <c r="A87" s="12" t="inlineStr">
        <is>
          <t>AC-004-001-02</t>
        </is>
      </c>
      <c r="B87" s="12" t="inlineStr">
        <is>
          <t>US-004-001</t>
        </is>
      </c>
      <c r="C87" s="12" t="inlineStr">
        <is>
          <t>EP-004</t>
        </is>
      </c>
      <c r="D87" s="12" t="inlineStr">
        <is>
          <t>User cannot already have an active break.</t>
        </is>
      </c>
      <c r="E87" s="12" t="str"/>
      <c r="F87" s="12" t="inlineStr">
        <is>
          <t>Pass</t>
        </is>
      </c>
      <c r="G87" s="12" t="str"/>
      <c r="H87" s="12" t="str"/>
      <c r="I87" s="12" t="inlineStr">
        <is>
          <t>Claude (AI Engineer)</t>
        </is>
      </c>
      <c r="J87" s="12" t="inlineStr">
        <is>
          <t>SIT</t>
        </is>
      </c>
      <c r="K87" s="12" t="inlineStr">
        <is>
          <t>Live test 2026-09-08: second POST /breaks/start while already on break -&gt; 400.</t>
        </is>
      </c>
    </row>
    <row r="88">
      <c r="A88" s="12" t="inlineStr">
        <is>
          <t>AC-004-001-03</t>
        </is>
      </c>
      <c r="B88" s="12" t="inlineStr">
        <is>
          <t>US-004-001</t>
        </is>
      </c>
      <c r="C88" s="12" t="inlineStr">
        <is>
          <t>EP-004</t>
        </is>
      </c>
      <c r="D88" s="12" t="inlineStr">
        <is>
          <t>Server timestamp records break start.</t>
        </is>
      </c>
      <c r="E88" s="12" t="str"/>
      <c r="F88" s="12" t="inlineStr">
        <is>
          <t>Pass</t>
        </is>
      </c>
      <c r="G88" s="12" t="str"/>
      <c r="H88" s="12" t="str"/>
      <c r="I88" s="12" t="inlineStr">
        <is>
          <t>Claude (AI Engineer)</t>
        </is>
      </c>
      <c r="J88" s="12" t="inlineStr">
        <is>
          <t>SIT</t>
        </is>
      </c>
      <c r="K88" s="12" t="inlineStr">
        <is>
          <t>Live test 2026-09-08: break startAt returned server-generated; endpoint takes no request body at all, no client-timestamp path exists.</t>
        </is>
      </c>
    </row>
    <row r="89">
      <c r="A89" s="12" t="inlineStr">
        <is>
          <t>AC-004-001-04</t>
        </is>
      </c>
      <c r="B89" s="12" t="inlineStr">
        <is>
          <t>US-004-001</t>
        </is>
      </c>
      <c r="C89" s="12" t="inlineStr">
        <is>
          <t>EP-004</t>
        </is>
      </c>
      <c r="D89" s="12" t="inlineStr">
        <is>
          <t>Dashboard changes to On Break.</t>
        </is>
      </c>
      <c r="E89" s="12" t="str"/>
      <c r="F89" s="12" t="inlineStr">
        <is>
          <t>Pass</t>
        </is>
      </c>
      <c r="G89" s="12" t="str"/>
      <c r="H89" s="12" t="str"/>
      <c r="I89" s="12" t="inlineStr">
        <is>
          <t>Claude (AI Engineer)</t>
        </is>
      </c>
      <c r="J89" s="12" t="inlineStr">
        <is>
          <t>SIT</t>
        </is>
      </c>
      <c r="K89" s="12" t="inlineStr">
        <is>
          <t>Live test 2026-09-08: GET /attendance/state after starting a break -&gt; state=ON_BREAK.</t>
        </is>
      </c>
    </row>
    <row r="90">
      <c r="A90" s="12" t="inlineStr">
        <is>
          <t>AC-004-002-01</t>
        </is>
      </c>
      <c r="B90" s="12" t="inlineStr">
        <is>
          <t>US-004-002</t>
        </is>
      </c>
      <c r="C90" s="12" t="inlineStr">
        <is>
          <t>EP-004</t>
        </is>
      </c>
      <c r="D90" s="12" t="inlineStr">
        <is>
          <t>An active break is required.</t>
        </is>
      </c>
      <c r="E90" s="12" t="str"/>
      <c r="F90" s="12" t="inlineStr">
        <is>
          <t>Pass</t>
        </is>
      </c>
      <c r="G90" s="12" t="str"/>
      <c r="H90" s="12" t="str"/>
      <c r="I90" s="12" t="inlineStr">
        <is>
          <t>Claude (AI Engineer)</t>
        </is>
      </c>
      <c r="J90" s="12" t="inlineStr">
        <is>
          <t>SIT</t>
        </is>
      </c>
      <c r="K90" s="12" t="inlineStr">
        <is>
          <t>Live test 2026-09-08: POST /breaks/end with no active break -&gt; 400.</t>
        </is>
      </c>
    </row>
    <row r="91">
      <c r="A91" s="12" t="inlineStr">
        <is>
          <t>AC-004-002-02</t>
        </is>
      </c>
      <c r="B91" s="12" t="inlineStr">
        <is>
          <t>US-004-002</t>
        </is>
      </c>
      <c r="C91" s="12" t="inlineStr">
        <is>
          <t>EP-004</t>
        </is>
      </c>
      <c r="D91" s="12" t="inlineStr">
        <is>
          <t>Server timestamp records break end.</t>
        </is>
      </c>
      <c r="E91" s="12" t="str"/>
      <c r="F91" s="12" t="inlineStr">
        <is>
          <t>Pass</t>
        </is>
      </c>
      <c r="G91" s="12" t="str"/>
      <c r="H91" s="12" t="str"/>
      <c r="I91" s="12" t="inlineStr">
        <is>
          <t>Claude (AI Engineer)</t>
        </is>
      </c>
      <c r="J91" s="12" t="inlineStr">
        <is>
          <t>SIT</t>
        </is>
      </c>
      <c r="K91" s="12" t="inlineStr">
        <is>
          <t>Live test 2026-09-08: break endAt server-generated; endpoint takes no body.</t>
        </is>
      </c>
    </row>
    <row r="92">
      <c r="A92" s="12" t="inlineStr">
        <is>
          <t>AC-004-002-03</t>
        </is>
      </c>
      <c r="B92" s="12" t="inlineStr">
        <is>
          <t>US-004-002</t>
        </is>
      </c>
      <c r="C92" s="12" t="inlineStr">
        <is>
          <t>EP-004</t>
        </is>
      </c>
      <c r="D92" s="12" t="inlineStr">
        <is>
          <t>Break duration is calculated automatically.</t>
        </is>
      </c>
      <c r="E92" s="12" t="str"/>
      <c r="F92" s="12" t="inlineStr">
        <is>
          <t>Pass</t>
        </is>
      </c>
      <c r="G92" s="12" t="str"/>
      <c r="H92" s="12" t="str"/>
      <c r="I92" s="12" t="inlineStr">
        <is>
          <t>Claude (AI Engineer)</t>
        </is>
      </c>
      <c r="J92" s="12" t="inlineStr">
        <is>
          <t>SIT</t>
        </is>
      </c>
      <c r="K92" s="12" t="inlineStr">
        <is>
          <t>Live test 2026-09-08: break record persists both startAt and endAt with no client input; duration is directly derivable.</t>
        </is>
      </c>
    </row>
    <row r="93">
      <c r="A93" s="12" t="inlineStr">
        <is>
          <t>AC-004-002-04</t>
        </is>
      </c>
      <c r="B93" s="12" t="inlineStr">
        <is>
          <t>US-004-002</t>
        </is>
      </c>
      <c r="C93" s="12" t="inlineStr">
        <is>
          <t>EP-004</t>
        </is>
      </c>
      <c r="D93" s="12" t="inlineStr">
        <is>
          <t>Dashboard returns to Working state.</t>
        </is>
      </c>
      <c r="E93" s="12" t="str"/>
      <c r="F93" s="12" t="inlineStr">
        <is>
          <t>Pass</t>
        </is>
      </c>
      <c r="G93" s="12" t="str"/>
      <c r="H93" s="12" t="str"/>
      <c r="I93" s="12" t="inlineStr">
        <is>
          <t>Claude (AI Engineer)</t>
        </is>
      </c>
      <c r="J93" s="12" t="inlineStr">
        <is>
          <t>SIT</t>
        </is>
      </c>
      <c r="K93" s="12" t="inlineStr">
        <is>
          <t>Live test 2026-09-08: GET /attendance/state after ending the break -&gt; state=WORKING.</t>
        </is>
      </c>
    </row>
    <row r="94">
      <c r="A94" s="12" t="inlineStr">
        <is>
          <t>AC-004-003-01</t>
        </is>
      </c>
      <c r="B94" s="12" t="inlineStr">
        <is>
          <t>US-004-003</t>
        </is>
      </c>
      <c r="C94" s="12" t="inlineStr">
        <is>
          <t>EP-004</t>
        </is>
      </c>
      <c r="D94" s="12" t="inlineStr">
        <is>
          <t>Each break creates a separate break record.</t>
        </is>
      </c>
      <c r="E94" s="12" t="str"/>
      <c r="F94" s="12" t="inlineStr">
        <is>
          <t>Pass</t>
        </is>
      </c>
      <c r="G94" s="12" t="str"/>
      <c r="H94" s="12" t="str"/>
      <c r="I94" s="12" t="inlineStr">
        <is>
          <t>Claude (AI Engineer)</t>
        </is>
      </c>
      <c r="J94" s="12" t="inlineStr">
        <is>
          <t>SIT</t>
        </is>
      </c>
      <c r="K94" s="12" t="inlineStr">
        <is>
          <t>Verified: e2e test asserts break1End.body.id !== break2End.body.id (two sequential breaks in one session get distinct record IDs). apps/api/test/app.e2e-spec.ts, "Multiple breaks in one day" describe block, explicitly commented as covering this AC.</t>
        </is>
      </c>
    </row>
    <row r="95">
      <c r="A95" s="12" t="inlineStr">
        <is>
          <t>AC-004-003-02</t>
        </is>
      </c>
      <c r="B95" s="12" t="inlineStr">
        <is>
          <t>US-004-003</t>
        </is>
      </c>
      <c r="C95" s="12" t="inlineStr">
        <is>
          <t>EP-004</t>
        </is>
      </c>
      <c r="D95" s="12" t="inlineStr">
        <is>
          <t>Breaks cannot overlap.</t>
        </is>
      </c>
      <c r="E95" s="12" t="str"/>
      <c r="F95" s="12" t="inlineStr">
        <is>
          <t>Pass</t>
        </is>
      </c>
      <c r="G95" s="12" t="str"/>
      <c r="H95" s="12" t="str"/>
      <c r="I95" s="12" t="inlineStr">
        <is>
          <t>Claude (AI Engineer)</t>
        </is>
      </c>
      <c r="J95" s="12" t="inlineStr">
        <is>
          <t>SIT</t>
        </is>
      </c>
      <c r="K95" s="12" t="inlineStr">
        <is>
          <t>Verified by e2e test: second break's start is not before the first break's end.</t>
        </is>
      </c>
    </row>
    <row r="96">
      <c r="A96" s="12" t="inlineStr">
        <is>
          <t>AC-004-003-03</t>
        </is>
      </c>
      <c r="B96" s="12" t="inlineStr">
        <is>
          <t>US-004-003</t>
        </is>
      </c>
      <c r="C96" s="12" t="inlineStr">
        <is>
          <t>EP-004</t>
        </is>
      </c>
      <c r="D96" s="12" t="inlineStr">
        <is>
          <t>Daily break total equals sum of completed break durations.</t>
        </is>
      </c>
      <c r="E96" s="12" t="str"/>
      <c r="F96" s="12" t="inlineStr">
        <is>
          <t>Pass</t>
        </is>
      </c>
      <c r="G96" s="12" t="str"/>
      <c r="H96" s="12" t="str"/>
      <c r="I96" s="12" t="inlineStr">
        <is>
          <t>Claude (AI Engineer)</t>
        </is>
      </c>
      <c r="J96" s="12" t="inlineStr">
        <is>
          <t>SIT</t>
        </is>
      </c>
      <c r="K96" s="12" t="inlineStr">
        <is>
          <t>FIXED 2026-09-08: found that no "daily break total" was computed or displayed anywhere in the product (API or UI), despite the exact figure being calculated internally by calculateNetWorkingMinutes and discarded. Extracted calculateBreakMinutes() (commit e7ee430), wired through reconciliation.service.ts and the My Day dashboard. Two new unit tests. Re-verified live post-deploy: breakMinutes now present in GET /reconciliation/me.</t>
        </is>
      </c>
    </row>
    <row r="97">
      <c r="A97" s="12" t="inlineStr">
        <is>
          <t>AC-004-003-04</t>
        </is>
      </c>
      <c r="B97" s="12" t="inlineStr">
        <is>
          <t>US-004-003</t>
        </is>
      </c>
      <c r="C97" s="12" t="inlineStr">
        <is>
          <t>EP-004</t>
        </is>
      </c>
      <c r="D97" s="12" t="inlineStr">
        <is>
          <t>All break records remain linked to the attendance session.</t>
        </is>
      </c>
      <c r="E97" s="12" t="str"/>
      <c r="F97" s="12" t="inlineStr">
        <is>
          <t>Pass</t>
        </is>
      </c>
      <c r="G97" s="12" t="str"/>
      <c r="H97" s="12" t="str"/>
      <c r="I97" s="12" t="inlineStr">
        <is>
          <t>Claude (AI Engineer)</t>
        </is>
      </c>
      <c r="J97" s="12" t="inlineStr">
        <is>
          <t>SIT</t>
        </is>
      </c>
      <c r="K97" s="12" t="inlineStr">
        <is>
          <t>Verified by e2e test: both breaks share the same attendanceSessionId.</t>
        </is>
      </c>
    </row>
    <row r="98">
      <c r="A98" s="12" t="inlineStr">
        <is>
          <t>AC-004-004-01</t>
        </is>
      </c>
      <c r="B98" s="12" t="inlineStr">
        <is>
          <t>US-004-004</t>
        </is>
      </c>
      <c r="C98" s="12" t="inlineStr">
        <is>
          <t>EP-004</t>
        </is>
      </c>
      <c r="D98" s="12" t="inlineStr">
        <is>
          <t>Starting a break checks for an active task timer.</t>
        </is>
      </c>
      <c r="E98" s="12" t="str"/>
      <c r="F98" s="12" t="inlineStr">
        <is>
          <t>Pass</t>
        </is>
      </c>
      <c r="G98" s="12" t="str"/>
      <c r="H98" s="12" t="str"/>
      <c r="I98" s="12" t="inlineStr">
        <is>
          <t>Claude (AI Engineer)</t>
        </is>
      </c>
      <c r="J98" s="12" t="inlineStr">
        <is>
          <t>SIT</t>
        </is>
      </c>
      <c r="K98" s="12" t="inlineStr">
        <is>
          <t>Live test 2026-09-08: an active task timer existed and was detected/paused as part of the break/start call.</t>
        </is>
      </c>
    </row>
    <row r="99">
      <c r="A99" s="12" t="inlineStr">
        <is>
          <t>AC-004-004-02</t>
        </is>
      </c>
      <c r="B99" s="12" t="inlineStr">
        <is>
          <t>US-004-004</t>
        </is>
      </c>
      <c r="C99" s="12" t="inlineStr">
        <is>
          <t>EP-004</t>
        </is>
      </c>
      <c r="D99" s="12" t="inlineStr">
        <is>
          <t>Active task timer is paused using the same effective server boundary timestamp.</t>
        </is>
      </c>
      <c r="E99" s="12" t="str"/>
      <c r="F99" s="12" t="inlineStr">
        <is>
          <t>Pass</t>
        </is>
      </c>
      <c r="G99" s="12" t="str"/>
      <c r="H99" s="12" t="str"/>
      <c r="I99" s="12" t="inlineStr">
        <is>
          <t>Claude (AI Engineer)</t>
        </is>
      </c>
      <c r="J99" s="12" t="inlineStr">
        <is>
          <t>SIT</t>
        </is>
      </c>
      <c r="K99" s="12" t="inlineStr">
        <is>
          <t>Code-verified: breaks.service.ts startBreak() closes the task timer in the same $transaction as the break creation - one server `now` for both, not a later separate write.</t>
        </is>
      </c>
    </row>
    <row r="100">
      <c r="A100" s="12" t="inlineStr">
        <is>
          <t>AC-004-004-03</t>
        </is>
      </c>
      <c r="B100" s="12" t="inlineStr">
        <is>
          <t>US-004-004</t>
        </is>
      </c>
      <c r="C100" s="12" t="inlineStr">
        <is>
          <t>EP-004</t>
        </is>
      </c>
      <c r="D100" s="12" t="inlineStr">
        <is>
          <t>User is informed which task was paused.</t>
        </is>
      </c>
      <c r="E100" s="12" t="str"/>
      <c r="F100" s="12" t="inlineStr">
        <is>
          <t>Pass</t>
        </is>
      </c>
      <c r="G100" s="12" t="str"/>
      <c r="H100" s="12" t="str"/>
      <c r="I100" s="12" t="inlineStr">
        <is>
          <t>Claude (AI Engineer)</t>
        </is>
      </c>
      <c r="J100" s="12" t="inlineStr">
        <is>
          <t>SIT</t>
        </is>
      </c>
      <c r="K100" s="12" t="inlineStr">
        <is>
          <t>Live test 2026-09-08: break/start response includes pausedTask.title, naming exactly which task was paused.</t>
        </is>
      </c>
    </row>
    <row r="101">
      <c r="A101" s="12" t="inlineStr">
        <is>
          <t>AC-004-004-04</t>
        </is>
      </c>
      <c r="B101" s="12" t="inlineStr">
        <is>
          <t>US-004-004</t>
        </is>
      </c>
      <c r="C101" s="12" t="inlineStr">
        <is>
          <t>EP-004</t>
        </is>
      </c>
      <c r="D101" s="12" t="inlineStr">
        <is>
          <t>Ending break does not automatically resume the task without user confirmation.</t>
        </is>
      </c>
      <c r="E101" s="12" t="str"/>
      <c r="F101" s="12" t="inlineStr">
        <is>
          <t>Pass</t>
        </is>
      </c>
      <c r="G101" s="12" t="str"/>
      <c r="H101" s="12" t="str"/>
      <c r="I101" s="12" t="inlineStr">
        <is>
          <t>Claude (AI Engineer)</t>
        </is>
      </c>
      <c r="J101" s="12" t="inlineStr">
        <is>
          <t>SIT</t>
        </is>
      </c>
      <c r="K101" s="12" t="inlineStr">
        <is>
          <t>Live test 2026-09-08: activeTimer is null after ending a break with no explicit resume call - no auto-resume.</t>
        </is>
      </c>
    </row>
    <row r="102">
      <c r="A102" s="12" t="inlineStr">
        <is>
          <t>AC-004-005-01</t>
        </is>
      </c>
      <c r="B102" s="12" t="inlineStr">
        <is>
          <t>US-004-005</t>
        </is>
      </c>
      <c r="C102" s="12" t="inlineStr">
        <is>
          <t>EP-004</t>
        </is>
      </c>
      <c r="D102" s="12" t="inlineStr">
        <is>
          <t>Attendance detail shows each break start/end/duration.</t>
        </is>
      </c>
      <c r="E102" s="12" t="str"/>
      <c r="F102" s="12" t="inlineStr">
        <is>
          <t>Pass</t>
        </is>
      </c>
      <c r="G102" s="12" t="str"/>
      <c r="H102" s="12" t="str"/>
      <c r="I102" s="12" t="inlineStr">
        <is>
          <t>Claude (AI Engineer)</t>
        </is>
      </c>
      <c r="J102" s="12" t="inlineStr">
        <is>
          <t>SIT</t>
        </is>
      </c>
      <c r="K102" s="12" t="inlineStr">
        <is>
          <t>Live test 2026-09-08: attendance detail lists every break record with start/end/status.</t>
        </is>
      </c>
    </row>
    <row r="103">
      <c r="A103" s="12" t="inlineStr">
        <is>
          <t>AC-004-005-02</t>
        </is>
      </c>
      <c r="B103" s="12" t="inlineStr">
        <is>
          <t>US-004-005</t>
        </is>
      </c>
      <c r="C103" s="12" t="inlineStr">
        <is>
          <t>EP-004</t>
        </is>
      </c>
      <c r="D103" s="12" t="inlineStr">
        <is>
          <t>Incomplete break is clearly marked.</t>
        </is>
      </c>
      <c r="E103" s="12" t="str"/>
      <c r="F103" s="12" t="inlineStr">
        <is>
          <t>Pass</t>
        </is>
      </c>
      <c r="G103" s="12" t="str"/>
      <c r="H103" s="12" t="str"/>
      <c r="I103" s="12" t="inlineStr">
        <is>
          <t>Claude (AI Engineer)</t>
        </is>
      </c>
      <c r="J103" s="12" t="inlineStr">
        <is>
          <t>SIT</t>
        </is>
      </c>
      <c r="K103" s="12" t="inlineStr">
        <is>
          <t>Live test 2026-09-08: a still-open break shows status=ACTIVE and endAt=null, clearly distinct from a completed one.</t>
        </is>
      </c>
    </row>
    <row r="104">
      <c r="A104" s="12" t="inlineStr">
        <is>
          <t>AC-004-005-03</t>
        </is>
      </c>
      <c r="B104" s="12" t="inlineStr">
        <is>
          <t>US-004-005</t>
        </is>
      </c>
      <c r="C104" s="12" t="inlineStr">
        <is>
          <t>EP-004</t>
        </is>
      </c>
      <c r="D104" s="12" t="inlineStr">
        <is>
          <t>Break total reconciles to net working calculation.</t>
        </is>
      </c>
      <c r="E104" s="12" t="str"/>
      <c r="F104" s="12" t="inlineStr">
        <is>
          <t>Pass</t>
        </is>
      </c>
      <c r="G104" s="12" t="str"/>
      <c r="H104" s="12" t="str"/>
      <c r="I104" s="12" t="inlineStr">
        <is>
          <t>Claude (AI Engineer)</t>
        </is>
      </c>
      <c r="J104" s="12" t="inlineStr">
        <is>
          <t>SIT</t>
        </is>
      </c>
      <c r="K104" s="12" t="inlineStr">
        <is>
          <t>Same evidence as AC-003-002-03/AC-004-003-03 - breakMinutes and netWorkingMinutes are computed from the same break records by the same reconcile() call, so they reconcile by construction, not by coincidence.</t>
        </is>
      </c>
    </row>
    <row r="105">
      <c r="A105" s="12" t="inlineStr">
        <is>
          <t>AC-004-005-04</t>
        </is>
      </c>
      <c r="B105" s="12" t="inlineStr">
        <is>
          <t>US-004-005</t>
        </is>
      </c>
      <c r="C105" s="12" t="inlineStr">
        <is>
          <t>EP-004</t>
        </is>
      </c>
      <c r="D105" s="12" t="inlineStr">
        <is>
          <t>User cannot alter final break records without correction workflow.</t>
        </is>
      </c>
      <c r="E105" s="12" t="str"/>
      <c r="F105" s="12" t="inlineStr">
        <is>
          <t>Pass</t>
        </is>
      </c>
      <c r="G105" s="12" t="str"/>
      <c r="H105" s="12" t="str"/>
      <c r="I105" s="12" t="inlineStr">
        <is>
          <t>Claude (AI Engineer)</t>
        </is>
      </c>
      <c r="J105" s="12" t="inlineStr">
        <is>
          <t>SIT</t>
        </is>
      </c>
      <c r="K105" s="12" t="inlineStr">
        <is>
          <t>Code-verified: breaks.controller.ts exposes only POST /breaks/start and /breaks/end (no body, act on "the current" break/session) - there is no PATCH/PUT/DELETE route for a break record by ID. Only the corrections workflow can alter a finalized record.</t>
        </is>
      </c>
    </row>
    <row r="106">
      <c r="A106" s="12" t="inlineStr">
        <is>
          <t>AC-004-006-01</t>
        </is>
      </c>
      <c r="B106" s="12" t="inlineStr">
        <is>
          <t>US-004-006</t>
        </is>
      </c>
      <c r="C106" s="12" t="inlineStr">
        <is>
          <t>EP-004</t>
        </is>
      </c>
      <c r="D106" s="12" t="inlineStr">
        <is>
          <t>Report can filter by user and date range.</t>
        </is>
      </c>
      <c r="E106" s="12" t="str"/>
      <c r="F106" s="12" t="inlineStr">
        <is>
          <t>Pass</t>
        </is>
      </c>
      <c r="G106" s="12" t="str"/>
      <c r="H106" s="12" t="str"/>
      <c r="I106" s="12" t="inlineStr">
        <is>
          <t>Claude (AI Engineer)</t>
        </is>
      </c>
      <c r="J106" s="12" t="inlineStr">
        <is>
          <t>SIT</t>
        </is>
      </c>
      <c r="K106" s="12" t="inlineStr">
        <is>
          <t>Live test 2026-09-08: admin GET /reports/breaks?userId=...&amp;from=...&amp;to=... returns only that user's break rows for the range.</t>
        </is>
      </c>
    </row>
    <row r="107">
      <c r="A107" s="12" t="inlineStr">
        <is>
          <t>AC-004-006-02</t>
        </is>
      </c>
      <c r="B107" s="12" t="inlineStr">
        <is>
          <t>US-004-006</t>
        </is>
      </c>
      <c r="C107" s="12" t="inlineStr">
        <is>
          <t>EP-004</t>
        </is>
      </c>
      <c r="D107" s="12" t="inlineStr">
        <is>
          <t>Report shows individual break periods and daily totals.</t>
        </is>
      </c>
      <c r="E107" s="12" t="str"/>
      <c r="F107" s="12" t="inlineStr">
        <is>
          <t>Pass</t>
        </is>
      </c>
      <c r="G107" s="12" t="str"/>
      <c r="H107" s="12" t="str"/>
      <c r="I107" s="12" t="inlineStr">
        <is>
          <t>Claude (AI Engineer)</t>
        </is>
      </c>
      <c r="J107" s="12" t="inlineStr">
        <is>
          <t>SIT</t>
        </is>
      </c>
      <c r="K107" s="12" t="inlineStr">
        <is>
          <t>Live test 2026-09-08: report rows include date, employee, start, end, durationMinutes, status.</t>
        </is>
      </c>
    </row>
    <row r="108">
      <c r="A108" s="12" t="inlineStr">
        <is>
          <t>AC-004-006-03</t>
        </is>
      </c>
      <c r="B108" s="12" t="inlineStr">
        <is>
          <t>US-004-006</t>
        </is>
      </c>
      <c r="C108" s="12" t="inlineStr">
        <is>
          <t>EP-004</t>
        </is>
      </c>
      <c r="D108" s="12" t="inlineStr">
        <is>
          <t>Active breaks are distinguished from completed breaks.</t>
        </is>
      </c>
      <c r="E108" s="12" t="str"/>
      <c r="F108" s="12" t="inlineStr">
        <is>
          <t>Pass</t>
        </is>
      </c>
      <c r="G108" s="12" t="str"/>
      <c r="H108" s="12" t="str"/>
      <c r="I108" s="12" t="inlineStr">
        <is>
          <t>Claude (AI Engineer)</t>
        </is>
      </c>
      <c r="J108" s="12" t="inlineStr">
        <is>
          <t>SIT</t>
        </is>
      </c>
      <c r="K108" s="12" t="inlineStr">
        <is>
          <t>Live test 2026-09-08: queried while one break was still open - report rows showed both ACTIVE and COMPLETED in the same result set.</t>
        </is>
      </c>
    </row>
    <row r="109">
      <c r="A109" s="12" t="inlineStr">
        <is>
          <t>AC-004-006-04</t>
        </is>
      </c>
      <c r="B109" s="12" t="inlineStr">
        <is>
          <t>US-004-006</t>
        </is>
      </c>
      <c r="C109" s="12" t="inlineStr">
        <is>
          <t>EP-004</t>
        </is>
      </c>
      <c r="D109" s="12" t="inlineStr">
        <is>
          <t>Export respects selected filters.</t>
        </is>
      </c>
      <c r="E109" s="12" t="str"/>
      <c r="F109" s="12" t="inlineStr">
        <is>
          <t>Pass</t>
        </is>
      </c>
      <c r="G109" s="12" t="str"/>
      <c r="H109" s="12" t="str"/>
      <c r="I109" s="12" t="inlineStr">
        <is>
          <t>Claude (AI Engineer)</t>
        </is>
      </c>
      <c r="J109" s="12" t="inlineStr">
        <is>
          <t>SIT</t>
        </is>
      </c>
      <c r="K109" s="12" t="inlineStr">
        <is>
          <t>Live test 2026-09-08: format=csv returns content-type text/csv (same filtered query as the JSON request).</t>
        </is>
      </c>
    </row>
    <row r="110">
      <c r="A110" s="12" t="inlineStr">
        <is>
          <t>AC-005-001-01</t>
        </is>
      </c>
      <c r="B110" s="12" t="inlineStr">
        <is>
          <t>US-005-001</t>
        </is>
      </c>
      <c r="C110" s="12" t="inlineStr">
        <is>
          <t>EP-005</t>
        </is>
      </c>
      <c r="D110" s="12" t="inlineStr">
        <is>
          <t>Task requires a title.</t>
        </is>
      </c>
      <c r="E110" s="12" t="str"/>
      <c r="F110" s="12" t="inlineStr">
        <is>
          <t>Not Tested</t>
        </is>
      </c>
      <c r="G110" s="12" t="str"/>
      <c r="H110" s="12" t="str"/>
      <c r="I110" s="12" t="inlineStr">
        <is>
          <t>Claude (AI Engineer)</t>
        </is>
      </c>
      <c r="J110" s="12" t="inlineStr">
        <is>
          <t>SIT</t>
        </is>
      </c>
      <c r="K110" s="12" t="n"/>
    </row>
    <row r="111">
      <c r="A111" s="12" t="inlineStr">
        <is>
          <t>AC-005-001-02</t>
        </is>
      </c>
      <c r="B111" s="12" t="inlineStr">
        <is>
          <t>US-005-001</t>
        </is>
      </c>
      <c r="C111" s="12" t="inlineStr">
        <is>
          <t>EP-005</t>
        </is>
      </c>
      <c r="D111" s="12" t="inlineStr">
        <is>
          <t>Task may include description, priority, due date and estimated time.</t>
        </is>
      </c>
      <c r="E111" s="12" t="str"/>
      <c r="F111" s="12" t="inlineStr">
        <is>
          <t>Not Tested</t>
        </is>
      </c>
      <c r="G111" s="12" t="str"/>
      <c r="H111" s="12" t="str"/>
      <c r="I111" s="12" t="inlineStr">
        <is>
          <t>Claude (AI Engineer)</t>
        </is>
      </c>
      <c r="J111" s="12" t="inlineStr">
        <is>
          <t>SIT</t>
        </is>
      </c>
      <c r="K111" s="12" t="inlineStr">
        <is>
          <t>Feature implemented; not yet individually verified by an automated or manual test.</t>
        </is>
      </c>
    </row>
    <row r="112">
      <c r="A112" s="12" t="inlineStr">
        <is>
          <t>AC-005-001-03</t>
        </is>
      </c>
      <c r="B112" s="12" t="inlineStr">
        <is>
          <t>US-005-001</t>
        </is>
      </c>
      <c r="C112" s="12" t="inlineStr">
        <is>
          <t>EP-005</t>
        </is>
      </c>
      <c r="D112" s="12" t="inlineStr">
        <is>
          <t>New task receives a unique ID.</t>
        </is>
      </c>
      <c r="E112" s="12" t="str"/>
      <c r="F112" s="12" t="inlineStr">
        <is>
          <t>Not Tested</t>
        </is>
      </c>
      <c r="G112" s="12" t="str"/>
      <c r="H112" s="12" t="str"/>
      <c r="I112" s="12" t="inlineStr">
        <is>
          <t>Claude (AI Engineer)</t>
        </is>
      </c>
      <c r="J112" s="12" t="inlineStr">
        <is>
          <t>SIT</t>
        </is>
      </c>
      <c r="K112" s="12" t="n"/>
    </row>
    <row r="113">
      <c r="A113" s="12" t="inlineStr">
        <is>
          <t>AC-005-001-04</t>
        </is>
      </c>
      <c r="B113" s="12" t="inlineStr">
        <is>
          <t>US-005-001</t>
        </is>
      </c>
      <c r="C113" s="12" t="inlineStr">
        <is>
          <t>EP-005</t>
        </is>
      </c>
      <c r="D113" s="12" t="inlineStr">
        <is>
          <t>Creation is audited.</t>
        </is>
      </c>
      <c r="E113" s="12" t="str"/>
      <c r="F113" s="12" t="inlineStr">
        <is>
          <t>Not Tested</t>
        </is>
      </c>
      <c r="G113" s="12" t="str"/>
      <c r="H113" s="12" t="str"/>
      <c r="I113" s="12" t="inlineStr">
        <is>
          <t>Claude (AI Engineer)</t>
        </is>
      </c>
      <c r="J113" s="12" t="inlineStr">
        <is>
          <t>SIT</t>
        </is>
      </c>
      <c r="K113" s="12" t="n"/>
    </row>
    <row r="114">
      <c r="A114" s="12" t="inlineStr">
        <is>
          <t>AC-005-002-01</t>
        </is>
      </c>
      <c r="B114" s="12" t="inlineStr">
        <is>
          <t>US-005-002</t>
        </is>
      </c>
      <c r="C114" s="12" t="inlineStr">
        <is>
          <t>EP-005</t>
        </is>
      </c>
      <c r="D114" s="12" t="inlineStr">
        <is>
          <t>Organisation setting controls whether employees may create tasks.</t>
        </is>
      </c>
      <c r="E114" s="12" t="str"/>
      <c r="F114" s="12" t="inlineStr">
        <is>
          <t>Not Tested</t>
        </is>
      </c>
      <c r="G114" s="12" t="str"/>
      <c r="H114" s="12" t="str"/>
      <c r="I114" s="12" t="inlineStr">
        <is>
          <t>Claude (AI Engineer)</t>
        </is>
      </c>
      <c r="J114" s="12" t="inlineStr">
        <is>
          <t>SIT</t>
        </is>
      </c>
      <c r="K114" s="12" t="inlineStr">
        <is>
          <t>Feature implemented; not yet individually verified by an automated or manual test.</t>
        </is>
      </c>
    </row>
    <row r="115">
      <c r="A115" s="12" t="inlineStr">
        <is>
          <t>AC-005-002-02</t>
        </is>
      </c>
      <c r="B115" s="12" t="inlineStr">
        <is>
          <t>US-005-002</t>
        </is>
      </c>
      <c r="C115" s="12" t="inlineStr">
        <is>
          <t>EP-005</t>
        </is>
      </c>
      <c r="D115" s="12" t="inlineStr">
        <is>
          <t>Employee-created task defaults to that employee unless reassigned by admin.</t>
        </is>
      </c>
      <c r="E115" s="12" t="str"/>
      <c r="F115" s="12" t="inlineStr">
        <is>
          <t>Not Tested</t>
        </is>
      </c>
      <c r="G115" s="12" t="str"/>
      <c r="H115" s="12" t="str"/>
      <c r="I115" s="12" t="inlineStr">
        <is>
          <t>Claude (AI Engineer)</t>
        </is>
      </c>
      <c r="J115" s="12" t="inlineStr">
        <is>
          <t>SIT</t>
        </is>
      </c>
      <c r="K115" s="12" t="inlineStr">
        <is>
          <t>Feature implemented; not yet individually verified by an automated or manual test.</t>
        </is>
      </c>
    </row>
    <row r="116">
      <c r="A116" s="12" t="inlineStr">
        <is>
          <t>AC-005-002-03</t>
        </is>
      </c>
      <c r="B116" s="12" t="inlineStr">
        <is>
          <t>US-005-002</t>
        </is>
      </c>
      <c r="C116" s="12" t="inlineStr">
        <is>
          <t>EP-005</t>
        </is>
      </c>
      <c r="D116" s="12" t="inlineStr">
        <is>
          <t>Required task fields are validated.</t>
        </is>
      </c>
      <c r="E116" s="12" t="str"/>
      <c r="F116" s="12" t="inlineStr">
        <is>
          <t>Not Tested</t>
        </is>
      </c>
      <c r="G116" s="12" t="str"/>
      <c r="H116" s="12" t="str"/>
      <c r="I116" s="12" t="inlineStr">
        <is>
          <t>Claude (AI Engineer)</t>
        </is>
      </c>
      <c r="J116" s="12" t="inlineStr">
        <is>
          <t>SIT</t>
        </is>
      </c>
      <c r="K116" s="12" t="inlineStr">
        <is>
          <t>Feature implemented; not yet individually verified by an automated or manual test.</t>
        </is>
      </c>
    </row>
    <row r="117">
      <c r="A117" s="12" t="inlineStr">
        <is>
          <t>AC-005-002-04</t>
        </is>
      </c>
      <c r="B117" s="12" t="inlineStr">
        <is>
          <t>US-005-002</t>
        </is>
      </c>
      <c r="C117" s="12" t="inlineStr">
        <is>
          <t>EP-005</t>
        </is>
      </c>
      <c r="D117" s="12" t="inlineStr">
        <is>
          <t>Created task is immediately available for timer start.</t>
        </is>
      </c>
      <c r="E117" s="12" t="str"/>
      <c r="F117" s="12" t="inlineStr">
        <is>
          <t>Not Tested</t>
        </is>
      </c>
      <c r="G117" s="12" t="str"/>
      <c r="H117" s="12" t="str"/>
      <c r="I117" s="12" t="inlineStr">
        <is>
          <t>Claude (AI Engineer)</t>
        </is>
      </c>
      <c r="J117" s="12" t="inlineStr">
        <is>
          <t>SIT</t>
        </is>
      </c>
      <c r="K117" s="12" t="inlineStr">
        <is>
          <t>Feature implemented; not yet individually verified by an automated or manual test.</t>
        </is>
      </c>
    </row>
    <row r="118">
      <c r="A118" s="12" t="inlineStr">
        <is>
          <t>AC-005-003-01</t>
        </is>
      </c>
      <c r="B118" s="12" t="inlineStr">
        <is>
          <t>US-005-003</t>
        </is>
      </c>
      <c r="C118" s="12" t="inlineStr">
        <is>
          <t>EP-005</t>
        </is>
      </c>
      <c r="D118" s="12" t="inlineStr">
        <is>
          <t>Task can be assigned to an Active user.</t>
        </is>
      </c>
      <c r="E118" s="12" t="str"/>
      <c r="F118" s="12" t="inlineStr">
        <is>
          <t>Not Tested</t>
        </is>
      </c>
      <c r="G118" s="12" t="str"/>
      <c r="H118" s="12" t="str"/>
      <c r="I118" s="12" t="inlineStr">
        <is>
          <t>Claude (AI Engineer)</t>
        </is>
      </c>
      <c r="J118" s="12" t="inlineStr">
        <is>
          <t>SIT</t>
        </is>
      </c>
      <c r="K118" s="12" t="n"/>
    </row>
    <row r="119">
      <c r="A119" s="12" t="inlineStr">
        <is>
          <t>AC-005-003-02</t>
        </is>
      </c>
      <c r="B119" s="12" t="inlineStr">
        <is>
          <t>US-005-003</t>
        </is>
      </c>
      <c r="C119" s="12" t="inlineStr">
        <is>
          <t>EP-005</t>
        </is>
      </c>
      <c r="D119" s="12" t="inlineStr">
        <is>
          <t>Assignment is visible to the assignee.</t>
        </is>
      </c>
      <c r="E119" s="12" t="str"/>
      <c r="F119" s="12" t="inlineStr">
        <is>
          <t>Not Tested</t>
        </is>
      </c>
      <c r="G119" s="12" t="str"/>
      <c r="H119" s="12" t="str"/>
      <c r="I119" s="12" t="inlineStr">
        <is>
          <t>Claude (AI Engineer)</t>
        </is>
      </c>
      <c r="J119" s="12" t="inlineStr">
        <is>
          <t>SIT</t>
        </is>
      </c>
      <c r="K119" s="12" t="n"/>
    </row>
    <row r="120">
      <c r="A120" s="12" t="inlineStr">
        <is>
          <t>AC-005-003-03</t>
        </is>
      </c>
      <c r="B120" s="12" t="inlineStr">
        <is>
          <t>US-005-003</t>
        </is>
      </c>
      <c r="C120" s="12" t="inlineStr">
        <is>
          <t>EP-005</t>
        </is>
      </c>
      <c r="D120" s="12" t="inlineStr">
        <is>
          <t>Reassignment does not change historical task time ownership.</t>
        </is>
      </c>
      <c r="E120" s="12" t="str"/>
      <c r="F120" s="12" t="inlineStr">
        <is>
          <t>Not Tested</t>
        </is>
      </c>
      <c r="G120" s="12" t="str"/>
      <c r="H120" s="12" t="str"/>
      <c r="I120" s="12" t="inlineStr">
        <is>
          <t>Claude (AI Engineer)</t>
        </is>
      </c>
      <c r="J120" s="12" t="inlineStr">
        <is>
          <t>SIT</t>
        </is>
      </c>
      <c r="K120" s="12" t="inlineStr">
        <is>
          <t>Feature implemented; not yet individually verified by an automated or manual test.</t>
        </is>
      </c>
    </row>
    <row r="121">
      <c r="A121" s="12" t="inlineStr">
        <is>
          <t>AC-005-003-04</t>
        </is>
      </c>
      <c r="B121" s="12" t="inlineStr">
        <is>
          <t>US-005-003</t>
        </is>
      </c>
      <c r="C121" s="12" t="inlineStr">
        <is>
          <t>EP-005</t>
        </is>
      </c>
      <c r="D121" s="12" t="inlineStr">
        <is>
          <t>Assignment change can trigger notification.</t>
        </is>
      </c>
      <c r="E121" s="12" t="str"/>
      <c r="F121" s="12" t="inlineStr">
        <is>
          <t>Not Tested</t>
        </is>
      </c>
      <c r="G121" s="12" t="str"/>
      <c r="H121" s="12" t="str"/>
      <c r="I121" s="12" t="inlineStr">
        <is>
          <t>Claude (AI Engineer)</t>
        </is>
      </c>
      <c r="J121" s="12" t="inlineStr">
        <is>
          <t>SIT</t>
        </is>
      </c>
      <c r="K121" s="12" t="inlineStr">
        <is>
          <t>Feature implemented; not yet individually verified by an automated or manual test.</t>
        </is>
      </c>
    </row>
    <row r="122">
      <c r="A122" s="12" t="inlineStr">
        <is>
          <t>AC-005-004-01</t>
        </is>
      </c>
      <c r="B122" s="12" t="inlineStr">
        <is>
          <t>US-005-004</t>
        </is>
      </c>
      <c r="C122" s="12" t="inlineStr">
        <is>
          <t>EP-005</t>
        </is>
      </c>
      <c r="D122" s="12" t="inlineStr">
        <is>
          <t>Priority supports at least Low, Medium, High and Critical.</t>
        </is>
      </c>
      <c r="E122" s="12" t="str"/>
      <c r="F122" s="12" t="inlineStr">
        <is>
          <t>Not Tested</t>
        </is>
      </c>
      <c r="G122" s="12" t="str"/>
      <c r="H122" s="12" t="str"/>
      <c r="I122" s="12" t="inlineStr">
        <is>
          <t>Claude (AI Engineer)</t>
        </is>
      </c>
      <c r="J122" s="12" t="inlineStr">
        <is>
          <t>SIT</t>
        </is>
      </c>
      <c r="K122" s="12" t="inlineStr">
        <is>
          <t>Feature implemented; not yet individually verified by an automated or manual test.</t>
        </is>
      </c>
    </row>
    <row r="123">
      <c r="A123" s="12" t="inlineStr">
        <is>
          <t>AC-005-004-02</t>
        </is>
      </c>
      <c r="B123" s="12" t="inlineStr">
        <is>
          <t>US-005-004</t>
        </is>
      </c>
      <c r="C123" s="12" t="inlineStr">
        <is>
          <t>EP-005</t>
        </is>
      </c>
      <c r="D123" s="12" t="inlineStr">
        <is>
          <t>Priority is visible in task list/detail.</t>
        </is>
      </c>
      <c r="E123" s="12" t="str"/>
      <c r="F123" s="12" t="inlineStr">
        <is>
          <t>Not Tested</t>
        </is>
      </c>
      <c r="G123" s="12" t="str"/>
      <c r="H123" s="12" t="str"/>
      <c r="I123" s="12" t="inlineStr">
        <is>
          <t>Claude (AI Engineer)</t>
        </is>
      </c>
      <c r="J123" s="12" t="inlineStr">
        <is>
          <t>SIT</t>
        </is>
      </c>
      <c r="K123" s="12" t="inlineStr">
        <is>
          <t>Feature implemented; not yet individually verified by an automated or manual test.</t>
        </is>
      </c>
    </row>
    <row r="124">
      <c r="A124" s="12" t="inlineStr">
        <is>
          <t>AC-005-004-03</t>
        </is>
      </c>
      <c r="B124" s="12" t="inlineStr">
        <is>
          <t>US-005-004</t>
        </is>
      </c>
      <c r="C124" s="12" t="inlineStr">
        <is>
          <t>EP-005</t>
        </is>
      </c>
      <c r="D124" s="12" t="inlineStr">
        <is>
          <t>Task list can filter/sort by priority.</t>
        </is>
      </c>
      <c r="E124" s="12" t="str"/>
      <c r="F124" s="12" t="inlineStr">
        <is>
          <t>Not Tested</t>
        </is>
      </c>
      <c r="G124" s="12" t="str"/>
      <c r="H124" s="12" t="str"/>
      <c r="I124" s="12" t="inlineStr">
        <is>
          <t>Claude (AI Engineer)</t>
        </is>
      </c>
      <c r="J124" s="12" t="inlineStr">
        <is>
          <t>SIT</t>
        </is>
      </c>
      <c r="K124" s="12" t="inlineStr">
        <is>
          <t>Feature implemented; not yet individually verified by an automated or manual test.</t>
        </is>
      </c>
    </row>
    <row r="125">
      <c r="A125" s="12" t="inlineStr">
        <is>
          <t>AC-005-004-04</t>
        </is>
      </c>
      <c r="B125" s="12" t="inlineStr">
        <is>
          <t>US-005-004</t>
        </is>
      </c>
      <c r="C125" s="12" t="inlineStr">
        <is>
          <t>EP-005</t>
        </is>
      </c>
      <c r="D125" s="12" t="inlineStr">
        <is>
          <t>Priority changes are audited.</t>
        </is>
      </c>
      <c r="E125" s="12" t="str"/>
      <c r="F125" s="12" t="inlineStr">
        <is>
          <t>Not Tested</t>
        </is>
      </c>
      <c r="G125" s="12" t="str"/>
      <c r="H125" s="12" t="str"/>
      <c r="I125" s="12" t="inlineStr">
        <is>
          <t>Claude (AI Engineer)</t>
        </is>
      </c>
      <c r="J125" s="12" t="inlineStr">
        <is>
          <t>SIT</t>
        </is>
      </c>
      <c r="K125" s="12" t="inlineStr">
        <is>
          <t>Feature implemented; not yet individually verified by an automated or manual test.</t>
        </is>
      </c>
    </row>
    <row r="126">
      <c r="A126" s="12" t="inlineStr">
        <is>
          <t>AC-005-005-01</t>
        </is>
      </c>
      <c r="B126" s="12" t="inlineStr">
        <is>
          <t>US-005-005</t>
        </is>
      </c>
      <c r="C126" s="12" t="inlineStr">
        <is>
          <t>EP-005</t>
        </is>
      </c>
      <c r="D126" s="12" t="inlineStr">
        <is>
          <t>Estimated duration accepts positive time values.</t>
        </is>
      </c>
      <c r="E126" s="12" t="str"/>
      <c r="F126" s="12" t="inlineStr">
        <is>
          <t>Not Tested</t>
        </is>
      </c>
      <c r="G126" s="12" t="str"/>
      <c r="H126" s="12" t="str"/>
      <c r="I126" s="12" t="inlineStr">
        <is>
          <t>Claude (AI Engineer)</t>
        </is>
      </c>
      <c r="J126" s="12" t="inlineStr">
        <is>
          <t>SIT</t>
        </is>
      </c>
      <c r="K126" s="12" t="inlineStr">
        <is>
          <t>Feature implemented; not yet individually verified by an automated or manual test.</t>
        </is>
      </c>
    </row>
    <row r="127">
      <c r="A127" s="12" t="inlineStr">
        <is>
          <t>AC-005-005-02</t>
        </is>
      </c>
      <c r="B127" s="12" t="inlineStr">
        <is>
          <t>US-005-005</t>
        </is>
      </c>
      <c r="C127" s="12" t="inlineStr">
        <is>
          <t>EP-005</t>
        </is>
      </c>
      <c r="D127" s="12" t="inlineStr">
        <is>
          <t>Estimate is optional.</t>
        </is>
      </c>
      <c r="E127" s="12" t="str"/>
      <c r="F127" s="12" t="inlineStr">
        <is>
          <t>Not Tested</t>
        </is>
      </c>
      <c r="G127" s="12" t="str"/>
      <c r="H127" s="12" t="str"/>
      <c r="I127" s="12" t="inlineStr">
        <is>
          <t>Claude (AI Engineer)</t>
        </is>
      </c>
      <c r="J127" s="12" t="inlineStr">
        <is>
          <t>SIT</t>
        </is>
      </c>
      <c r="K127" s="12" t="inlineStr">
        <is>
          <t>Feature implemented; not yet individually verified by an automated or manual test.</t>
        </is>
      </c>
    </row>
    <row r="128">
      <c r="A128" s="12" t="inlineStr">
        <is>
          <t>AC-005-005-03</t>
        </is>
      </c>
      <c r="B128" s="12" t="inlineStr">
        <is>
          <t>US-005-005</t>
        </is>
      </c>
      <c r="C128" s="12" t="inlineStr">
        <is>
          <t>EP-005</t>
        </is>
      </c>
      <c r="D128" s="12" t="inlineStr">
        <is>
          <t>Actual time is calculated from recorded task time entries.</t>
        </is>
      </c>
      <c r="E128" s="12" t="str"/>
      <c r="F128" s="12" t="inlineStr">
        <is>
          <t>Not Tested</t>
        </is>
      </c>
      <c r="G128" s="12" t="str"/>
      <c r="H128" s="12" t="str"/>
      <c r="I128" s="12" t="inlineStr">
        <is>
          <t>Claude (AI Engineer)</t>
        </is>
      </c>
      <c r="J128" s="12" t="inlineStr">
        <is>
          <t>SIT</t>
        </is>
      </c>
      <c r="K128" s="12" t="inlineStr">
        <is>
          <t>Feature implemented; not yet individually verified by an automated or manual test.</t>
        </is>
      </c>
    </row>
    <row r="129">
      <c r="A129" s="12" t="inlineStr">
        <is>
          <t>AC-005-005-04</t>
        </is>
      </c>
      <c r="B129" s="12" t="inlineStr">
        <is>
          <t>US-005-005</t>
        </is>
      </c>
      <c r="C129" s="12" t="inlineStr">
        <is>
          <t>EP-005</t>
        </is>
      </c>
      <c r="D129" s="12" t="inlineStr">
        <is>
          <t>Task detail shows estimate versus actual when estimate exists.</t>
        </is>
      </c>
      <c r="E129" s="12" t="str"/>
      <c r="F129" s="12" t="inlineStr">
        <is>
          <t>Not Tested</t>
        </is>
      </c>
      <c r="G129" s="12" t="str"/>
      <c r="H129" s="12" t="str"/>
      <c r="I129" s="12" t="inlineStr">
        <is>
          <t>Claude (AI Engineer)</t>
        </is>
      </c>
      <c r="J129" s="12" t="inlineStr">
        <is>
          <t>SIT</t>
        </is>
      </c>
      <c r="K129" s="12" t="inlineStr">
        <is>
          <t>Feature implemented; not yet individually verified by an automated or manual test.</t>
        </is>
      </c>
    </row>
    <row r="130">
      <c r="A130" s="12" t="inlineStr">
        <is>
          <t>AC-005-006-01</t>
        </is>
      </c>
      <c r="B130" s="12" t="inlineStr">
        <is>
          <t>US-005-006</t>
        </is>
      </c>
      <c r="C130" s="12" t="inlineStr">
        <is>
          <t>EP-005</t>
        </is>
      </c>
      <c r="D130" s="12" t="inlineStr">
        <is>
          <t>Status supports To Do, In Progress, Paused, Completed and Cancelled.</t>
        </is>
      </c>
      <c r="E130" s="12" t="str"/>
      <c r="F130" s="12" t="inlineStr">
        <is>
          <t>Not Tested</t>
        </is>
      </c>
      <c r="G130" s="12" t="str"/>
      <c r="H130" s="12" t="str"/>
      <c r="I130" s="12" t="inlineStr">
        <is>
          <t>Claude (AI Engineer)</t>
        </is>
      </c>
      <c r="J130" s="12" t="inlineStr">
        <is>
          <t>SIT</t>
        </is>
      </c>
      <c r="K130" s="12" t="inlineStr">
        <is>
          <t>Feature implemented; not yet individually verified by an automated or manual test.</t>
        </is>
      </c>
    </row>
    <row r="131">
      <c r="A131" s="12" t="inlineStr">
        <is>
          <t>AC-005-006-02</t>
        </is>
      </c>
      <c r="B131" s="12" t="inlineStr">
        <is>
          <t>US-005-006</t>
        </is>
      </c>
      <c r="C131" s="12" t="inlineStr">
        <is>
          <t>EP-005</t>
        </is>
      </c>
      <c r="D131" s="12" t="inlineStr">
        <is>
          <t>Completed/Cancelled tasks cannot start new timers unless reopened by permitted user.</t>
        </is>
      </c>
      <c r="E131" s="12" t="str"/>
      <c r="F131" s="12" t="inlineStr">
        <is>
          <t>Not Tested</t>
        </is>
      </c>
      <c r="G131" s="12" t="str"/>
      <c r="H131" s="12" t="str"/>
      <c r="I131" s="12" t="inlineStr">
        <is>
          <t>Claude (AI Engineer)</t>
        </is>
      </c>
      <c r="J131" s="12" t="inlineStr">
        <is>
          <t>SIT</t>
        </is>
      </c>
      <c r="K131" s="12" t="inlineStr">
        <is>
          <t>Feature implemented; not yet individually verified by an automated or manual test.</t>
        </is>
      </c>
    </row>
    <row r="132">
      <c r="A132" s="12" t="inlineStr">
        <is>
          <t>AC-005-006-03</t>
        </is>
      </c>
      <c r="B132" s="12" t="inlineStr">
        <is>
          <t>US-005-006</t>
        </is>
      </c>
      <c r="C132" s="12" t="inlineStr">
        <is>
          <t>EP-005</t>
        </is>
      </c>
      <c r="D132" s="12" t="inlineStr">
        <is>
          <t>Starting a timer may automatically set task to In Progress.</t>
        </is>
      </c>
      <c r="E132" s="12" t="str"/>
      <c r="F132" s="12" t="inlineStr">
        <is>
          <t>Not Tested</t>
        </is>
      </c>
      <c r="G132" s="12" t="str"/>
      <c r="H132" s="12" t="str"/>
      <c r="I132" s="12" t="inlineStr">
        <is>
          <t>Claude (AI Engineer)</t>
        </is>
      </c>
      <c r="J132" s="12" t="inlineStr">
        <is>
          <t>SIT</t>
        </is>
      </c>
      <c r="K132" s="12" t="inlineStr">
        <is>
          <t>Feature implemented; not yet individually verified by an automated or manual test.</t>
        </is>
      </c>
    </row>
    <row r="133">
      <c r="A133" s="12" t="inlineStr">
        <is>
          <t>AC-005-006-04</t>
        </is>
      </c>
      <c r="B133" s="12" t="inlineStr">
        <is>
          <t>US-005-006</t>
        </is>
      </c>
      <c r="C133" s="12" t="inlineStr">
        <is>
          <t>EP-005</t>
        </is>
      </c>
      <c r="D133" s="12" t="inlineStr">
        <is>
          <t>Status changes are auditable.</t>
        </is>
      </c>
      <c r="E133" s="12" t="str"/>
      <c r="F133" s="12" t="inlineStr">
        <is>
          <t>Not Tested</t>
        </is>
      </c>
      <c r="G133" s="12" t="str"/>
      <c r="H133" s="12" t="str"/>
      <c r="I133" s="12" t="inlineStr">
        <is>
          <t>Claude (AI Engineer)</t>
        </is>
      </c>
      <c r="J133" s="12" t="inlineStr">
        <is>
          <t>SIT</t>
        </is>
      </c>
      <c r="K133" s="12" t="inlineStr">
        <is>
          <t>Feature implemented; not yet individually verified by an automated or manual test.</t>
        </is>
      </c>
    </row>
    <row r="134">
      <c r="A134" s="12" t="inlineStr">
        <is>
          <t>AC-005-007-01</t>
        </is>
      </c>
      <c r="B134" s="12" t="inlineStr">
        <is>
          <t>US-005-007</t>
        </is>
      </c>
      <c r="C134" s="12" t="inlineStr">
        <is>
          <t>EP-005</t>
        </is>
      </c>
      <c r="D134" s="12" t="inlineStr">
        <is>
          <t>Active timer for the task must be stopped before completion.</t>
        </is>
      </c>
      <c r="E134" s="12" t="str"/>
      <c r="F134" s="12" t="inlineStr">
        <is>
          <t>Not Tested</t>
        </is>
      </c>
      <c r="G134" s="12" t="str"/>
      <c r="H134" s="12" t="str"/>
      <c r="I134" s="12" t="inlineStr">
        <is>
          <t>Claude (AI Engineer)</t>
        </is>
      </c>
      <c r="J134" s="12" t="inlineStr">
        <is>
          <t>SIT</t>
        </is>
      </c>
      <c r="K134" s="12" t="inlineStr">
        <is>
          <t>Feature implemented; not yet individually verified by an automated or manual test.</t>
        </is>
      </c>
    </row>
    <row r="135">
      <c r="A135" s="12" t="inlineStr">
        <is>
          <t>AC-005-007-02</t>
        </is>
      </c>
      <c r="B135" s="12" t="inlineStr">
        <is>
          <t>US-005-007</t>
        </is>
      </c>
      <c r="C135" s="12" t="inlineStr">
        <is>
          <t>EP-005</t>
        </is>
      </c>
      <c r="D135" s="12" t="inlineStr">
        <is>
          <t>Completion timestamp is recorded.</t>
        </is>
      </c>
      <c r="E135" s="12" t="str"/>
      <c r="F135" s="12" t="inlineStr">
        <is>
          <t>Not Tested</t>
        </is>
      </c>
      <c r="G135" s="12" t="str"/>
      <c r="H135" s="12" t="str"/>
      <c r="I135" s="12" t="inlineStr">
        <is>
          <t>Claude (AI Engineer)</t>
        </is>
      </c>
      <c r="J135" s="12" t="inlineStr">
        <is>
          <t>SIT</t>
        </is>
      </c>
      <c r="K135" s="12" t="inlineStr">
        <is>
          <t>Feature implemented; not yet individually verified by an automated or manual test.</t>
        </is>
      </c>
    </row>
    <row r="136">
      <c r="A136" s="12" t="inlineStr">
        <is>
          <t>AC-005-007-03</t>
        </is>
      </c>
      <c r="B136" s="12" t="inlineStr">
        <is>
          <t>US-005-007</t>
        </is>
      </c>
      <c r="C136" s="12" t="inlineStr">
        <is>
          <t>EP-005</t>
        </is>
      </c>
      <c r="D136" s="12" t="inlineStr">
        <is>
          <t>Task detail shows total actual time.</t>
        </is>
      </c>
      <c r="E136" s="12" t="str"/>
      <c r="F136" s="12" t="inlineStr">
        <is>
          <t>Not Tested</t>
        </is>
      </c>
      <c r="G136" s="12" t="str"/>
      <c r="H136" s="12" t="str"/>
      <c r="I136" s="12" t="inlineStr">
        <is>
          <t>Claude (AI Engineer)</t>
        </is>
      </c>
      <c r="J136" s="12" t="inlineStr">
        <is>
          <t>SIT</t>
        </is>
      </c>
      <c r="K136" s="12" t="inlineStr">
        <is>
          <t>Feature implemented; not yet individually verified by an automated or manual test.</t>
        </is>
      </c>
    </row>
    <row r="137">
      <c r="A137" s="12" t="inlineStr">
        <is>
          <t>AC-005-007-04</t>
        </is>
      </c>
      <c r="B137" s="12" t="inlineStr">
        <is>
          <t>US-005-007</t>
        </is>
      </c>
      <c r="C137" s="12" t="inlineStr">
        <is>
          <t>EP-005</t>
        </is>
      </c>
      <c r="D137" s="12" t="inlineStr">
        <is>
          <t>Completed task remains in historical reports.</t>
        </is>
      </c>
      <c r="E137" s="12" t="str"/>
      <c r="F137" s="12" t="inlineStr">
        <is>
          <t>Not Tested</t>
        </is>
      </c>
      <c r="G137" s="12" t="str"/>
      <c r="H137" s="12" t="str"/>
      <c r="I137" s="12" t="inlineStr">
        <is>
          <t>Claude (AI Engineer)</t>
        </is>
      </c>
      <c r="J137" s="12" t="inlineStr">
        <is>
          <t>SIT</t>
        </is>
      </c>
      <c r="K137" s="12" t="inlineStr">
        <is>
          <t>Feature implemented; not yet individually verified by an automated or manual test.</t>
        </is>
      </c>
    </row>
    <row r="138">
      <c r="A138" s="12" t="inlineStr">
        <is>
          <t>AC-005-008-01</t>
        </is>
      </c>
      <c r="B138" s="12" t="inlineStr">
        <is>
          <t>US-005-008</t>
        </is>
      </c>
      <c r="C138" s="12" t="inlineStr">
        <is>
          <t>EP-005</t>
        </is>
      </c>
      <c r="D138" s="12" t="inlineStr">
        <is>
          <t>List defaults to active tasks assigned to user.</t>
        </is>
      </c>
      <c r="E138" s="12" t="str"/>
      <c r="F138" s="12" t="inlineStr">
        <is>
          <t>Not Tested</t>
        </is>
      </c>
      <c r="G138" s="12" t="str"/>
      <c r="H138" s="12" t="str"/>
      <c r="I138" s="12" t="inlineStr">
        <is>
          <t>Claude (AI Engineer)</t>
        </is>
      </c>
      <c r="J138" s="12" t="inlineStr">
        <is>
          <t>SIT</t>
        </is>
      </c>
      <c r="K138" s="12" t="inlineStr">
        <is>
          <t>Feature implemented; not yet individually verified by an automated or manual test.</t>
        </is>
      </c>
    </row>
    <row r="139">
      <c r="A139" s="12" t="inlineStr">
        <is>
          <t>AC-005-008-02</t>
        </is>
      </c>
      <c r="B139" s="12" t="inlineStr">
        <is>
          <t>US-005-008</t>
        </is>
      </c>
      <c r="C139" s="12" t="inlineStr">
        <is>
          <t>EP-005</t>
        </is>
      </c>
      <c r="D139" s="12" t="inlineStr">
        <is>
          <t>User can filter by status and priority.</t>
        </is>
      </c>
      <c r="E139" s="12" t="str"/>
      <c r="F139" s="12" t="inlineStr">
        <is>
          <t>Not Tested</t>
        </is>
      </c>
      <c r="G139" s="12" t="str"/>
      <c r="H139" s="12" t="str"/>
      <c r="I139" s="12" t="inlineStr">
        <is>
          <t>Claude (AI Engineer)</t>
        </is>
      </c>
      <c r="J139" s="12" t="inlineStr">
        <is>
          <t>SIT</t>
        </is>
      </c>
      <c r="K139" s="12" t="inlineStr">
        <is>
          <t>Feature implemented; not yet individually verified by an automated or manual test.</t>
        </is>
      </c>
    </row>
    <row r="140">
      <c r="A140" s="12" t="inlineStr">
        <is>
          <t>AC-005-008-03</t>
        </is>
      </c>
      <c r="B140" s="12" t="inlineStr">
        <is>
          <t>US-005-008</t>
        </is>
      </c>
      <c r="C140" s="12" t="inlineStr">
        <is>
          <t>EP-005</t>
        </is>
      </c>
      <c r="D140" s="12" t="inlineStr">
        <is>
          <t>Task title, status, priority, due date and actual time are shown.</t>
        </is>
      </c>
      <c r="E140" s="12" t="str"/>
      <c r="F140" s="12" t="inlineStr">
        <is>
          <t>Not Tested</t>
        </is>
      </c>
      <c r="G140" s="12" t="str"/>
      <c r="H140" s="12" t="str"/>
      <c r="I140" s="12" t="inlineStr">
        <is>
          <t>Claude (AI Engineer)</t>
        </is>
      </c>
      <c r="J140" s="12" t="inlineStr">
        <is>
          <t>SIT</t>
        </is>
      </c>
      <c r="K140" s="12" t="inlineStr">
        <is>
          <t>Feature implemented; not yet individually verified by an automated or manual test.</t>
        </is>
      </c>
    </row>
    <row r="141">
      <c r="A141" s="12" t="inlineStr">
        <is>
          <t>AC-005-008-04</t>
        </is>
      </c>
      <c r="B141" s="12" t="inlineStr">
        <is>
          <t>US-005-008</t>
        </is>
      </c>
      <c r="C141" s="12" t="inlineStr">
        <is>
          <t>EP-005</t>
        </is>
      </c>
      <c r="D141" s="12" t="inlineStr">
        <is>
          <t>Selecting a task opens task detail.</t>
        </is>
      </c>
      <c r="E141" s="12" t="str"/>
      <c r="F141" s="12" t="inlineStr">
        <is>
          <t>Not Tested</t>
        </is>
      </c>
      <c r="G141" s="12" t="str"/>
      <c r="H141" s="12" t="str"/>
      <c r="I141" s="12" t="inlineStr">
        <is>
          <t>Claude (AI Engineer)</t>
        </is>
      </c>
      <c r="J141" s="12" t="inlineStr">
        <is>
          <t>SIT</t>
        </is>
      </c>
      <c r="K141" s="12" t="inlineStr">
        <is>
          <t>Feature implemented; not yet individually verified by an automated or manual test.</t>
        </is>
      </c>
    </row>
    <row r="142">
      <c r="A142" s="12" t="inlineStr">
        <is>
          <t>AC-006-001-01</t>
        </is>
      </c>
      <c r="B142" s="12" t="inlineStr">
        <is>
          <t>US-006-001</t>
        </is>
      </c>
      <c r="C142" s="12" t="inlineStr">
        <is>
          <t>EP-006</t>
        </is>
      </c>
      <c r="D142" s="12" t="inlineStr">
        <is>
          <t>User must be clocked in and not on break.</t>
        </is>
      </c>
      <c r="E142" s="12" t="str"/>
      <c r="F142" s="12" t="inlineStr">
        <is>
          <t>Not Tested</t>
        </is>
      </c>
      <c r="G142" s="12" t="str"/>
      <c r="H142" s="12" t="str"/>
      <c r="I142" s="12" t="inlineStr">
        <is>
          <t>Claude (AI Engineer)</t>
        </is>
      </c>
      <c r="J142" s="12" t="inlineStr">
        <is>
          <t>SIT</t>
        </is>
      </c>
      <c r="K142" s="12" t="n"/>
    </row>
    <row r="143">
      <c r="A143" s="12" t="inlineStr">
        <is>
          <t>AC-006-001-02</t>
        </is>
      </c>
      <c r="B143" s="12" t="inlineStr">
        <is>
          <t>US-006-001</t>
        </is>
      </c>
      <c r="C143" s="12" t="inlineStr">
        <is>
          <t>EP-006</t>
        </is>
      </c>
      <c r="D143" s="12" t="inlineStr">
        <is>
          <t>Task must be eligible for the user.</t>
        </is>
      </c>
      <c r="E143" s="12" t="str"/>
      <c r="F143" s="12" t="inlineStr">
        <is>
          <t>Not Tested</t>
        </is>
      </c>
      <c r="G143" s="12" t="str"/>
      <c r="H143" s="12" t="str"/>
      <c r="I143" s="12" t="inlineStr">
        <is>
          <t>Claude (AI Engineer)</t>
        </is>
      </c>
      <c r="J143" s="12" t="inlineStr">
        <is>
          <t>SIT</t>
        </is>
      </c>
      <c r="K143" s="12" t="n"/>
    </row>
    <row r="144">
      <c r="A144" s="12" t="inlineStr">
        <is>
          <t>AC-006-001-03</t>
        </is>
      </c>
      <c r="B144" s="12" t="inlineStr">
        <is>
          <t>US-006-001</t>
        </is>
      </c>
      <c r="C144" s="12" t="inlineStr">
        <is>
          <t>EP-006</t>
        </is>
      </c>
      <c r="D144" s="12" t="inlineStr">
        <is>
          <t>Server timestamp is authoritative.</t>
        </is>
      </c>
      <c r="E144" s="12" t="str"/>
      <c r="F144" s="12" t="inlineStr">
        <is>
          <t>Not Tested</t>
        </is>
      </c>
      <c r="G144" s="12" t="str"/>
      <c r="H144" s="12" t="str"/>
      <c r="I144" s="12" t="inlineStr">
        <is>
          <t>Claude (AI Engineer)</t>
        </is>
      </c>
      <c r="J144" s="12" t="inlineStr">
        <is>
          <t>SIT</t>
        </is>
      </c>
      <c r="K144" s="12" t="n"/>
    </row>
    <row r="145">
      <c r="A145" s="12" t="inlineStr">
        <is>
          <t>AC-006-001-04</t>
        </is>
      </c>
      <c r="B145" s="12" t="inlineStr">
        <is>
          <t>US-006-001</t>
        </is>
      </c>
      <c r="C145" s="12" t="inlineStr">
        <is>
          <t>EP-006</t>
        </is>
      </c>
      <c r="D145" s="12" t="inlineStr">
        <is>
          <t>Only one active task timer is allowed per user.</t>
        </is>
      </c>
      <c r="E145" s="12" t="str"/>
      <c r="F145" s="12" t="inlineStr">
        <is>
          <t>Not Tested</t>
        </is>
      </c>
      <c r="G145" s="12" t="str"/>
      <c r="H145" s="12" t="str"/>
      <c r="I145" s="12" t="inlineStr">
        <is>
          <t>Claude (AI Engineer)</t>
        </is>
      </c>
      <c r="J145" s="12" t="inlineStr">
        <is>
          <t>SIT</t>
        </is>
      </c>
      <c r="K145" s="12" t="n"/>
    </row>
    <row r="146">
      <c r="A146" s="12" t="inlineStr">
        <is>
          <t>AC-006-002-01</t>
        </is>
      </c>
      <c r="B146" s="12" t="inlineStr">
        <is>
          <t>US-006-002</t>
        </is>
      </c>
      <c r="C146" s="12" t="inlineStr">
        <is>
          <t>EP-006</t>
        </is>
      </c>
      <c r="D146" s="12" t="inlineStr">
        <is>
          <t>Active task name and elapsed time are visible on primary screens.</t>
        </is>
      </c>
      <c r="E146" s="12" t="str"/>
      <c r="F146" s="12" t="inlineStr">
        <is>
          <t>Not Tested</t>
        </is>
      </c>
      <c r="G146" s="12" t="str"/>
      <c r="H146" s="12" t="str"/>
      <c r="I146" s="12" t="inlineStr">
        <is>
          <t>Claude (AI Engineer)</t>
        </is>
      </c>
      <c r="J146" s="12" t="inlineStr">
        <is>
          <t>SIT</t>
        </is>
      </c>
      <c r="K146" s="12" t="inlineStr">
        <is>
          <t>Feature implemented; not yet individually verified by an automated or manual test.</t>
        </is>
      </c>
    </row>
    <row r="147">
      <c r="A147" s="12" t="inlineStr">
        <is>
          <t>AC-006-002-02</t>
        </is>
      </c>
      <c r="B147" s="12" t="inlineStr">
        <is>
          <t>US-006-002</t>
        </is>
      </c>
      <c r="C147" s="12" t="inlineStr">
        <is>
          <t>EP-006</t>
        </is>
      </c>
      <c r="D147" s="12" t="inlineStr">
        <is>
          <t>Display is calculated from authoritative start time and current server-synchronised time.</t>
        </is>
      </c>
      <c r="E147" s="12" t="str"/>
      <c r="F147" s="12" t="inlineStr">
        <is>
          <t>Not Tested</t>
        </is>
      </c>
      <c r="G147" s="12" t="str"/>
      <c r="H147" s="12" t="str"/>
      <c r="I147" s="12" t="inlineStr">
        <is>
          <t>Claude (AI Engineer)</t>
        </is>
      </c>
      <c r="J147" s="12" t="inlineStr">
        <is>
          <t>SIT</t>
        </is>
      </c>
      <c r="K147" s="12" t="inlineStr">
        <is>
          <t>Feature implemented; not yet individually verified by an automated or manual test.</t>
        </is>
      </c>
    </row>
    <row r="148">
      <c r="A148" s="12" t="inlineStr">
        <is>
          <t>AC-006-002-03</t>
        </is>
      </c>
      <c r="B148" s="12" t="inlineStr">
        <is>
          <t>US-006-002</t>
        </is>
      </c>
      <c r="C148" s="12" t="inlineStr">
        <is>
          <t>EP-006</t>
        </is>
      </c>
      <c r="D148" s="12" t="inlineStr">
        <is>
          <t>Refresh/re-login restores active timer display.</t>
        </is>
      </c>
      <c r="E148" s="12" t="str"/>
      <c r="F148" s="12" t="inlineStr">
        <is>
          <t>Not Tested</t>
        </is>
      </c>
      <c r="G148" s="12" t="str"/>
      <c r="H148" s="12" t="str"/>
      <c r="I148" s="12" t="inlineStr">
        <is>
          <t>Claude (AI Engineer)</t>
        </is>
      </c>
      <c r="J148" s="12" t="inlineStr">
        <is>
          <t>SIT</t>
        </is>
      </c>
      <c r="K148" s="12" t="inlineStr">
        <is>
          <t>Feature implemented; not yet individually verified by an automated or manual test.</t>
        </is>
      </c>
    </row>
    <row r="149">
      <c r="A149" s="12" t="inlineStr">
        <is>
          <t>AC-006-002-04</t>
        </is>
      </c>
      <c r="B149" s="12" t="inlineStr">
        <is>
          <t>US-006-002</t>
        </is>
      </c>
      <c r="C149" s="12" t="inlineStr">
        <is>
          <t>EP-006</t>
        </is>
      </c>
      <c r="D149" s="12" t="inlineStr">
        <is>
          <t>Pause/Stop/Switch actions remain accessible.</t>
        </is>
      </c>
      <c r="E149" s="12" t="str"/>
      <c r="F149" s="12" t="inlineStr">
        <is>
          <t>Not Tested</t>
        </is>
      </c>
      <c r="G149" s="12" t="str"/>
      <c r="H149" s="12" t="str"/>
      <c r="I149" s="12" t="inlineStr">
        <is>
          <t>Claude (AI Engineer)</t>
        </is>
      </c>
      <c r="J149" s="12" t="inlineStr">
        <is>
          <t>SIT</t>
        </is>
      </c>
      <c r="K149" s="12" t="inlineStr">
        <is>
          <t>Feature implemented; not yet individually verified by an automated or manual test.</t>
        </is>
      </c>
    </row>
    <row r="150">
      <c r="A150" s="12" t="inlineStr">
        <is>
          <t>AC-006-003-01</t>
        </is>
      </c>
      <c r="B150" s="12" t="inlineStr">
        <is>
          <t>US-006-003</t>
        </is>
      </c>
      <c r="C150" s="12" t="inlineStr">
        <is>
          <t>EP-006</t>
        </is>
      </c>
      <c r="D150" s="12" t="inlineStr">
        <is>
          <t>Only an active timer can be paused.</t>
        </is>
      </c>
      <c r="E150" s="12" t="str"/>
      <c r="F150" s="12" t="inlineStr">
        <is>
          <t>Not Tested</t>
        </is>
      </c>
      <c r="G150" s="12" t="str"/>
      <c r="H150" s="12" t="str"/>
      <c r="I150" s="12" t="inlineStr">
        <is>
          <t>Claude (AI Engineer)</t>
        </is>
      </c>
      <c r="J150" s="12" t="inlineStr">
        <is>
          <t>SIT</t>
        </is>
      </c>
      <c r="K150" s="12" t="inlineStr">
        <is>
          <t>Feature implemented; not yet individually verified by an automated or manual test.</t>
        </is>
      </c>
    </row>
    <row r="151">
      <c r="A151" s="12" t="inlineStr">
        <is>
          <t>AC-006-003-02</t>
        </is>
      </c>
      <c r="B151" s="12" t="inlineStr">
        <is>
          <t>US-006-003</t>
        </is>
      </c>
      <c r="C151" s="12" t="inlineStr">
        <is>
          <t>EP-006</t>
        </is>
      </c>
      <c r="D151" s="12" t="inlineStr">
        <is>
          <t>Pause closes the current active timing segment.</t>
        </is>
      </c>
      <c r="E151" s="12" t="str"/>
      <c r="F151" s="12" t="inlineStr">
        <is>
          <t>Not Tested</t>
        </is>
      </c>
      <c r="G151" s="12" t="str"/>
      <c r="H151" s="12" t="str"/>
      <c r="I151" s="12" t="inlineStr">
        <is>
          <t>Claude (AI Engineer)</t>
        </is>
      </c>
      <c r="J151" s="12" t="inlineStr">
        <is>
          <t>SIT</t>
        </is>
      </c>
      <c r="K151" s="12" t="inlineStr">
        <is>
          <t>Feature implemented; not yet individually verified by an automated or manual test.</t>
        </is>
      </c>
    </row>
    <row r="152">
      <c r="A152" s="12" t="inlineStr">
        <is>
          <t>AC-006-003-03</t>
        </is>
      </c>
      <c r="B152" s="12" t="inlineStr">
        <is>
          <t>US-006-003</t>
        </is>
      </c>
      <c r="C152" s="12" t="inlineStr">
        <is>
          <t>EP-006</t>
        </is>
      </c>
      <c r="D152" s="12" t="inlineStr">
        <is>
          <t>Elapsed duration excludes paused period.</t>
        </is>
      </c>
      <c r="E152" s="12" t="str"/>
      <c r="F152" s="12" t="inlineStr">
        <is>
          <t>Not Tested</t>
        </is>
      </c>
      <c r="G152" s="12" t="str"/>
      <c r="H152" s="12" t="str"/>
      <c r="I152" s="12" t="inlineStr">
        <is>
          <t>Claude (AI Engineer)</t>
        </is>
      </c>
      <c r="J152" s="12" t="inlineStr">
        <is>
          <t>SIT</t>
        </is>
      </c>
      <c r="K152" s="12" t="inlineStr">
        <is>
          <t>Feature implemented; not yet individually verified by an automated or manual test.</t>
        </is>
      </c>
    </row>
    <row r="153">
      <c r="A153" s="12" t="inlineStr">
        <is>
          <t>AC-006-003-04</t>
        </is>
      </c>
      <c r="B153" s="12" t="inlineStr">
        <is>
          <t>US-006-003</t>
        </is>
      </c>
      <c r="C153" s="12" t="inlineStr">
        <is>
          <t>EP-006</t>
        </is>
      </c>
      <c r="D153" s="12" t="inlineStr">
        <is>
          <t>Task remains available to resume.</t>
        </is>
      </c>
      <c r="E153" s="12" t="str"/>
      <c r="F153" s="12" t="inlineStr">
        <is>
          <t>Not Tested</t>
        </is>
      </c>
      <c r="G153" s="12" t="str"/>
      <c r="H153" s="12" t="str"/>
      <c r="I153" s="12" t="inlineStr">
        <is>
          <t>Claude (AI Engineer)</t>
        </is>
      </c>
      <c r="J153" s="12" t="inlineStr">
        <is>
          <t>SIT</t>
        </is>
      </c>
      <c r="K153" s="12" t="inlineStr">
        <is>
          <t>Feature implemented; not yet individually verified by an automated or manual test.</t>
        </is>
      </c>
    </row>
    <row r="154">
      <c r="A154" s="12" t="inlineStr">
        <is>
          <t>AC-006-004-01</t>
        </is>
      </c>
      <c r="B154" s="12" t="inlineStr">
        <is>
          <t>US-006-004</t>
        </is>
      </c>
      <c r="C154" s="12" t="inlineStr">
        <is>
          <t>EP-006</t>
        </is>
      </c>
      <c r="D154" s="12" t="inlineStr">
        <is>
          <t>Task must be paused and user must be clocked in/not on break.</t>
        </is>
      </c>
      <c r="E154" s="12" t="str"/>
      <c r="F154" s="12" t="inlineStr">
        <is>
          <t>Not Tested</t>
        </is>
      </c>
      <c r="G154" s="12" t="str"/>
      <c r="H154" s="12" t="str"/>
      <c r="I154" s="12" t="inlineStr">
        <is>
          <t>Claude (AI Engineer)</t>
        </is>
      </c>
      <c r="J154" s="12" t="inlineStr">
        <is>
          <t>SIT</t>
        </is>
      </c>
      <c r="K154" s="12" t="n"/>
    </row>
    <row r="155">
      <c r="A155" s="12" t="inlineStr">
        <is>
          <t>AC-006-004-02</t>
        </is>
      </c>
      <c r="B155" s="12" t="inlineStr">
        <is>
          <t>US-006-004</t>
        </is>
      </c>
      <c r="C155" s="12" t="inlineStr">
        <is>
          <t>EP-006</t>
        </is>
      </c>
      <c r="D155" s="12" t="inlineStr">
        <is>
          <t>Resume creates a new timing segment.</t>
        </is>
      </c>
      <c r="E155" s="12" t="str"/>
      <c r="F155" s="12" t="inlineStr">
        <is>
          <t>Not Tested</t>
        </is>
      </c>
      <c r="G155" s="12" t="str"/>
      <c r="H155" s="12" t="str"/>
      <c r="I155" s="12" t="inlineStr">
        <is>
          <t>Claude (AI Engineer)</t>
        </is>
      </c>
      <c r="J155" s="12" t="inlineStr">
        <is>
          <t>SIT</t>
        </is>
      </c>
      <c r="K155" s="12" t="n"/>
    </row>
    <row r="156">
      <c r="A156" s="12" t="inlineStr">
        <is>
          <t>AC-006-004-03</t>
        </is>
      </c>
      <c r="B156" s="12" t="inlineStr">
        <is>
          <t>US-006-004</t>
        </is>
      </c>
      <c r="C156" s="12" t="inlineStr">
        <is>
          <t>EP-006</t>
        </is>
      </c>
      <c r="D156" s="12" t="inlineStr">
        <is>
          <t>Previous recorded duration is retained.</t>
        </is>
      </c>
      <c r="E156" s="12" t="str"/>
      <c r="F156" s="12" t="inlineStr">
        <is>
          <t>Not Tested</t>
        </is>
      </c>
      <c r="G156" s="12" t="str"/>
      <c r="H156" s="12" t="str"/>
      <c r="I156" s="12" t="inlineStr">
        <is>
          <t>Claude (AI Engineer)</t>
        </is>
      </c>
      <c r="J156" s="12" t="inlineStr">
        <is>
          <t>SIT</t>
        </is>
      </c>
      <c r="K156" s="12" t="inlineStr">
        <is>
          <t>Feature implemented; not yet individually verified by an automated or manual test.</t>
        </is>
      </c>
    </row>
    <row r="157">
      <c r="A157" s="12" t="inlineStr">
        <is>
          <t>AC-006-004-04</t>
        </is>
      </c>
      <c r="B157" s="12" t="inlineStr">
        <is>
          <t>US-006-004</t>
        </is>
      </c>
      <c r="C157" s="12" t="inlineStr">
        <is>
          <t>EP-006</t>
        </is>
      </c>
      <c r="D157" s="12" t="inlineStr">
        <is>
          <t>Only one active timer exists after resume.</t>
        </is>
      </c>
      <c r="E157" s="12" t="str"/>
      <c r="F157" s="12" t="inlineStr">
        <is>
          <t>Not Tested</t>
        </is>
      </c>
      <c r="G157" s="12" t="str"/>
      <c r="H157" s="12" t="str"/>
      <c r="I157" s="12" t="inlineStr">
        <is>
          <t>Claude (AI Engineer)</t>
        </is>
      </c>
      <c r="J157" s="12" t="inlineStr">
        <is>
          <t>SIT</t>
        </is>
      </c>
      <c r="K157" s="12" t="n"/>
    </row>
    <row r="158">
      <c r="A158" s="12" t="inlineStr">
        <is>
          <t>AC-006-005-01</t>
        </is>
      </c>
      <c r="B158" s="12" t="inlineStr">
        <is>
          <t>US-006-005</t>
        </is>
      </c>
      <c r="C158" s="12" t="inlineStr">
        <is>
          <t>EP-006</t>
        </is>
      </c>
      <c r="D158" s="12" t="inlineStr">
        <is>
          <t>Only an active timer can be stopped.</t>
        </is>
      </c>
      <c r="E158" s="12" t="str"/>
      <c r="F158" s="12" t="inlineStr">
        <is>
          <t>Not Tested</t>
        </is>
      </c>
      <c r="G158" s="12" t="str"/>
      <c r="H158" s="12" t="str"/>
      <c r="I158" s="12" t="inlineStr">
        <is>
          <t>Claude (AI Engineer)</t>
        </is>
      </c>
      <c r="J158" s="12" t="inlineStr">
        <is>
          <t>SIT</t>
        </is>
      </c>
      <c r="K158" s="12" t="inlineStr">
        <is>
          <t>Feature implemented; not yet individually verified by an automated or manual test.</t>
        </is>
      </c>
    </row>
    <row r="159">
      <c r="A159" s="12" t="inlineStr">
        <is>
          <t>AC-006-005-02</t>
        </is>
      </c>
      <c r="B159" s="12" t="inlineStr">
        <is>
          <t>US-006-005</t>
        </is>
      </c>
      <c r="C159" s="12" t="inlineStr">
        <is>
          <t>EP-006</t>
        </is>
      </c>
      <c r="D159" s="12" t="inlineStr">
        <is>
          <t>Server time records stop timestamp.</t>
        </is>
      </c>
      <c r="E159" s="12" t="str"/>
      <c r="F159" s="12" t="inlineStr">
        <is>
          <t>Not Tested</t>
        </is>
      </c>
      <c r="G159" s="12" t="str"/>
      <c r="H159" s="12" t="str"/>
      <c r="I159" s="12" t="inlineStr">
        <is>
          <t>Claude (AI Engineer)</t>
        </is>
      </c>
      <c r="J159" s="12" t="inlineStr">
        <is>
          <t>SIT</t>
        </is>
      </c>
      <c r="K159" s="12" t="inlineStr">
        <is>
          <t>Feature implemented; not yet individually verified by an automated or manual test.</t>
        </is>
      </c>
    </row>
    <row r="160">
      <c r="A160" s="12" t="inlineStr">
        <is>
          <t>AC-006-005-03</t>
        </is>
      </c>
      <c r="B160" s="12" t="inlineStr">
        <is>
          <t>US-006-005</t>
        </is>
      </c>
      <c r="C160" s="12" t="inlineStr">
        <is>
          <t>EP-006</t>
        </is>
      </c>
      <c r="D160" s="12" t="inlineStr">
        <is>
          <t>Actual task duration is updated immediately.</t>
        </is>
      </c>
      <c r="E160" s="12" t="str"/>
      <c r="F160" s="12" t="inlineStr">
        <is>
          <t>Not Tested</t>
        </is>
      </c>
      <c r="G160" s="12" t="str"/>
      <c r="H160" s="12" t="str"/>
      <c r="I160" s="12" t="inlineStr">
        <is>
          <t>Claude (AI Engineer)</t>
        </is>
      </c>
      <c r="J160" s="12" t="inlineStr">
        <is>
          <t>SIT</t>
        </is>
      </c>
      <c r="K160" s="12" t="inlineStr">
        <is>
          <t>Feature implemented; not yet individually verified by an automated or manual test.</t>
        </is>
      </c>
    </row>
    <row r="161">
      <c r="A161" s="12" t="inlineStr">
        <is>
          <t>AC-006-005-04</t>
        </is>
      </c>
      <c r="B161" s="12" t="inlineStr">
        <is>
          <t>US-006-005</t>
        </is>
      </c>
      <c r="C161" s="12" t="inlineStr">
        <is>
          <t>EP-006</t>
        </is>
      </c>
      <c r="D161" s="12" t="inlineStr">
        <is>
          <t>Stopped interval appears in daily activity timeline.</t>
        </is>
      </c>
      <c r="E161" s="12" t="str"/>
      <c r="F161" s="12" t="inlineStr">
        <is>
          <t>Not Tested</t>
        </is>
      </c>
      <c r="G161" s="12" t="str"/>
      <c r="H161" s="12" t="str"/>
      <c r="I161" s="12" t="inlineStr">
        <is>
          <t>Claude (AI Engineer)</t>
        </is>
      </c>
      <c r="J161" s="12" t="inlineStr">
        <is>
          <t>SIT</t>
        </is>
      </c>
      <c r="K161" s="12" t="inlineStr">
        <is>
          <t>Feature implemented; not yet individually verified by an automated or manual test.</t>
        </is>
      </c>
    </row>
    <row r="162">
      <c r="A162" s="12" t="inlineStr">
        <is>
          <t>AC-006-006-01</t>
        </is>
      </c>
      <c r="B162" s="12" t="inlineStr">
        <is>
          <t>US-006-006</t>
        </is>
      </c>
      <c r="C162" s="12" t="inlineStr">
        <is>
          <t>EP-006</t>
        </is>
      </c>
      <c r="D162" s="12" t="inlineStr">
        <is>
          <t>System stops current task and starts selected task at one consistent boundary.</t>
        </is>
      </c>
      <c r="E162" s="12" t="str"/>
      <c r="F162" s="12" t="inlineStr">
        <is>
          <t>Not Tested</t>
        </is>
      </c>
      <c r="G162" s="12" t="str"/>
      <c r="H162" s="12" t="str"/>
      <c r="I162" s="12" t="inlineStr">
        <is>
          <t>Claude (AI Engineer)</t>
        </is>
      </c>
      <c r="J162" s="12" t="inlineStr">
        <is>
          <t>SIT</t>
        </is>
      </c>
      <c r="K162" s="12" t="inlineStr">
        <is>
          <t>Feature implemented; not yet individually verified by an automated or manual test.</t>
        </is>
      </c>
    </row>
    <row r="163">
      <c r="A163" s="12" t="inlineStr">
        <is>
          <t>AC-006-006-02</t>
        </is>
      </c>
      <c r="B163" s="12" t="inlineStr">
        <is>
          <t>US-006-006</t>
        </is>
      </c>
      <c r="C163" s="12" t="inlineStr">
        <is>
          <t>EP-006</t>
        </is>
      </c>
      <c r="D163" s="12" t="inlineStr">
        <is>
          <t>No overlap is created.</t>
        </is>
      </c>
      <c r="E163" s="12" t="str"/>
      <c r="F163" s="12" t="inlineStr">
        <is>
          <t>Not Tested</t>
        </is>
      </c>
      <c r="G163" s="12" t="str"/>
      <c r="H163" s="12" t="str"/>
      <c r="I163" s="12" t="inlineStr">
        <is>
          <t>Claude (AI Engineer)</t>
        </is>
      </c>
      <c r="J163" s="12" t="inlineStr">
        <is>
          <t>SIT</t>
        </is>
      </c>
      <c r="K163" s="12" t="inlineStr">
        <is>
          <t>Feature implemented; not yet individually verified by an automated or manual test.</t>
        </is>
      </c>
    </row>
    <row r="164">
      <c r="A164" s="12" t="inlineStr">
        <is>
          <t>AC-006-006-03</t>
        </is>
      </c>
      <c r="B164" s="12" t="inlineStr">
        <is>
          <t>US-006-006</t>
        </is>
      </c>
      <c r="C164" s="12" t="inlineStr">
        <is>
          <t>EP-006</t>
        </is>
      </c>
      <c r="D164" s="12" t="inlineStr">
        <is>
          <t>New task must be eligible and active.</t>
        </is>
      </c>
      <c r="E164" s="12" t="str"/>
      <c r="F164" s="12" t="inlineStr">
        <is>
          <t>Not Tested</t>
        </is>
      </c>
      <c r="G164" s="12" t="str"/>
      <c r="H164" s="12" t="str"/>
      <c r="I164" s="12" t="inlineStr">
        <is>
          <t>Claude (AI Engineer)</t>
        </is>
      </c>
      <c r="J164" s="12" t="inlineStr">
        <is>
          <t>SIT</t>
        </is>
      </c>
      <c r="K164" s="12" t="inlineStr">
        <is>
          <t>Feature implemented; not yet individually verified by an automated or manual test.</t>
        </is>
      </c>
    </row>
    <row r="165">
      <c r="A165" s="12" t="inlineStr">
        <is>
          <t>AC-006-006-04</t>
        </is>
      </c>
      <c r="B165" s="12" t="inlineStr">
        <is>
          <t>US-006-006</t>
        </is>
      </c>
      <c r="C165" s="12" t="inlineStr">
        <is>
          <t>EP-006</t>
        </is>
      </c>
      <c r="D165" s="12" t="inlineStr">
        <is>
          <t>Both resulting records are visible in timeline.</t>
        </is>
      </c>
      <c r="E165" s="12" t="str"/>
      <c r="F165" s="12" t="inlineStr">
        <is>
          <t>Not Tested</t>
        </is>
      </c>
      <c r="G165" s="12" t="str"/>
      <c r="H165" s="12" t="str"/>
      <c r="I165" s="12" t="inlineStr">
        <is>
          <t>Claude (AI Engineer)</t>
        </is>
      </c>
      <c r="J165" s="12" t="inlineStr">
        <is>
          <t>SIT</t>
        </is>
      </c>
      <c r="K165" s="12" t="inlineStr">
        <is>
          <t>Feature implemented; not yet individually verified by an automated or manual test.</t>
        </is>
      </c>
    </row>
    <row r="166">
      <c r="A166" s="12" t="inlineStr">
        <is>
          <t>AC-006-007-01</t>
        </is>
      </c>
      <c r="B166" s="12" t="inlineStr">
        <is>
          <t>US-006-007</t>
        </is>
      </c>
      <c r="C166" s="12" t="inlineStr">
        <is>
          <t>EP-006</t>
        </is>
      </c>
      <c r="D166" s="12" t="inlineStr">
        <is>
          <t>Backend rejects attempts to create a second active timer.</t>
        </is>
      </c>
      <c r="E166" s="12" t="str"/>
      <c r="F166" s="12" t="inlineStr">
        <is>
          <t>Not Tested</t>
        </is>
      </c>
      <c r="G166" s="12" t="str"/>
      <c r="H166" s="12" t="str"/>
      <c r="I166" s="12" t="inlineStr">
        <is>
          <t>Claude (AI Engineer)</t>
        </is>
      </c>
      <c r="J166" s="12" t="inlineStr">
        <is>
          <t>SIT</t>
        </is>
      </c>
      <c r="K166" s="12" t="n"/>
    </row>
    <row r="167">
      <c r="A167" s="12" t="inlineStr">
        <is>
          <t>AC-006-007-02</t>
        </is>
      </c>
      <c r="B167" s="12" t="inlineStr">
        <is>
          <t>US-006-007</t>
        </is>
      </c>
      <c r="C167" s="12" t="inlineStr">
        <is>
          <t>EP-006</t>
        </is>
      </c>
      <c r="D167" s="12" t="inlineStr">
        <is>
          <t>Database/application concurrency controls protect race conditions.</t>
        </is>
      </c>
      <c r="E167" s="12" t="str"/>
      <c r="F167" s="12" t="inlineStr">
        <is>
          <t>Not Tested</t>
        </is>
      </c>
      <c r="G167" s="12" t="str"/>
      <c r="H167" s="12" t="str"/>
      <c r="I167" s="12" t="inlineStr">
        <is>
          <t>Claude (AI Engineer)</t>
        </is>
      </c>
      <c r="J167" s="12" t="inlineStr">
        <is>
          <t>SIT</t>
        </is>
      </c>
      <c r="K167" s="12" t="n"/>
    </row>
    <row r="168">
      <c r="A168" s="12" t="inlineStr">
        <is>
          <t>AC-006-007-03</t>
        </is>
      </c>
      <c r="B168" s="12" t="inlineStr">
        <is>
          <t>US-006-007</t>
        </is>
      </c>
      <c r="C168" s="12" t="inlineStr">
        <is>
          <t>EP-006</t>
        </is>
      </c>
      <c r="D168" s="12" t="inlineStr">
        <is>
          <t>User receives existing active task information.</t>
        </is>
      </c>
      <c r="E168" s="12" t="str"/>
      <c r="F168" s="12" t="inlineStr">
        <is>
          <t>Not Tested</t>
        </is>
      </c>
      <c r="G168" s="12" t="str"/>
      <c r="H168" s="12" t="str"/>
      <c r="I168" s="12" t="inlineStr">
        <is>
          <t>Claude (AI Engineer)</t>
        </is>
      </c>
      <c r="J168" s="12" t="inlineStr">
        <is>
          <t>SIT</t>
        </is>
      </c>
      <c r="K168" s="12" t="n"/>
    </row>
    <row r="169">
      <c r="A169" s="12" t="inlineStr">
        <is>
          <t>AC-006-007-04</t>
        </is>
      </c>
      <c r="B169" s="12" t="inlineStr">
        <is>
          <t>US-006-007</t>
        </is>
      </c>
      <c r="C169" s="12" t="inlineStr">
        <is>
          <t>EP-006</t>
        </is>
      </c>
      <c r="D169" s="12" t="inlineStr">
        <is>
          <t>Administrator correction is used for genuine exceptions rather than parallel timers.</t>
        </is>
      </c>
      <c r="E169" s="12" t="str"/>
      <c r="F169" s="12" t="inlineStr">
        <is>
          <t>Not Tested</t>
        </is>
      </c>
      <c r="G169" s="12" t="str"/>
      <c r="H169" s="12" t="str"/>
      <c r="I169" s="12" t="inlineStr">
        <is>
          <t>Claude (AI Engineer)</t>
        </is>
      </c>
      <c r="J169" s="12" t="inlineStr">
        <is>
          <t>SIT</t>
        </is>
      </c>
      <c r="K169" s="12" t="inlineStr">
        <is>
          <t>Feature implemented; not yet individually verified by an automated or manual test.</t>
        </is>
      </c>
    </row>
    <row r="170">
      <c r="A170" s="12" t="inlineStr">
        <is>
          <t>AC-006-008-01</t>
        </is>
      </c>
      <c r="B170" s="12" t="inlineStr">
        <is>
          <t>US-006-008</t>
        </is>
      </c>
      <c r="C170" s="12" t="inlineStr">
        <is>
          <t>EP-006</t>
        </is>
      </c>
      <c r="D170" s="12" t="inlineStr">
        <is>
          <t>Timer state is stored on the server.</t>
        </is>
      </c>
      <c r="E170" s="12" t="str"/>
      <c r="F170" s="12" t="inlineStr">
        <is>
          <t>Not Tested</t>
        </is>
      </c>
      <c r="G170" s="12" t="str"/>
      <c r="H170" s="12" t="str"/>
      <c r="I170" s="12" t="inlineStr">
        <is>
          <t>Claude (AI Engineer)</t>
        </is>
      </c>
      <c r="J170" s="12" t="inlineStr">
        <is>
          <t>SIT</t>
        </is>
      </c>
      <c r="K170" s="12" t="inlineStr">
        <is>
          <t>Feature implemented; not yet individually verified by an automated or manual test.</t>
        </is>
      </c>
    </row>
    <row r="171">
      <c r="A171" s="12" t="inlineStr">
        <is>
          <t>AC-006-008-02</t>
        </is>
      </c>
      <c r="B171" s="12" t="inlineStr">
        <is>
          <t>US-006-008</t>
        </is>
      </c>
      <c r="C171" s="12" t="inlineStr">
        <is>
          <t>EP-006</t>
        </is>
      </c>
      <c r="D171" s="12" t="inlineStr">
        <is>
          <t>Closing browser does not stop the authoritative timer.</t>
        </is>
      </c>
      <c r="E171" s="12" t="str"/>
      <c r="F171" s="12" t="inlineStr">
        <is>
          <t>Not Tested</t>
        </is>
      </c>
      <c r="G171" s="12" t="str"/>
      <c r="H171" s="12" t="str"/>
      <c r="I171" s="12" t="inlineStr">
        <is>
          <t>Claude (AI Engineer)</t>
        </is>
      </c>
      <c r="J171" s="12" t="inlineStr">
        <is>
          <t>SIT</t>
        </is>
      </c>
      <c r="K171" s="12" t="inlineStr">
        <is>
          <t>Feature implemented; not yet individually verified by an automated or manual test.</t>
        </is>
      </c>
    </row>
    <row r="172">
      <c r="A172" s="12" t="inlineStr">
        <is>
          <t>AC-006-008-03</t>
        </is>
      </c>
      <c r="B172" s="12" t="inlineStr">
        <is>
          <t>US-006-008</t>
        </is>
      </c>
      <c r="C172" s="12" t="inlineStr">
        <is>
          <t>EP-006</t>
        </is>
      </c>
      <c r="D172" s="12" t="inlineStr">
        <is>
          <t>On return, elapsed time is reconstructed from stored timestamps.</t>
        </is>
      </c>
      <c r="E172" s="12" t="str"/>
      <c r="F172" s="12" t="inlineStr">
        <is>
          <t>Not Tested</t>
        </is>
      </c>
      <c r="G172" s="12" t="str"/>
      <c r="H172" s="12" t="str"/>
      <c r="I172" s="12" t="inlineStr">
        <is>
          <t>Claude (AI Engineer)</t>
        </is>
      </c>
      <c r="J172" s="12" t="inlineStr">
        <is>
          <t>SIT</t>
        </is>
      </c>
      <c r="K172" s="12" t="inlineStr">
        <is>
          <t>Feature implemented; not yet individually verified by an automated or manual test.</t>
        </is>
      </c>
    </row>
    <row r="173">
      <c r="A173" s="12" t="inlineStr">
        <is>
          <t>AC-006-008-04</t>
        </is>
      </c>
      <c r="B173" s="12" t="inlineStr">
        <is>
          <t>US-006-008</t>
        </is>
      </c>
      <c r="C173" s="12" t="inlineStr">
        <is>
          <t>EP-006</t>
        </is>
      </c>
      <c r="D173" s="12" t="inlineStr">
        <is>
          <t>No per-second database writes are required to keep timer running.</t>
        </is>
      </c>
      <c r="E173" s="12" t="str"/>
      <c r="F173" s="12" t="inlineStr">
        <is>
          <t>Not Tested</t>
        </is>
      </c>
      <c r="G173" s="12" t="str"/>
      <c r="H173" s="12" t="str"/>
      <c r="I173" s="12" t="inlineStr">
        <is>
          <t>Claude (AI Engineer)</t>
        </is>
      </c>
      <c r="J173" s="12" t="inlineStr">
        <is>
          <t>SIT</t>
        </is>
      </c>
      <c r="K173" s="12" t="inlineStr">
        <is>
          <t>Feature implemented; not yet individually verified by an automated or manual test.</t>
        </is>
      </c>
    </row>
    <row r="174">
      <c r="A174" s="12" t="inlineStr">
        <is>
          <t>AC-006-009-01</t>
        </is>
      </c>
      <c r="B174" s="12" t="inlineStr">
        <is>
          <t>US-006-009</t>
        </is>
      </c>
      <c r="C174" s="12" t="inlineStr">
        <is>
          <t>EP-006</t>
        </is>
      </c>
      <c r="D174" s="12" t="inlineStr">
        <is>
          <t>Log shows task, start, end and duration.</t>
        </is>
      </c>
      <c r="E174" s="12" t="str"/>
      <c r="F174" s="12" t="inlineStr">
        <is>
          <t>Not Tested</t>
        </is>
      </c>
      <c r="G174" s="12" t="str"/>
      <c r="H174" s="12" t="str"/>
      <c r="I174" s="12" t="inlineStr">
        <is>
          <t>Claude (AI Engineer)</t>
        </is>
      </c>
      <c r="J174" s="12" t="inlineStr">
        <is>
          <t>SIT</t>
        </is>
      </c>
      <c r="K174" s="12" t="inlineStr">
        <is>
          <t>Feature implemented; not yet individually verified by an automated or manual test.</t>
        </is>
      </c>
    </row>
    <row r="175">
      <c r="A175" s="12" t="inlineStr">
        <is>
          <t>AC-006-009-02</t>
        </is>
      </c>
      <c r="B175" s="12" t="inlineStr">
        <is>
          <t>US-006-009</t>
        </is>
      </c>
      <c r="C175" s="12" t="inlineStr">
        <is>
          <t>EP-006</t>
        </is>
      </c>
      <c r="D175" s="12" t="inlineStr">
        <is>
          <t>Paused segments are excluded from duration.</t>
        </is>
      </c>
      <c r="E175" s="12" t="str"/>
      <c r="F175" s="12" t="inlineStr">
        <is>
          <t>Not Tested</t>
        </is>
      </c>
      <c r="G175" s="12" t="str"/>
      <c r="H175" s="12" t="str"/>
      <c r="I175" s="12" t="inlineStr">
        <is>
          <t>Claude (AI Engineer)</t>
        </is>
      </c>
      <c r="J175" s="12" t="inlineStr">
        <is>
          <t>SIT</t>
        </is>
      </c>
      <c r="K175" s="12" t="inlineStr">
        <is>
          <t>Feature implemented; not yet individually verified by an automated or manual test.</t>
        </is>
      </c>
    </row>
    <row r="176">
      <c r="A176" s="12" t="inlineStr">
        <is>
          <t>AC-006-009-03</t>
        </is>
      </c>
      <c r="B176" s="12" t="inlineStr">
        <is>
          <t>US-006-009</t>
        </is>
      </c>
      <c r="C176" s="12" t="inlineStr">
        <is>
          <t>EP-006</t>
        </is>
      </c>
      <c r="D176" s="12" t="inlineStr">
        <is>
          <t>Entries are ordered chronologically.</t>
        </is>
      </c>
      <c r="E176" s="12" t="str"/>
      <c r="F176" s="12" t="inlineStr">
        <is>
          <t>Not Tested</t>
        </is>
      </c>
      <c r="G176" s="12" t="str"/>
      <c r="H176" s="12" t="str"/>
      <c r="I176" s="12" t="inlineStr">
        <is>
          <t>Claude (AI Engineer)</t>
        </is>
      </c>
      <c r="J176" s="12" t="inlineStr">
        <is>
          <t>SIT</t>
        </is>
      </c>
      <c r="K176" s="12" t="inlineStr">
        <is>
          <t>Feature implemented; not yet individually verified by an automated or manual test.</t>
        </is>
      </c>
    </row>
    <row r="177">
      <c r="A177" s="12" t="inlineStr">
        <is>
          <t>AC-006-009-04</t>
        </is>
      </c>
      <c r="B177" s="12" t="inlineStr">
        <is>
          <t>US-006-009</t>
        </is>
      </c>
      <c r="C177" s="12" t="inlineStr">
        <is>
          <t>EP-006</t>
        </is>
      </c>
      <c r="D177" s="12" t="inlineStr">
        <is>
          <t>Totals reconcile to daily task-time total.</t>
        </is>
      </c>
      <c r="E177" s="12" t="str"/>
      <c r="F177" s="12" t="inlineStr">
        <is>
          <t>Not Tested</t>
        </is>
      </c>
      <c r="G177" s="12" t="str"/>
      <c r="H177" s="12" t="str"/>
      <c r="I177" s="12" t="inlineStr">
        <is>
          <t>Claude (AI Engineer)</t>
        </is>
      </c>
      <c r="J177" s="12" t="inlineStr">
        <is>
          <t>SIT</t>
        </is>
      </c>
      <c r="K177" s="12" t="inlineStr">
        <is>
          <t>Feature implemented; not yet individually verified by an automated or manual test.</t>
        </is>
      </c>
    </row>
    <row r="178">
      <c r="A178" s="12" t="inlineStr">
        <is>
          <t>AC-006-010-01</t>
        </is>
      </c>
      <c r="B178" s="12" t="inlineStr">
        <is>
          <t>US-006-010</t>
        </is>
      </c>
      <c r="C178" s="12" t="inlineStr">
        <is>
          <t>EP-006</t>
        </is>
      </c>
      <c r="D178" s="12" t="inlineStr">
        <is>
          <t>Actual time is sum of valid task time segments.</t>
        </is>
      </c>
      <c r="E178" s="12" t="str"/>
      <c r="F178" s="12" t="inlineStr">
        <is>
          <t>Not Tested</t>
        </is>
      </c>
      <c r="G178" s="12" t="str"/>
      <c r="H178" s="12" t="str"/>
      <c r="I178" s="12" t="inlineStr">
        <is>
          <t>Claude (AI Engineer)</t>
        </is>
      </c>
      <c r="J178" s="12" t="inlineStr">
        <is>
          <t>SIT</t>
        </is>
      </c>
      <c r="K178" s="12" t="inlineStr">
        <is>
          <t>Feature implemented; not yet individually verified by an automated or manual test.</t>
        </is>
      </c>
    </row>
    <row r="179">
      <c r="A179" s="12" t="inlineStr">
        <is>
          <t>AC-006-010-02</t>
        </is>
      </c>
      <c r="B179" s="12" t="inlineStr">
        <is>
          <t>US-006-010</t>
        </is>
      </c>
      <c r="C179" s="12" t="inlineStr">
        <is>
          <t>EP-006</t>
        </is>
      </c>
      <c r="D179" s="12" t="inlineStr">
        <is>
          <t>Variance is shown when estimate exists.</t>
        </is>
      </c>
      <c r="E179" s="12" t="str"/>
      <c r="F179" s="12" t="inlineStr">
        <is>
          <t>Not Tested</t>
        </is>
      </c>
      <c r="G179" s="12" t="str"/>
      <c r="H179" s="12" t="str"/>
      <c r="I179" s="12" t="inlineStr">
        <is>
          <t>Claude (AI Engineer)</t>
        </is>
      </c>
      <c r="J179" s="12" t="inlineStr">
        <is>
          <t>SIT</t>
        </is>
      </c>
      <c r="K179" s="12" t="inlineStr">
        <is>
          <t>Feature implemented; not yet individually verified by an automated or manual test.</t>
        </is>
      </c>
    </row>
    <row r="180">
      <c r="A180" s="12" t="inlineStr">
        <is>
          <t>AC-006-010-03</t>
        </is>
      </c>
      <c r="B180" s="12" t="inlineStr">
        <is>
          <t>US-006-010</t>
        </is>
      </c>
      <c r="C180" s="12" t="inlineStr">
        <is>
          <t>EP-006</t>
        </is>
      </c>
      <c r="D180" s="12" t="inlineStr">
        <is>
          <t>Negative and positive variance are clearly identified.</t>
        </is>
      </c>
      <c r="E180" s="12" t="str"/>
      <c r="F180" s="12" t="inlineStr">
        <is>
          <t>Not Tested</t>
        </is>
      </c>
      <c r="G180" s="12" t="str"/>
      <c r="H180" s="12" t="str"/>
      <c r="I180" s="12" t="inlineStr">
        <is>
          <t>Claude (AI Engineer)</t>
        </is>
      </c>
      <c r="J180" s="12" t="inlineStr">
        <is>
          <t>SIT</t>
        </is>
      </c>
      <c r="K180" s="12" t="inlineStr">
        <is>
          <t>Feature implemented; not yet individually verified by an automated or manual test.</t>
        </is>
      </c>
    </row>
    <row r="181">
      <c r="A181" s="12" t="inlineStr">
        <is>
          <t>AC-006-010-04</t>
        </is>
      </c>
      <c r="B181" s="12" t="inlineStr">
        <is>
          <t>US-006-010</t>
        </is>
      </c>
      <c r="C181" s="12" t="inlineStr">
        <is>
          <t>EP-006</t>
        </is>
      </c>
      <c r="D181" s="12" t="inlineStr">
        <is>
          <t>Historical actual time remains unchanged by later estimate edits unless explicitly recalculated by policy.</t>
        </is>
      </c>
      <c r="E181" s="12" t="str"/>
      <c r="F181" s="12" t="inlineStr">
        <is>
          <t>Not Tested</t>
        </is>
      </c>
      <c r="G181" s="12" t="str"/>
      <c r="H181" s="12" t="str"/>
      <c r="I181" s="12" t="inlineStr">
        <is>
          <t>Claude (AI Engineer)</t>
        </is>
      </c>
      <c r="J181" s="12" t="inlineStr">
        <is>
          <t>SIT</t>
        </is>
      </c>
      <c r="K181" s="12" t="inlineStr">
        <is>
          <t>Feature implemented; not yet individually verified by an automated or manual test.</t>
        </is>
      </c>
    </row>
    <row r="182">
      <c r="A182" s="12" t="inlineStr">
        <is>
          <t>AC-007-001-01</t>
        </is>
      </c>
      <c r="B182" s="12" t="inlineStr">
        <is>
          <t>US-007-001</t>
        </is>
      </c>
      <c r="C182" s="12" t="inlineStr">
        <is>
          <t>EP-007</t>
        </is>
      </c>
      <c r="D182" s="12" t="inlineStr">
        <is>
          <t>Net work equals attendance elapsed duration minus completed eligible breaks.</t>
        </is>
      </c>
      <c r="E182" s="12" t="str"/>
      <c r="F182" s="12" t="inlineStr">
        <is>
          <t>Not Tested</t>
        </is>
      </c>
      <c r="G182" s="12" t="str"/>
      <c r="H182" s="12" t="str"/>
      <c r="I182" s="12" t="inlineStr">
        <is>
          <t>Claude (AI Engineer)</t>
        </is>
      </c>
      <c r="J182" s="12" t="inlineStr">
        <is>
          <t>SIT</t>
        </is>
      </c>
      <c r="K182" s="12" t="n"/>
    </row>
    <row r="183">
      <c r="A183" s="12" t="inlineStr">
        <is>
          <t>AC-007-001-02</t>
        </is>
      </c>
      <c r="B183" s="12" t="inlineStr">
        <is>
          <t>US-007-001</t>
        </is>
      </c>
      <c r="C183" s="12" t="inlineStr">
        <is>
          <t>EP-007</t>
        </is>
      </c>
      <c r="D183" s="12" t="inlineStr">
        <is>
          <t>Incomplete break/attendance creates a visible incomplete state.</t>
        </is>
      </c>
      <c r="E183" s="12" t="str"/>
      <c r="F183" s="12" t="inlineStr">
        <is>
          <t>Not Tested</t>
        </is>
      </c>
      <c r="G183" s="12" t="str"/>
      <c r="H183" s="12" t="str"/>
      <c r="I183" s="12" t="inlineStr">
        <is>
          <t>Claude (AI Engineer)</t>
        </is>
      </c>
      <c r="J183" s="12" t="inlineStr">
        <is>
          <t>SIT</t>
        </is>
      </c>
      <c r="K183" s="12" t="n"/>
    </row>
    <row r="184">
      <c r="A184" s="12" t="inlineStr">
        <is>
          <t>AC-007-001-03</t>
        </is>
      </c>
      <c r="B184" s="12" t="inlineStr">
        <is>
          <t>US-007-001</t>
        </is>
      </c>
      <c r="C184" s="12" t="inlineStr">
        <is>
          <t>EP-007</t>
        </is>
      </c>
      <c r="D184" s="12" t="inlineStr">
        <is>
          <t>Calculation uses authoritative timestamps.</t>
        </is>
      </c>
      <c r="E184" s="12" t="str"/>
      <c r="F184" s="12" t="inlineStr">
        <is>
          <t>Not Tested</t>
        </is>
      </c>
      <c r="G184" s="12" t="str"/>
      <c r="H184" s="12" t="str"/>
      <c r="I184" s="12" t="inlineStr">
        <is>
          <t>Claude (AI Engineer)</t>
        </is>
      </c>
      <c r="J184" s="12" t="inlineStr">
        <is>
          <t>SIT</t>
        </is>
      </c>
      <c r="K184" s="12" t="n"/>
    </row>
    <row r="185">
      <c r="A185" s="12" t="inlineStr">
        <is>
          <t>AC-007-001-04</t>
        </is>
      </c>
      <c r="B185" s="12" t="inlineStr">
        <is>
          <t>US-007-001</t>
        </is>
      </c>
      <c r="C185" s="12" t="inlineStr">
        <is>
          <t>EP-007</t>
        </is>
      </c>
      <c r="D185" s="12" t="inlineStr">
        <is>
          <t>Result is reproducible from stored events.</t>
        </is>
      </c>
      <c r="E185" s="12" t="str"/>
      <c r="F185" s="12" t="inlineStr">
        <is>
          <t>Not Tested</t>
        </is>
      </c>
      <c r="G185" s="12" t="str"/>
      <c r="H185" s="12" t="str"/>
      <c r="I185" s="12" t="inlineStr">
        <is>
          <t>Claude (AI Engineer)</t>
        </is>
      </c>
      <c r="J185" s="12" t="inlineStr">
        <is>
          <t>SIT</t>
        </is>
      </c>
      <c r="K185" s="12" t="n"/>
    </row>
    <row r="186">
      <c r="A186" s="12" t="inlineStr">
        <is>
          <t>AC-007-002-01</t>
        </is>
      </c>
      <c r="B186" s="12" t="inlineStr">
        <is>
          <t>US-007-002</t>
        </is>
      </c>
      <c r="C186" s="12" t="inlineStr">
        <is>
          <t>EP-007</t>
        </is>
      </c>
      <c r="D186" s="12" t="inlineStr">
        <is>
          <t>Task total equals sum of valid non-overlapping task segments.</t>
        </is>
      </c>
      <c r="E186" s="12" t="str"/>
      <c r="F186" s="12" t="inlineStr">
        <is>
          <t>Not Tested</t>
        </is>
      </c>
      <c r="G186" s="12" t="str"/>
      <c r="H186" s="12" t="str"/>
      <c r="I186" s="12" t="inlineStr">
        <is>
          <t>Claude (AI Engineer)</t>
        </is>
      </c>
      <c r="J186" s="12" t="inlineStr">
        <is>
          <t>SIT</t>
        </is>
      </c>
      <c r="K186" s="12" t="n"/>
    </row>
    <row r="187">
      <c r="A187" s="12" t="inlineStr">
        <is>
          <t>AC-007-002-02</t>
        </is>
      </c>
      <c r="B187" s="12" t="inlineStr">
        <is>
          <t>US-007-002</t>
        </is>
      </c>
      <c r="C187" s="12" t="inlineStr">
        <is>
          <t>EP-007</t>
        </is>
      </c>
      <c r="D187" s="12" t="inlineStr">
        <is>
          <t>Paused time is excluded.</t>
        </is>
      </c>
      <c r="E187" s="12" t="str"/>
      <c r="F187" s="12" t="inlineStr">
        <is>
          <t>Not Tested</t>
        </is>
      </c>
      <c r="G187" s="12" t="str"/>
      <c r="H187" s="12" t="str"/>
      <c r="I187" s="12" t="inlineStr">
        <is>
          <t>Claude (AI Engineer)</t>
        </is>
      </c>
      <c r="J187" s="12" t="inlineStr">
        <is>
          <t>SIT</t>
        </is>
      </c>
      <c r="K187" s="12" t="n"/>
    </row>
    <row r="188">
      <c r="A188" s="12" t="inlineStr">
        <is>
          <t>AC-007-002-03</t>
        </is>
      </c>
      <c r="B188" s="12" t="inlineStr">
        <is>
          <t>US-007-002</t>
        </is>
      </c>
      <c r="C188" s="12" t="inlineStr">
        <is>
          <t>EP-007</t>
        </is>
      </c>
      <c r="D188" s="12" t="inlineStr">
        <is>
          <t>Task time outside an eligible attendance session is rejected or flagged according to correction policy.</t>
        </is>
      </c>
      <c r="E188" s="12" t="str"/>
      <c r="F188" s="12" t="inlineStr">
        <is>
          <t>Not Tested</t>
        </is>
      </c>
      <c r="G188" s="12" t="str"/>
      <c r="H188" s="12" t="str"/>
      <c r="I188" s="12" t="inlineStr">
        <is>
          <t>Claude (AI Engineer)</t>
        </is>
      </c>
      <c r="J188" s="12" t="inlineStr">
        <is>
          <t>SIT</t>
        </is>
      </c>
      <c r="K188" s="12" t="inlineStr">
        <is>
          <t>Feature implemented; not yet individually verified by an automated or manual test.</t>
        </is>
      </c>
    </row>
    <row r="189">
      <c r="A189" s="12" t="inlineStr">
        <is>
          <t>AC-007-002-04</t>
        </is>
      </c>
      <c r="B189" s="12" t="inlineStr">
        <is>
          <t>US-007-002</t>
        </is>
      </c>
      <c r="C189" s="12" t="inlineStr">
        <is>
          <t>EP-007</t>
        </is>
      </c>
      <c r="D189" s="12" t="inlineStr">
        <is>
          <t>Daily total is reproducible.</t>
        </is>
      </c>
      <c r="E189" s="12" t="str"/>
      <c r="F189" s="12" t="inlineStr">
        <is>
          <t>Not Tested</t>
        </is>
      </c>
      <c r="G189" s="12" t="str"/>
      <c r="H189" s="12" t="str"/>
      <c r="I189" s="12" t="inlineStr">
        <is>
          <t>Claude (AI Engineer)</t>
        </is>
      </c>
      <c r="J189" s="12" t="inlineStr">
        <is>
          <t>SIT</t>
        </is>
      </c>
      <c r="K189" s="12" t="n"/>
    </row>
    <row r="190">
      <c r="A190" s="12" t="inlineStr">
        <is>
          <t>AC-007-003-01</t>
        </is>
      </c>
      <c r="B190" s="12" t="inlineStr">
        <is>
          <t>US-007-003</t>
        </is>
      </c>
      <c r="C190" s="12" t="inlineStr">
        <is>
          <t>EP-007</t>
        </is>
      </c>
      <c r="D190" s="12" t="inlineStr">
        <is>
          <t>Unallocated time equals net working time minus eligible task time.</t>
        </is>
      </c>
      <c r="E190" s="12" t="str"/>
      <c r="F190" s="12" t="inlineStr">
        <is>
          <t>Not Tested</t>
        </is>
      </c>
      <c r="G190" s="12" t="str"/>
      <c r="H190" s="12" t="str"/>
      <c r="I190" s="12" t="inlineStr">
        <is>
          <t>Claude (AI Engineer)</t>
        </is>
      </c>
      <c r="J190" s="12" t="inlineStr">
        <is>
          <t>SIT</t>
        </is>
      </c>
      <c r="K190" s="12" t="n"/>
    </row>
    <row r="191">
      <c r="A191" s="12" t="inlineStr">
        <is>
          <t>AC-007-003-02</t>
        </is>
      </c>
      <c r="B191" s="12" t="inlineStr">
        <is>
          <t>US-007-003</t>
        </is>
      </c>
      <c r="C191" s="12" t="inlineStr">
        <is>
          <t>EP-007</t>
        </is>
      </c>
      <c r="D191" s="12" t="inlineStr">
        <is>
          <t>Value cannot be negative without a data-quality exception.</t>
        </is>
      </c>
      <c r="E191" s="12" t="str"/>
      <c r="F191" s="12" t="inlineStr">
        <is>
          <t>Not Tested</t>
        </is>
      </c>
      <c r="G191" s="12" t="str"/>
      <c r="H191" s="12" t="str"/>
      <c r="I191" s="12" t="inlineStr">
        <is>
          <t>Claude (AI Engineer)</t>
        </is>
      </c>
      <c r="J191" s="12" t="inlineStr">
        <is>
          <t>SIT</t>
        </is>
      </c>
      <c r="K191" s="12" t="n"/>
    </row>
    <row r="192">
      <c r="A192" s="12" t="inlineStr">
        <is>
          <t>AC-007-003-03</t>
        </is>
      </c>
      <c r="B192" s="12" t="inlineStr">
        <is>
          <t>US-007-003</t>
        </is>
      </c>
      <c r="C192" s="12" t="inlineStr">
        <is>
          <t>EP-007</t>
        </is>
      </c>
      <c r="D192" s="12" t="inlineStr">
        <is>
          <t>Daily dashboard displays unallocated amount.</t>
        </is>
      </c>
      <c r="E192" s="12" t="str"/>
      <c r="F192" s="12" t="inlineStr">
        <is>
          <t>Not Tested</t>
        </is>
      </c>
      <c r="G192" s="12" t="str"/>
      <c r="H192" s="12" t="str"/>
      <c r="I192" s="12" t="inlineStr">
        <is>
          <t>Claude (AI Engineer)</t>
        </is>
      </c>
      <c r="J192" s="12" t="inlineStr">
        <is>
          <t>SIT</t>
        </is>
      </c>
      <c r="K192" s="12" t="n"/>
    </row>
    <row r="193">
      <c r="A193" s="12" t="inlineStr">
        <is>
          <t>AC-007-003-04</t>
        </is>
      </c>
      <c r="B193" s="12" t="inlineStr">
        <is>
          <t>US-007-003</t>
        </is>
      </c>
      <c r="C193" s="12" t="inlineStr">
        <is>
          <t>EP-007</t>
        </is>
      </c>
      <c r="D193" s="12" t="inlineStr">
        <is>
          <t>Drill-down shows attendance and task components.</t>
        </is>
      </c>
      <c r="E193" s="12" t="str"/>
      <c r="F193" s="12" t="inlineStr">
        <is>
          <t>Not Tested</t>
        </is>
      </c>
      <c r="G193" s="12" t="str"/>
      <c r="H193" s="12" t="str"/>
      <c r="I193" s="12" t="inlineStr">
        <is>
          <t>Claude (AI Engineer)</t>
        </is>
      </c>
      <c r="J193" s="12" t="inlineStr">
        <is>
          <t>SIT</t>
        </is>
      </c>
      <c r="K193" s="12" t="inlineStr">
        <is>
          <t>Feature implemented; not yet individually verified by an automated or manual test.</t>
        </is>
      </c>
    </row>
    <row r="194">
      <c r="A194" s="12" t="inlineStr">
        <is>
          <t>AC-007-004-01</t>
        </is>
      </c>
      <c r="B194" s="12" t="inlineStr">
        <is>
          <t>US-007-004</t>
        </is>
      </c>
      <c r="C194" s="12" t="inlineStr">
        <is>
          <t>EP-007</t>
        </is>
      </c>
      <c r="D194" s="12" t="inlineStr">
        <is>
          <t>System detects task time outside attendance or excessive overlap.</t>
        </is>
      </c>
      <c r="E194" s="12" t="str"/>
      <c r="F194" s="12" t="inlineStr">
        <is>
          <t>Not Tested</t>
        </is>
      </c>
      <c r="G194" s="12" t="str"/>
      <c r="H194" s="12" t="str"/>
      <c r="I194" s="12" t="inlineStr">
        <is>
          <t>Claude (AI Engineer)</t>
        </is>
      </c>
      <c r="J194" s="12" t="inlineStr">
        <is>
          <t>SIT</t>
        </is>
      </c>
      <c r="K194" s="12" t="n"/>
    </row>
    <row r="195">
      <c r="A195" s="12" t="inlineStr">
        <is>
          <t>AC-007-004-02</t>
        </is>
      </c>
      <c r="B195" s="12" t="inlineStr">
        <is>
          <t>US-007-004</t>
        </is>
      </c>
      <c r="C195" s="12" t="inlineStr">
        <is>
          <t>EP-007</t>
        </is>
      </c>
      <c r="D195" s="12" t="inlineStr">
        <is>
          <t>Data-quality exception is visible to administrator.</t>
        </is>
      </c>
      <c r="E195" s="12" t="str"/>
      <c r="F195" s="12" t="inlineStr">
        <is>
          <t>Pass</t>
        </is>
      </c>
      <c r="G195" s="12" t="str"/>
      <c r="H195" s="12" t="str"/>
      <c r="I195" s="12" t="inlineStr">
        <is>
          <t>Claude (AI Engineer)</t>
        </is>
      </c>
      <c r="J195" s="12" t="inlineStr">
        <is>
          <t>SIT</t>
        </is>
      </c>
      <c r="K195" s="12" t="inlineStr">
        <is>
          <t>The Admin Reports &gt; Unallocated Time report includes a dataQualityException column per row (reports.service.ts unallocatedReport), reusing the same unit-tested reconciliation logic — no separate screen was needed.</t>
        </is>
      </c>
    </row>
    <row r="196">
      <c r="A196" s="12" t="inlineStr">
        <is>
          <t>AC-007-004-03</t>
        </is>
      </c>
      <c r="B196" s="12" t="inlineStr">
        <is>
          <t>US-007-004</t>
        </is>
      </c>
      <c r="C196" s="12" t="inlineStr">
        <is>
          <t>EP-007</t>
        </is>
      </c>
      <c r="D196" s="12" t="inlineStr">
        <is>
          <t>System does not silently alter original records.</t>
        </is>
      </c>
      <c r="E196" s="12" t="str"/>
      <c r="F196" s="12" t="inlineStr">
        <is>
          <t>Not Tested</t>
        </is>
      </c>
      <c r="G196" s="12" t="str"/>
      <c r="H196" s="12" t="str"/>
      <c r="I196" s="12" t="inlineStr">
        <is>
          <t>Claude (AI Engineer)</t>
        </is>
      </c>
      <c r="J196" s="12" t="inlineStr">
        <is>
          <t>SIT</t>
        </is>
      </c>
      <c r="K196" s="12" t="n"/>
    </row>
    <row r="197">
      <c r="A197" s="12" t="inlineStr">
        <is>
          <t>AC-007-004-04</t>
        </is>
      </c>
      <c r="B197" s="12" t="inlineStr">
        <is>
          <t>US-007-004</t>
        </is>
      </c>
      <c r="C197" s="12" t="inlineStr">
        <is>
          <t>EP-007</t>
        </is>
      </c>
      <c r="D197" s="12" t="inlineStr">
        <is>
          <t>Correction workflow can resolve the issue.</t>
        </is>
      </c>
      <c r="E197" s="12" t="str"/>
      <c r="F197" s="12" t="inlineStr">
        <is>
          <t>Not Tested</t>
        </is>
      </c>
      <c r="G197" s="12" t="str"/>
      <c r="H197" s="12" t="str"/>
      <c r="I197" s="12" t="inlineStr">
        <is>
          <t>Claude (AI Engineer)</t>
        </is>
      </c>
      <c r="J197" s="12" t="inlineStr">
        <is>
          <t>SIT</t>
        </is>
      </c>
      <c r="K197" s="12" t="inlineStr">
        <is>
          <t>Feature implemented; not yet individually verified by an automated or manual test.</t>
        </is>
      </c>
    </row>
    <row r="198">
      <c r="A198" s="12" t="inlineStr">
        <is>
          <t>AC-007-005-01</t>
        </is>
      </c>
      <c r="B198" s="12" t="inlineStr">
        <is>
          <t>US-007-005</t>
        </is>
      </c>
      <c r="C198" s="12" t="inlineStr">
        <is>
          <t>EP-007</t>
        </is>
      </c>
      <c r="D198" s="12" t="inlineStr">
        <is>
          <t>Timeline includes clock-in/out, breaks and task intervals.</t>
        </is>
      </c>
      <c r="E198" s="12" t="str"/>
      <c r="F198" s="12" t="inlineStr">
        <is>
          <t>Not Tested</t>
        </is>
      </c>
      <c r="G198" s="12" t="str"/>
      <c r="H198" s="12" t="str"/>
      <c r="I198" s="12" t="inlineStr">
        <is>
          <t>Claude (AI Engineer)</t>
        </is>
      </c>
      <c r="J198" s="12" t="inlineStr">
        <is>
          <t>SIT</t>
        </is>
      </c>
      <c r="K198" s="12" t="inlineStr">
        <is>
          <t>Feature implemented; not yet individually verified by an automated or manual test.</t>
        </is>
      </c>
    </row>
    <row r="199">
      <c r="A199" s="12" t="inlineStr">
        <is>
          <t>AC-007-005-02</t>
        </is>
      </c>
      <c r="B199" s="12" t="inlineStr">
        <is>
          <t>US-007-005</t>
        </is>
      </c>
      <c r="C199" s="12" t="inlineStr">
        <is>
          <t>EP-007</t>
        </is>
      </c>
      <c r="D199" s="12" t="inlineStr">
        <is>
          <t>Events are ordered chronologically.</t>
        </is>
      </c>
      <c r="E199" s="12" t="str"/>
      <c r="F199" s="12" t="inlineStr">
        <is>
          <t>Not Tested</t>
        </is>
      </c>
      <c r="G199" s="12" t="str"/>
      <c r="H199" s="12" t="str"/>
      <c r="I199" s="12" t="inlineStr">
        <is>
          <t>Claude (AI Engineer)</t>
        </is>
      </c>
      <c r="J199" s="12" t="inlineStr">
        <is>
          <t>SIT</t>
        </is>
      </c>
      <c r="K199" s="12" t="inlineStr">
        <is>
          <t>Feature implemented; not yet individually verified by an automated or manual test.</t>
        </is>
      </c>
    </row>
    <row r="200">
      <c r="A200" s="12" t="inlineStr">
        <is>
          <t>AC-007-005-03</t>
        </is>
      </c>
      <c r="B200" s="12" t="inlineStr">
        <is>
          <t>US-007-005</t>
        </is>
      </c>
      <c r="C200" s="12" t="inlineStr">
        <is>
          <t>EP-007</t>
        </is>
      </c>
      <c r="D200" s="12" t="inlineStr">
        <is>
          <t>Gaps are visually identifiable.</t>
        </is>
      </c>
      <c r="E200" s="12" t="str"/>
      <c r="F200" s="12" t="inlineStr">
        <is>
          <t>Not Tested</t>
        </is>
      </c>
      <c r="G200" s="12" t="str"/>
      <c r="H200" s="12" t="str"/>
      <c r="I200" s="12" t="inlineStr">
        <is>
          <t>Claude (AI Engineer)</t>
        </is>
      </c>
      <c r="J200" s="12" t="inlineStr">
        <is>
          <t>SIT</t>
        </is>
      </c>
      <c r="K200" s="12" t="inlineStr">
        <is>
          <t>Feature implemented; not yet individually verified by an automated or manual test.</t>
        </is>
      </c>
    </row>
    <row r="201">
      <c r="A201" s="12" t="inlineStr">
        <is>
          <t>AC-007-005-04</t>
        </is>
      </c>
      <c r="B201" s="12" t="inlineStr">
        <is>
          <t>US-007-005</t>
        </is>
      </c>
      <c r="C201" s="12" t="inlineStr">
        <is>
          <t>EP-007</t>
        </is>
      </c>
      <c r="D201" s="12" t="inlineStr">
        <is>
          <t>Timeline totals reconcile with summary metrics.</t>
        </is>
      </c>
      <c r="E201" s="12" t="str"/>
      <c r="F201" s="12" t="inlineStr">
        <is>
          <t>Not Tested</t>
        </is>
      </c>
      <c r="G201" s="12" t="str"/>
      <c r="H201" s="12" t="str"/>
      <c r="I201" s="12" t="inlineStr">
        <is>
          <t>Claude (AI Engineer)</t>
        </is>
      </c>
      <c r="J201" s="12" t="inlineStr">
        <is>
          <t>SIT</t>
        </is>
      </c>
      <c r="K201" s="12" t="inlineStr">
        <is>
          <t>Feature implemented; not yet individually verified by an automated or manual test.</t>
        </is>
      </c>
    </row>
    <row r="202">
      <c r="A202" s="12" t="inlineStr">
        <is>
          <t>AC-008-001-01</t>
        </is>
      </c>
      <c r="B202" s="12" t="inlineStr">
        <is>
          <t>US-008-001</t>
        </is>
      </c>
      <c r="C202" s="12" t="inlineStr">
        <is>
          <t>EP-008</t>
        </is>
      </c>
      <c r="D202" s="12" t="inlineStr">
        <is>
          <t>Dashboard shows current attendance state.</t>
        </is>
      </c>
      <c r="E202" s="12" t="str"/>
      <c r="F202" s="12" t="inlineStr">
        <is>
          <t>Not Tested</t>
        </is>
      </c>
      <c r="G202" s="12" t="str"/>
      <c r="H202" s="12" t="str"/>
      <c r="I202" s="12" t="inlineStr">
        <is>
          <t>Claude (AI Engineer)</t>
        </is>
      </c>
      <c r="J202" s="12" t="inlineStr">
        <is>
          <t>SIT</t>
        </is>
      </c>
      <c r="K202" s="12" t="inlineStr">
        <is>
          <t>Feature implemented; not yet individually verified by an automated or manual test.</t>
        </is>
      </c>
    </row>
    <row r="203">
      <c r="A203" s="12" t="inlineStr">
        <is>
          <t>AC-008-001-02</t>
        </is>
      </c>
      <c r="B203" s="12" t="inlineStr">
        <is>
          <t>US-008-001</t>
        </is>
      </c>
      <c r="C203" s="12" t="inlineStr">
        <is>
          <t>EP-008</t>
        </is>
      </c>
      <c r="D203" s="12" t="inlineStr">
        <is>
          <t>Dashboard shows current break/task state.</t>
        </is>
      </c>
      <c r="E203" s="12" t="str"/>
      <c r="F203" s="12" t="inlineStr">
        <is>
          <t>Not Tested</t>
        </is>
      </c>
      <c r="G203" s="12" t="str"/>
      <c r="H203" s="12" t="str"/>
      <c r="I203" s="12" t="inlineStr">
        <is>
          <t>Claude (AI Engineer)</t>
        </is>
      </c>
      <c r="J203" s="12" t="inlineStr">
        <is>
          <t>SIT</t>
        </is>
      </c>
      <c r="K203" s="12" t="inlineStr">
        <is>
          <t>Feature implemented; not yet individually verified by an automated or manual test.</t>
        </is>
      </c>
    </row>
    <row r="204">
      <c r="A204" s="12" t="inlineStr">
        <is>
          <t>AC-008-001-03</t>
        </is>
      </c>
      <c r="B204" s="12" t="inlineStr">
        <is>
          <t>US-008-001</t>
        </is>
      </c>
      <c r="C204" s="12" t="inlineStr">
        <is>
          <t>EP-008</t>
        </is>
      </c>
      <c r="D204" s="12" t="inlineStr">
        <is>
          <t>Worked, break, task and unallocated time are shown.</t>
        </is>
      </c>
      <c r="E204" s="12" t="str"/>
      <c r="F204" s="12" t="inlineStr">
        <is>
          <t>Not Tested</t>
        </is>
      </c>
      <c r="G204" s="12" t="str"/>
      <c r="H204" s="12" t="str"/>
      <c r="I204" s="12" t="inlineStr">
        <is>
          <t>Claude (AI Engineer)</t>
        </is>
      </c>
      <c r="J204" s="12" t="inlineStr">
        <is>
          <t>SIT</t>
        </is>
      </c>
      <c r="K204" s="12" t="inlineStr">
        <is>
          <t>Feature implemented; not yet individually verified by an automated or manual test.</t>
        </is>
      </c>
    </row>
    <row r="205">
      <c r="A205" s="12" t="inlineStr">
        <is>
          <t>AC-008-001-04</t>
        </is>
      </c>
      <c r="B205" s="12" t="inlineStr">
        <is>
          <t>US-008-001</t>
        </is>
      </c>
      <c r="C205" s="12" t="inlineStr">
        <is>
          <t>EP-008</t>
        </is>
      </c>
      <c r="D205" s="12" t="inlineStr">
        <is>
          <t>Primary actions are available without navigating to separate administration screens.</t>
        </is>
      </c>
      <c r="E205" s="12" t="str"/>
      <c r="F205" s="12" t="inlineStr">
        <is>
          <t>Not Tested</t>
        </is>
      </c>
      <c r="G205" s="12" t="str"/>
      <c r="H205" s="12" t="str"/>
      <c r="I205" s="12" t="inlineStr">
        <is>
          <t>Claude (AI Engineer)</t>
        </is>
      </c>
      <c r="J205" s="12" t="inlineStr">
        <is>
          <t>SIT</t>
        </is>
      </c>
      <c r="K205" s="12" t="inlineStr">
        <is>
          <t>Feature implemented; not yet individually verified by an automated or manual test.</t>
        </is>
      </c>
    </row>
    <row r="206">
      <c r="A206" s="12" t="inlineStr">
        <is>
          <t>AC-008-002-01</t>
        </is>
      </c>
      <c r="B206" s="12" t="inlineStr">
        <is>
          <t>US-008-002</t>
        </is>
      </c>
      <c r="C206" s="12" t="inlineStr">
        <is>
          <t>EP-008</t>
        </is>
      </c>
      <c r="D206" s="12" t="inlineStr">
        <is>
          <t>Dashboard shows registered/active users, currently working, on break and not clocked in.</t>
        </is>
      </c>
      <c r="E206" s="12" t="str"/>
      <c r="F206" s="12" t="inlineStr">
        <is>
          <t>Not Tested</t>
        </is>
      </c>
      <c r="G206" s="12" t="str"/>
      <c r="H206" s="12" t="str"/>
      <c r="I206" s="12" t="inlineStr">
        <is>
          <t>Claude (AI Engineer)</t>
        </is>
      </c>
      <c r="J206" s="12" t="inlineStr">
        <is>
          <t>SIT</t>
        </is>
      </c>
      <c r="K206" s="12" t="inlineStr">
        <is>
          <t>Feature implemented; not yet individually verified by an automated or manual test.</t>
        </is>
      </c>
    </row>
    <row r="207">
      <c r="A207" s="12" t="inlineStr">
        <is>
          <t>AC-008-002-02</t>
        </is>
      </c>
      <c r="B207" s="12" t="inlineStr">
        <is>
          <t>US-008-002</t>
        </is>
      </c>
      <c r="C207" s="12" t="inlineStr">
        <is>
          <t>EP-008</t>
        </is>
      </c>
      <c r="D207" s="12" t="inlineStr">
        <is>
          <t>Dashboard shows active task timers.</t>
        </is>
      </c>
      <c r="E207" s="12" t="str"/>
      <c r="F207" s="12" t="inlineStr">
        <is>
          <t>Not Tested</t>
        </is>
      </c>
      <c r="G207" s="12" t="str"/>
      <c r="H207" s="12" t="str"/>
      <c r="I207" s="12" t="inlineStr">
        <is>
          <t>Claude (AI Engineer)</t>
        </is>
      </c>
      <c r="J207" s="12" t="inlineStr">
        <is>
          <t>SIT</t>
        </is>
      </c>
      <c r="K207" s="12" t="inlineStr">
        <is>
          <t>Feature implemented; not yet individually verified by an automated or manual test.</t>
        </is>
      </c>
    </row>
    <row r="208">
      <c r="A208" s="12" t="inlineStr">
        <is>
          <t>AC-008-002-03</t>
        </is>
      </c>
      <c r="B208" s="12" t="inlineStr">
        <is>
          <t>US-008-002</t>
        </is>
      </c>
      <c r="C208" s="12" t="inlineStr">
        <is>
          <t>EP-008</t>
        </is>
      </c>
      <c r="D208" s="12" t="inlineStr">
        <is>
          <t>Counts update on refresh and may update live where implemented.</t>
        </is>
      </c>
      <c r="E208" s="12" t="str"/>
      <c r="F208" s="12" t="inlineStr">
        <is>
          <t>Not Tested</t>
        </is>
      </c>
      <c r="G208" s="12" t="str"/>
      <c r="H208" s="12" t="str"/>
      <c r="I208" s="12" t="inlineStr">
        <is>
          <t>Claude (AI Engineer)</t>
        </is>
      </c>
      <c r="J208" s="12" t="inlineStr">
        <is>
          <t>SIT</t>
        </is>
      </c>
      <c r="K208" s="12" t="inlineStr">
        <is>
          <t>Feature implemented; not yet individually verified by an automated or manual test.</t>
        </is>
      </c>
    </row>
    <row r="209">
      <c r="A209" s="12" t="inlineStr">
        <is>
          <t>AC-008-002-04</t>
        </is>
      </c>
      <c r="B209" s="12" t="inlineStr">
        <is>
          <t>US-008-002</t>
        </is>
      </c>
      <c r="C209" s="12" t="inlineStr">
        <is>
          <t>EP-008</t>
        </is>
      </c>
      <c r="D209" s="12" t="inlineStr">
        <is>
          <t>KPIs link to filtered detail views.</t>
        </is>
      </c>
      <c r="E209" s="12" t="str"/>
      <c r="F209" s="12" t="inlineStr">
        <is>
          <t>Not Tested</t>
        </is>
      </c>
      <c r="G209" s="12" t="str"/>
      <c r="H209" s="12" t="str"/>
      <c r="I209" s="12" t="inlineStr">
        <is>
          <t>Claude (AI Engineer)</t>
        </is>
      </c>
      <c r="J209" s="12" t="inlineStr">
        <is>
          <t>SIT</t>
        </is>
      </c>
      <c r="K209" s="12" t="inlineStr">
        <is>
          <t>Feature implemented; not yet individually verified by an automated or manual test.</t>
        </is>
      </c>
    </row>
    <row r="210">
      <c r="A210" s="12" t="inlineStr">
        <is>
          <t>AC-008-003-01</t>
        </is>
      </c>
      <c r="B210" s="12" t="inlineStr">
        <is>
          <t>US-008-003</t>
        </is>
      </c>
      <c r="C210" s="12" t="inlineStr">
        <is>
          <t>EP-008</t>
        </is>
      </c>
      <c r="D210" s="12" t="inlineStr">
        <is>
          <t>Table shows user, attendance status, clock-in time, break status and current task.</t>
        </is>
      </c>
      <c r="E210" s="12" t="str"/>
      <c r="F210" s="12" t="inlineStr">
        <is>
          <t>Not Tested</t>
        </is>
      </c>
      <c r="G210" s="12" t="str"/>
      <c r="H210" s="12" t="str"/>
      <c r="I210" s="12" t="inlineStr">
        <is>
          <t>Claude (AI Engineer)</t>
        </is>
      </c>
      <c r="J210" s="12" t="inlineStr">
        <is>
          <t>SIT</t>
        </is>
      </c>
      <c r="K210" s="12" t="inlineStr">
        <is>
          <t>Feature implemented; not yet individually verified by an automated or manual test.</t>
        </is>
      </c>
    </row>
    <row r="211">
      <c r="A211" s="12" t="inlineStr">
        <is>
          <t>AC-008-003-02</t>
        </is>
      </c>
      <c r="B211" s="12" t="inlineStr">
        <is>
          <t>US-008-003</t>
        </is>
      </c>
      <c r="C211" s="12" t="inlineStr">
        <is>
          <t>EP-008</t>
        </is>
      </c>
      <c r="D211" s="12" t="inlineStr">
        <is>
          <t>Only authorised administrators can access it.</t>
        </is>
      </c>
      <c r="E211" s="12" t="str"/>
      <c r="F211" s="12" t="inlineStr">
        <is>
          <t>Not Tested</t>
        </is>
      </c>
      <c r="G211" s="12" t="str"/>
      <c r="H211" s="12" t="str"/>
      <c r="I211" s="12" t="inlineStr">
        <is>
          <t>Claude (AI Engineer)</t>
        </is>
      </c>
      <c r="J211" s="12" t="inlineStr">
        <is>
          <t>SIT</t>
        </is>
      </c>
      <c r="K211" s="12" t="inlineStr">
        <is>
          <t>Feature implemented; not yet individually verified by an automated or manual test.</t>
        </is>
      </c>
    </row>
    <row r="212">
      <c r="A212" s="12" t="inlineStr">
        <is>
          <t>AC-008-003-03</t>
        </is>
      </c>
      <c r="B212" s="12" t="inlineStr">
        <is>
          <t>US-008-003</t>
        </is>
      </c>
      <c r="C212" s="12" t="inlineStr">
        <is>
          <t>EP-008</t>
        </is>
      </c>
      <c r="D212" s="12" t="inlineStr">
        <is>
          <t>Inactive users are excluded by default.</t>
        </is>
      </c>
      <c r="E212" s="12" t="str"/>
      <c r="F212" s="12" t="inlineStr">
        <is>
          <t>Not Tested</t>
        </is>
      </c>
      <c r="G212" s="12" t="str"/>
      <c r="H212" s="12" t="str"/>
      <c r="I212" s="12" t="inlineStr">
        <is>
          <t>Claude (AI Engineer)</t>
        </is>
      </c>
      <c r="J212" s="12" t="inlineStr">
        <is>
          <t>SIT</t>
        </is>
      </c>
      <c r="K212" s="12" t="inlineStr">
        <is>
          <t>Feature implemented; not yet individually verified by an automated or manual test.</t>
        </is>
      </c>
    </row>
    <row r="213">
      <c r="A213" s="12" t="inlineStr">
        <is>
          <t>AC-008-003-04</t>
        </is>
      </c>
      <c r="B213" s="12" t="inlineStr">
        <is>
          <t>US-008-003</t>
        </is>
      </c>
      <c r="C213" s="12" t="inlineStr">
        <is>
          <t>EP-008</t>
        </is>
      </c>
      <c r="D213" s="12" t="inlineStr">
        <is>
          <t>Table can be searched/filter by user/department.</t>
        </is>
      </c>
      <c r="E213" s="12" t="str"/>
      <c r="F213" s="12" t="inlineStr">
        <is>
          <t>Not Tested</t>
        </is>
      </c>
      <c r="G213" s="12" t="str"/>
      <c r="H213" s="12" t="str"/>
      <c r="I213" s="12" t="inlineStr">
        <is>
          <t>Claude (AI Engineer)</t>
        </is>
      </c>
      <c r="J213" s="12" t="inlineStr">
        <is>
          <t>SIT</t>
        </is>
      </c>
      <c r="K213" s="12" t="inlineStr">
        <is>
          <t>Feature implemented; not yet individually verified by an automated or manual test.</t>
        </is>
      </c>
    </row>
    <row r="214">
      <c r="A214" s="12" t="inlineStr">
        <is>
          <t>AC-008-004-01</t>
        </is>
      </c>
      <c r="B214" s="12" t="inlineStr">
        <is>
          <t>US-008-004</t>
        </is>
      </c>
      <c r="C214" s="12" t="inlineStr">
        <is>
          <t>EP-008</t>
        </is>
      </c>
      <c r="D214" s="12" t="inlineStr">
        <is>
          <t>Dashboard shows tasks by status.</t>
        </is>
      </c>
      <c r="E214" s="12" t="str"/>
      <c r="F214" s="12" t="inlineStr">
        <is>
          <t>Not Tested</t>
        </is>
      </c>
      <c r="G214" s="12" t="str"/>
      <c r="H214" s="12" t="str"/>
      <c r="I214" s="12" t="inlineStr">
        <is>
          <t>Claude (AI Engineer)</t>
        </is>
      </c>
      <c r="J214" s="12" t="inlineStr">
        <is>
          <t>SIT</t>
        </is>
      </c>
      <c r="K214" s="12" t="inlineStr">
        <is>
          <t>Feature implemented; not yet individually verified by an automated or manual test.</t>
        </is>
      </c>
    </row>
    <row r="215">
      <c r="A215" s="12" t="inlineStr">
        <is>
          <t>AC-008-004-02</t>
        </is>
      </c>
      <c r="B215" s="12" t="inlineStr">
        <is>
          <t>US-008-004</t>
        </is>
      </c>
      <c r="C215" s="12" t="inlineStr">
        <is>
          <t>EP-008</t>
        </is>
      </c>
      <c r="D215" s="12" t="inlineStr">
        <is>
          <t>Overdue task count uses due date and status.</t>
        </is>
      </c>
      <c r="E215" s="12" t="str"/>
      <c r="F215" s="12" t="inlineStr">
        <is>
          <t>Not Tested</t>
        </is>
      </c>
      <c r="G215" s="12" t="str"/>
      <c r="H215" s="12" t="str"/>
      <c r="I215" s="12" t="inlineStr">
        <is>
          <t>Claude (AI Engineer)</t>
        </is>
      </c>
      <c r="J215" s="12" t="inlineStr">
        <is>
          <t>SIT</t>
        </is>
      </c>
      <c r="K215" s="12" t="inlineStr">
        <is>
          <t>Feature implemented; not yet individually verified by an automated or manual test.</t>
        </is>
      </c>
    </row>
    <row r="216">
      <c r="A216" s="12" t="inlineStr">
        <is>
          <t>AC-008-004-03</t>
        </is>
      </c>
      <c r="B216" s="12" t="inlineStr">
        <is>
          <t>US-008-004</t>
        </is>
      </c>
      <c r="C216" s="12" t="inlineStr">
        <is>
          <t>EP-008</t>
        </is>
      </c>
      <c r="D216" s="12" t="inlineStr">
        <is>
          <t>Administrator can drill down to task list.</t>
        </is>
      </c>
      <c r="E216" s="12" t="str"/>
      <c r="F216" s="12" t="inlineStr">
        <is>
          <t>Not Tested</t>
        </is>
      </c>
      <c r="G216" s="12" t="str"/>
      <c r="H216" s="12" t="str"/>
      <c r="I216" s="12" t="inlineStr">
        <is>
          <t>Claude (AI Engineer)</t>
        </is>
      </c>
      <c r="J216" s="12" t="inlineStr">
        <is>
          <t>SIT</t>
        </is>
      </c>
      <c r="K216" s="12" t="inlineStr">
        <is>
          <t>Feature implemented; not yet individually verified by an automated or manual test.</t>
        </is>
      </c>
    </row>
    <row r="217">
      <c r="A217" s="12" t="inlineStr">
        <is>
          <t>AC-008-004-04</t>
        </is>
      </c>
      <c r="B217" s="12" t="inlineStr">
        <is>
          <t>US-008-004</t>
        </is>
      </c>
      <c r="C217" s="12" t="inlineStr">
        <is>
          <t>EP-008</t>
        </is>
      </c>
      <c r="D217" s="12" t="inlineStr">
        <is>
          <t>Actual task time is available where recorded.</t>
        </is>
      </c>
      <c r="E217" s="12" t="str"/>
      <c r="F217" s="12" t="inlineStr">
        <is>
          <t>Not Tested</t>
        </is>
      </c>
      <c r="G217" s="12" t="str"/>
      <c r="H217" s="12" t="str"/>
      <c r="I217" s="12" t="inlineStr">
        <is>
          <t>Claude (AI Engineer)</t>
        </is>
      </c>
      <c r="J217" s="12" t="inlineStr">
        <is>
          <t>SIT</t>
        </is>
      </c>
      <c r="K217" s="12" t="inlineStr">
        <is>
          <t>Feature implemented; not yet individually verified by an automated or manual test.</t>
        </is>
      </c>
    </row>
    <row r="218">
      <c r="A218" s="12" t="inlineStr">
        <is>
          <t>AC-008-005-01</t>
        </is>
      </c>
      <c r="B218" s="12" t="inlineStr">
        <is>
          <t>US-008-005</t>
        </is>
      </c>
      <c r="C218" s="12" t="inlineStr">
        <is>
          <t>EP-008</t>
        </is>
      </c>
      <c r="D218" s="12" t="inlineStr">
        <is>
          <t>Primary actions remain usable at supported mobile widths.</t>
        </is>
      </c>
      <c r="E218" s="12" t="str"/>
      <c r="F218" s="12" t="inlineStr">
        <is>
          <t>Pass</t>
        </is>
      </c>
      <c r="G218" s="12" t="str"/>
      <c r="H218" s="12" t="str"/>
      <c r="I218" s="12" t="inlineStr">
        <is>
          <t>Claude (AI Engineer)</t>
        </is>
      </c>
      <c r="J218" s="12" t="inlineStr">
        <is>
          <t>SIT</t>
        </is>
      </c>
      <c r="K218" s="12" t="inlineStr">
        <is>
          <t>Verified: with the hamburger nav fix, every primary action (clock/break/timer + full navigation) is reachable at 375px width.</t>
        </is>
      </c>
    </row>
    <row r="219">
      <c r="A219" s="12" t="inlineStr">
        <is>
          <t>AC-008-005-02</t>
        </is>
      </c>
      <c r="B219" s="12" t="inlineStr">
        <is>
          <t>US-008-005</t>
        </is>
      </c>
      <c r="C219" s="12" t="inlineStr">
        <is>
          <t>EP-008</t>
        </is>
      </c>
      <c r="D219" s="12" t="inlineStr">
        <is>
          <t>No critical control requires horizontal scrolling.</t>
        </is>
      </c>
      <c r="E219" s="12" t="str"/>
      <c r="F219" s="12" t="inlineStr">
        <is>
          <t>Pass</t>
        </is>
      </c>
      <c r="G219" s="12" t="str"/>
      <c r="H219" s="12" t="str"/>
      <c r="I219" s="12" t="inlineStr">
        <is>
          <t>Claude (AI Engineer)</t>
        </is>
      </c>
      <c r="J219" s="12" t="inlineStr">
        <is>
          <t>SIT</t>
        </is>
      </c>
      <c r="K219" s="12" t="inlineStr">
        <is>
          <t>Verified: no element requires horizontal scrolling at 375px width across My Day, login and the mobile nav panel.</t>
        </is>
      </c>
    </row>
    <row r="220">
      <c r="A220" s="12" t="inlineStr">
        <is>
          <t>AC-008-005-03</t>
        </is>
      </c>
      <c r="B220" s="12" t="inlineStr">
        <is>
          <t>US-008-005</t>
        </is>
      </c>
      <c r="C220" s="12" t="inlineStr">
        <is>
          <t>EP-008</t>
        </is>
      </c>
      <c r="D220" s="12" t="inlineStr">
        <is>
          <t>Timer and clock state remain visible.</t>
        </is>
      </c>
      <c r="E220" s="12" t="str"/>
      <c r="F220" s="12" t="inlineStr">
        <is>
          <t>Pass</t>
        </is>
      </c>
      <c r="G220" s="12" t="str"/>
      <c r="H220" s="12" t="str"/>
      <c r="I220" s="12" t="inlineStr">
        <is>
          <t>Claude (AI Engineer)</t>
        </is>
      </c>
      <c r="J220" s="12" t="inlineStr">
        <is>
          <t>SIT</t>
        </is>
      </c>
      <c r="K220" s="12" t="inlineStr">
        <is>
          <t>Verified: the header's attendance-state badge stays visible above the fold regardless of scroll position.</t>
        </is>
      </c>
    </row>
    <row r="221">
      <c r="A221" s="12" t="inlineStr">
        <is>
          <t>AC-008-005-04</t>
        </is>
      </c>
      <c r="B221" s="12" t="inlineStr">
        <is>
          <t>US-008-005</t>
        </is>
      </c>
      <c r="C221" s="12" t="inlineStr">
        <is>
          <t>EP-008</t>
        </is>
      </c>
      <c r="D221" s="12" t="inlineStr">
        <is>
          <t>Accessibility labels are provided for interactive controls.</t>
        </is>
      </c>
      <c r="E221" s="12" t="str"/>
      <c r="F221" s="12" t="inlineStr">
        <is>
          <t>Pass</t>
        </is>
      </c>
      <c r="G221" s="12" t="str"/>
      <c r="H221" s="12" t="str"/>
      <c r="I221" s="12" t="inlineStr">
        <is>
          <t>Claude (AI Engineer)</t>
        </is>
      </c>
      <c r="J221" s="12" t="inlineStr">
        <is>
          <t>SIT</t>
        </is>
      </c>
      <c r="K221" s="12" t="inlineStr">
        <is>
          <t>Verified: the mobile menu toggle has aria-label and aria-expanded attributes.</t>
        </is>
      </c>
    </row>
    <row r="222">
      <c r="A222" s="12" t="inlineStr">
        <is>
          <t>AC-009-001-01</t>
        </is>
      </c>
      <c r="B222" s="12" t="inlineStr">
        <is>
          <t>US-009-001</t>
        </is>
      </c>
      <c r="C222" s="12" t="inlineStr">
        <is>
          <t>EP-009</t>
        </is>
      </c>
      <c r="D222" s="12" t="inlineStr">
        <is>
          <t>User can identify the attendance record and proposed correction.</t>
        </is>
      </c>
      <c r="E222" s="12" t="str"/>
      <c r="F222" s="12" t="inlineStr">
        <is>
          <t>Not Tested</t>
        </is>
      </c>
      <c r="G222" s="12" t="str"/>
      <c r="H222" s="12" t="str"/>
      <c r="I222" s="12" t="inlineStr">
        <is>
          <t>Claude (AI Engineer)</t>
        </is>
      </c>
      <c r="J222" s="12" t="inlineStr">
        <is>
          <t>SIT</t>
        </is>
      </c>
      <c r="K222" s="12" t="n"/>
    </row>
    <row r="223">
      <c r="A223" s="12" t="inlineStr">
        <is>
          <t>AC-009-001-02</t>
        </is>
      </c>
      <c r="B223" s="12" t="inlineStr">
        <is>
          <t>US-009-001</t>
        </is>
      </c>
      <c r="C223" s="12" t="inlineStr">
        <is>
          <t>EP-009</t>
        </is>
      </c>
      <c r="D223" s="12" t="inlineStr">
        <is>
          <t>Reason is mandatory.</t>
        </is>
      </c>
      <c r="E223" s="12" t="str"/>
      <c r="F223" s="12" t="inlineStr">
        <is>
          <t>Not Tested</t>
        </is>
      </c>
      <c r="G223" s="12" t="str"/>
      <c r="H223" s="12" t="str"/>
      <c r="I223" s="12" t="inlineStr">
        <is>
          <t>Claude (AI Engineer)</t>
        </is>
      </c>
      <c r="J223" s="12" t="inlineStr">
        <is>
          <t>SIT</t>
        </is>
      </c>
      <c r="K223" s="12" t="n"/>
    </row>
    <row r="224">
      <c r="A224" s="12" t="inlineStr">
        <is>
          <t>AC-009-001-03</t>
        </is>
      </c>
      <c r="B224" s="12" t="inlineStr">
        <is>
          <t>US-009-001</t>
        </is>
      </c>
      <c r="C224" s="12" t="inlineStr">
        <is>
          <t>EP-009</t>
        </is>
      </c>
      <c r="D224" s="12" t="inlineStr">
        <is>
          <t>Request does not overwrite original values before approval.</t>
        </is>
      </c>
      <c r="E224" s="12" t="str"/>
      <c r="F224" s="12" t="inlineStr">
        <is>
          <t>Not Tested</t>
        </is>
      </c>
      <c r="G224" s="12" t="str"/>
      <c r="H224" s="12" t="str"/>
      <c r="I224" s="12" t="inlineStr">
        <is>
          <t>Claude (AI Engineer)</t>
        </is>
      </c>
      <c r="J224" s="12" t="inlineStr">
        <is>
          <t>SIT</t>
        </is>
      </c>
      <c r="K224" s="12" t="n"/>
    </row>
    <row r="225">
      <c r="A225" s="12" t="inlineStr">
        <is>
          <t>AC-009-001-04</t>
        </is>
      </c>
      <c r="B225" s="12" t="inlineStr">
        <is>
          <t>US-009-001</t>
        </is>
      </c>
      <c r="C225" s="12" t="inlineStr">
        <is>
          <t>EP-009</t>
        </is>
      </c>
      <c r="D225" s="12" t="inlineStr">
        <is>
          <t>Request status is visible to user.</t>
        </is>
      </c>
      <c r="E225" s="12" t="str"/>
      <c r="F225" s="12" t="inlineStr">
        <is>
          <t>Not Tested</t>
        </is>
      </c>
      <c r="G225" s="12" t="str"/>
      <c r="H225" s="12" t="str"/>
      <c r="I225" s="12" t="inlineStr">
        <is>
          <t>Claude (AI Engineer)</t>
        </is>
      </c>
      <c r="J225" s="12" t="inlineStr">
        <is>
          <t>SIT</t>
        </is>
      </c>
      <c r="K225" s="12" t="n"/>
    </row>
    <row r="226">
      <c r="A226" s="12" t="inlineStr">
        <is>
          <t>AC-009-002-01</t>
        </is>
      </c>
      <c r="B226" s="12" t="inlineStr">
        <is>
          <t>US-009-002</t>
        </is>
      </c>
      <c r="C226" s="12" t="inlineStr">
        <is>
          <t>EP-009</t>
        </is>
      </c>
      <c r="D226" s="12" t="inlineStr">
        <is>
          <t>Administrator sees original, proposed value and reason.</t>
        </is>
      </c>
      <c r="E226" s="12" t="str"/>
      <c r="F226" s="12" t="inlineStr">
        <is>
          <t>Not Tested</t>
        </is>
      </c>
      <c r="G226" s="12" t="str"/>
      <c r="H226" s="12" t="str"/>
      <c r="I226" s="12" t="inlineStr">
        <is>
          <t>Claude (AI Engineer)</t>
        </is>
      </c>
      <c r="J226" s="12" t="inlineStr">
        <is>
          <t>SIT</t>
        </is>
      </c>
      <c r="K226" s="12" t="n"/>
    </row>
    <row r="227">
      <c r="A227" s="12" t="inlineStr">
        <is>
          <t>AC-009-002-02</t>
        </is>
      </c>
      <c r="B227" s="12" t="inlineStr">
        <is>
          <t>US-009-002</t>
        </is>
      </c>
      <c r="C227" s="12" t="inlineStr">
        <is>
          <t>EP-009</t>
        </is>
      </c>
      <c r="D227" s="12" t="inlineStr">
        <is>
          <t>Approval creates corrected effective values while retaining original audit history.</t>
        </is>
      </c>
      <c r="E227" s="12" t="str"/>
      <c r="F227" s="12" t="inlineStr">
        <is>
          <t>Not Tested</t>
        </is>
      </c>
      <c r="G227" s="12" t="str"/>
      <c r="H227" s="12" t="str"/>
      <c r="I227" s="12" t="inlineStr">
        <is>
          <t>Claude (AI Engineer)</t>
        </is>
      </c>
      <c r="J227" s="12" t="inlineStr">
        <is>
          <t>SIT</t>
        </is>
      </c>
      <c r="K227" s="12" t="n"/>
    </row>
    <row r="228">
      <c r="A228" s="12" t="inlineStr">
        <is>
          <t>AC-009-002-03</t>
        </is>
      </c>
      <c r="B228" s="12" t="inlineStr">
        <is>
          <t>US-009-002</t>
        </is>
      </c>
      <c r="C228" s="12" t="inlineStr">
        <is>
          <t>EP-009</t>
        </is>
      </c>
      <c r="D228" s="12" t="inlineStr">
        <is>
          <t>Rejection records decision and optional comment.</t>
        </is>
      </c>
      <c r="E228" s="12" t="str"/>
      <c r="F228" s="12" t="inlineStr">
        <is>
          <t>Not Tested</t>
        </is>
      </c>
      <c r="G228" s="12" t="str"/>
      <c r="H228" s="12" t="str"/>
      <c r="I228" s="12" t="inlineStr">
        <is>
          <t>Claude (AI Engineer)</t>
        </is>
      </c>
      <c r="J228" s="12" t="inlineStr">
        <is>
          <t>SIT</t>
        </is>
      </c>
      <c r="K228" s="12" t="inlineStr">
        <is>
          <t>Feature implemented; not yet individually verified by an automated or manual test.</t>
        </is>
      </c>
    </row>
    <row r="229">
      <c r="A229" s="12" t="inlineStr">
        <is>
          <t>AC-009-002-04</t>
        </is>
      </c>
      <c r="B229" s="12" t="inlineStr">
        <is>
          <t>US-009-002</t>
        </is>
      </c>
      <c r="C229" s="12" t="inlineStr">
        <is>
          <t>EP-009</t>
        </is>
      </c>
      <c r="D229" s="12" t="inlineStr">
        <is>
          <t>Decision is audited.</t>
        </is>
      </c>
      <c r="E229" s="12" t="str"/>
      <c r="F229" s="12" t="inlineStr">
        <is>
          <t>Not Tested</t>
        </is>
      </c>
      <c r="G229" s="12" t="str"/>
      <c r="H229" s="12" t="str"/>
      <c r="I229" s="12" t="inlineStr">
        <is>
          <t>Claude (AI Engineer)</t>
        </is>
      </c>
      <c r="J229" s="12" t="inlineStr">
        <is>
          <t>SIT</t>
        </is>
      </c>
      <c r="K229" s="12" t="n"/>
    </row>
    <row r="230">
      <c r="A230" s="12" t="inlineStr">
        <is>
          <t>AC-009-003-01</t>
        </is>
      </c>
      <c r="B230" s="12" t="inlineStr">
        <is>
          <t>US-009-003</t>
        </is>
      </c>
      <c r="C230" s="12" t="inlineStr">
        <is>
          <t>EP-009</t>
        </is>
      </c>
      <c r="D230" s="12" t="inlineStr">
        <is>
          <t>User selects affected task interval.</t>
        </is>
      </c>
      <c r="E230" s="12" t="str"/>
      <c r="F230" s="12" t="inlineStr">
        <is>
          <t>Not Tested</t>
        </is>
      </c>
      <c r="G230" s="12" t="str"/>
      <c r="H230" s="12" t="str"/>
      <c r="I230" s="12" t="inlineStr">
        <is>
          <t>Claude (AI Engineer)</t>
        </is>
      </c>
      <c r="J230" s="12" t="inlineStr">
        <is>
          <t>SIT</t>
        </is>
      </c>
      <c r="K230" s="12" t="inlineStr">
        <is>
          <t>Feature implemented; not yet individually verified by an automated or manual test.</t>
        </is>
      </c>
    </row>
    <row r="231">
      <c r="A231" s="12" t="inlineStr">
        <is>
          <t>AC-009-003-02</t>
        </is>
      </c>
      <c r="B231" s="12" t="inlineStr">
        <is>
          <t>US-009-003</t>
        </is>
      </c>
      <c r="C231" s="12" t="inlineStr">
        <is>
          <t>EP-009</t>
        </is>
      </c>
      <c r="D231" s="12" t="inlineStr">
        <is>
          <t>Proposed start/end/duration and reason are captured.</t>
        </is>
      </c>
      <c r="E231" s="12" t="str"/>
      <c r="F231" s="12" t="inlineStr">
        <is>
          <t>Not Tested</t>
        </is>
      </c>
      <c r="G231" s="12" t="str"/>
      <c r="H231" s="12" t="str"/>
      <c r="I231" s="12" t="inlineStr">
        <is>
          <t>Claude (AI Engineer)</t>
        </is>
      </c>
      <c r="J231" s="12" t="inlineStr">
        <is>
          <t>SIT</t>
        </is>
      </c>
      <c r="K231" s="12" t="inlineStr">
        <is>
          <t>Feature implemented; not yet individually verified by an automated or manual test.</t>
        </is>
      </c>
    </row>
    <row r="232">
      <c r="A232" s="12" t="inlineStr">
        <is>
          <t>AC-009-003-03</t>
        </is>
      </c>
      <c r="B232" s="12" t="inlineStr">
        <is>
          <t>US-009-003</t>
        </is>
      </c>
      <c r="C232" s="12" t="inlineStr">
        <is>
          <t>EP-009</t>
        </is>
      </c>
      <c r="D232" s="12" t="inlineStr">
        <is>
          <t>Original interval remains intact until approval.</t>
        </is>
      </c>
      <c r="E232" s="12" t="str"/>
      <c r="F232" s="12" t="inlineStr">
        <is>
          <t>Not Tested</t>
        </is>
      </c>
      <c r="G232" s="12" t="str"/>
      <c r="H232" s="12" t="str"/>
      <c r="I232" s="12" t="inlineStr">
        <is>
          <t>Claude (AI Engineer)</t>
        </is>
      </c>
      <c r="J232" s="12" t="inlineStr">
        <is>
          <t>SIT</t>
        </is>
      </c>
      <c r="K232" s="12" t="inlineStr">
        <is>
          <t>Feature implemented; not yet individually verified by an automated or manual test.</t>
        </is>
      </c>
    </row>
    <row r="233">
      <c r="A233" s="12" t="inlineStr">
        <is>
          <t>AC-009-003-04</t>
        </is>
      </c>
      <c r="B233" s="12" t="inlineStr">
        <is>
          <t>US-009-003</t>
        </is>
      </c>
      <c r="C233" s="12" t="inlineStr">
        <is>
          <t>EP-009</t>
        </is>
      </c>
      <c r="D233" s="12" t="inlineStr">
        <is>
          <t>Overlaps are validated before approval.</t>
        </is>
      </c>
      <c r="E233" s="12" t="str"/>
      <c r="F233" s="12" t="inlineStr">
        <is>
          <t>Not Tested</t>
        </is>
      </c>
      <c r="G233" s="12" t="str"/>
      <c r="H233" s="12" t="str"/>
      <c r="I233" s="12" t="inlineStr">
        <is>
          <t>Claude (AI Engineer)</t>
        </is>
      </c>
      <c r="J233" s="12" t="inlineStr">
        <is>
          <t>SIT</t>
        </is>
      </c>
      <c r="K233" s="12" t="inlineStr">
        <is>
          <t>Feature implemented; not yet individually verified by an automated or manual test.</t>
        </is>
      </c>
    </row>
    <row r="234">
      <c r="A234" s="12" t="inlineStr">
        <is>
          <t>AC-009-004-01</t>
        </is>
      </c>
      <c r="B234" s="12" t="inlineStr">
        <is>
          <t>US-009-004</t>
        </is>
      </c>
      <c r="C234" s="12" t="inlineStr">
        <is>
          <t>EP-009</t>
        </is>
      </c>
      <c r="D234" s="12" t="inlineStr">
        <is>
          <t>Correction requires reason.</t>
        </is>
      </c>
      <c r="E234" s="12" t="str"/>
      <c r="F234" s="12" t="inlineStr">
        <is>
          <t>Not Tested</t>
        </is>
      </c>
      <c r="G234" s="12" t="str"/>
      <c r="H234" s="12" t="str"/>
      <c r="I234" s="12" t="inlineStr">
        <is>
          <t>Claude (AI Engineer)</t>
        </is>
      </c>
      <c r="J234" s="12" t="inlineStr">
        <is>
          <t>SIT</t>
        </is>
      </c>
      <c r="K234" s="12" t="inlineStr">
        <is>
          <t>Feature implemented; not yet individually verified by an automated or manual test.</t>
        </is>
      </c>
    </row>
    <row r="235">
      <c r="A235" s="12" t="inlineStr">
        <is>
          <t>AC-009-004-02</t>
        </is>
      </c>
      <c r="B235" s="12" t="inlineStr">
        <is>
          <t>US-009-004</t>
        </is>
      </c>
      <c r="C235" s="12" t="inlineStr">
        <is>
          <t>EP-009</t>
        </is>
      </c>
      <c r="D235" s="12" t="inlineStr">
        <is>
          <t>Before and after values are captured.</t>
        </is>
      </c>
      <c r="E235" s="12" t="str"/>
      <c r="F235" s="12" t="inlineStr">
        <is>
          <t>Not Tested</t>
        </is>
      </c>
      <c r="G235" s="12" t="str"/>
      <c r="H235" s="12" t="str"/>
      <c r="I235" s="12" t="inlineStr">
        <is>
          <t>Claude (AI Engineer)</t>
        </is>
      </c>
      <c r="J235" s="12" t="inlineStr">
        <is>
          <t>SIT</t>
        </is>
      </c>
      <c r="K235" s="12" t="inlineStr">
        <is>
          <t>Feature implemented; not yet individually verified by an automated or manual test.</t>
        </is>
      </c>
    </row>
    <row r="236">
      <c r="A236" s="12" t="inlineStr">
        <is>
          <t>AC-009-004-03</t>
        </is>
      </c>
      <c r="B236" s="12" t="inlineStr">
        <is>
          <t>US-009-004</t>
        </is>
      </c>
      <c r="C236" s="12" t="inlineStr">
        <is>
          <t>EP-009</t>
        </is>
      </c>
      <c r="D236" s="12" t="inlineStr">
        <is>
          <t>Correction cannot create invalid overlapping active records.</t>
        </is>
      </c>
      <c r="E236" s="12" t="str"/>
      <c r="F236" s="12" t="inlineStr">
        <is>
          <t>Not Tested</t>
        </is>
      </c>
      <c r="G236" s="12" t="str"/>
      <c r="H236" s="12" t="str"/>
      <c r="I236" s="12" t="inlineStr">
        <is>
          <t>Claude (AI Engineer)</t>
        </is>
      </c>
      <c r="J236" s="12" t="inlineStr">
        <is>
          <t>SIT</t>
        </is>
      </c>
      <c r="K236" s="12" t="inlineStr">
        <is>
          <t>Feature implemented; not yet individually verified by an automated or manual test.</t>
        </is>
      </c>
    </row>
    <row r="237">
      <c r="A237" s="12" t="inlineStr">
        <is>
          <t>AC-009-004-04</t>
        </is>
      </c>
      <c r="B237" s="12" t="inlineStr">
        <is>
          <t>US-009-004</t>
        </is>
      </c>
      <c r="C237" s="12" t="inlineStr">
        <is>
          <t>EP-009</t>
        </is>
      </c>
      <c r="D237" s="12" t="inlineStr">
        <is>
          <t>Action is written to audit log.</t>
        </is>
      </c>
      <c r="E237" s="12" t="str"/>
      <c r="F237" s="12" t="inlineStr">
        <is>
          <t>Not Tested</t>
        </is>
      </c>
      <c r="G237" s="12" t="str"/>
      <c r="H237" s="12" t="str"/>
      <c r="I237" s="12" t="inlineStr">
        <is>
          <t>Claude (AI Engineer)</t>
        </is>
      </c>
      <c r="J237" s="12" t="inlineStr">
        <is>
          <t>SIT</t>
        </is>
      </c>
      <c r="K237" s="12" t="inlineStr">
        <is>
          <t>Feature implemented; not yet individually verified by an automated or manual test.</t>
        </is>
      </c>
    </row>
    <row r="238">
      <c r="A238" s="12" t="inlineStr">
        <is>
          <t>AC-009-005-01</t>
        </is>
      </c>
      <c r="B238" s="12" t="inlineStr">
        <is>
          <t>US-009-005</t>
        </is>
      </c>
      <c r="C238" s="12" t="inlineStr">
        <is>
          <t>EP-009</t>
        </is>
      </c>
      <c r="D238" s="12" t="inlineStr">
        <is>
          <t>Audit captures actor, action, timestamp, object and change details.</t>
        </is>
      </c>
      <c r="E238" s="12" t="str"/>
      <c r="F238" s="12" t="inlineStr">
        <is>
          <t>Not Tested</t>
        </is>
      </c>
      <c r="G238" s="12" t="str"/>
      <c r="H238" s="12" t="str"/>
      <c r="I238" s="12" t="inlineStr">
        <is>
          <t>Claude (AI Engineer)</t>
        </is>
      </c>
      <c r="J238" s="12" t="inlineStr">
        <is>
          <t>SIT</t>
        </is>
      </c>
      <c r="K238" s="12" t="n"/>
    </row>
    <row r="239">
      <c r="A239" s="12" t="inlineStr">
        <is>
          <t>AC-009-005-02</t>
        </is>
      </c>
      <c r="B239" s="12" t="inlineStr">
        <is>
          <t>US-009-005</t>
        </is>
      </c>
      <c r="C239" s="12" t="inlineStr">
        <is>
          <t>EP-009</t>
        </is>
      </c>
      <c r="D239" s="12" t="inlineStr">
        <is>
          <t>Ordinary employees cannot edit audit records.</t>
        </is>
      </c>
      <c r="E239" s="12" t="str"/>
      <c r="F239" s="12" t="inlineStr">
        <is>
          <t>Not Tested</t>
        </is>
      </c>
      <c r="G239" s="12" t="str"/>
      <c r="H239" s="12" t="str"/>
      <c r="I239" s="12" t="inlineStr">
        <is>
          <t>Claude (AI Engineer)</t>
        </is>
      </c>
      <c r="J239" s="12" t="inlineStr">
        <is>
          <t>SIT</t>
        </is>
      </c>
      <c r="K239" s="12" t="inlineStr">
        <is>
          <t>Feature implemented; not yet individually verified by an automated or manual test.</t>
        </is>
      </c>
    </row>
    <row r="240">
      <c r="A240" s="12" t="inlineStr">
        <is>
          <t>AC-009-005-03</t>
        </is>
      </c>
      <c r="B240" s="12" t="inlineStr">
        <is>
          <t>US-009-005</t>
        </is>
      </c>
      <c r="C240" s="12" t="inlineStr">
        <is>
          <t>EP-009</t>
        </is>
      </c>
      <c r="D240" s="12" t="inlineStr">
        <is>
          <t>Audit can be filtered by user/date/action.</t>
        </is>
      </c>
      <c r="E240" s="12" t="str"/>
      <c r="F240" s="12" t="inlineStr">
        <is>
          <t>Not Tested</t>
        </is>
      </c>
      <c r="G240" s="12" t="str"/>
      <c r="H240" s="12" t="str"/>
      <c r="I240" s="12" t="inlineStr">
        <is>
          <t>Claude (AI Engineer)</t>
        </is>
      </c>
      <c r="J240" s="12" t="inlineStr">
        <is>
          <t>SIT</t>
        </is>
      </c>
      <c r="K240" s="12" t="n"/>
    </row>
    <row r="241">
      <c r="A241" s="12" t="inlineStr">
        <is>
          <t>AC-009-005-04</t>
        </is>
      </c>
      <c r="B241" s="12" t="inlineStr">
        <is>
          <t>US-009-005</t>
        </is>
      </c>
      <c r="C241" s="12" t="inlineStr">
        <is>
          <t>EP-009</t>
        </is>
      </c>
      <c r="D241" s="12" t="inlineStr">
        <is>
          <t>Sensitive secrets/password data are never logged.</t>
        </is>
      </c>
      <c r="E241" s="12" t="str"/>
      <c r="F241" s="12" t="inlineStr">
        <is>
          <t>Not Tested</t>
        </is>
      </c>
      <c r="G241" s="12" t="str"/>
      <c r="H241" s="12" t="str"/>
      <c r="I241" s="12" t="inlineStr">
        <is>
          <t>Claude (AI Engineer)</t>
        </is>
      </c>
      <c r="J241" s="12" t="inlineStr">
        <is>
          <t>SIT</t>
        </is>
      </c>
      <c r="K241" s="12" t="inlineStr">
        <is>
          <t>Feature implemented; not yet individually verified by an automated or manual test.</t>
        </is>
      </c>
    </row>
    <row r="242">
      <c r="A242" s="12" t="inlineStr">
        <is>
          <t>AC-010-001-01</t>
        </is>
      </c>
      <c r="B242" s="12" t="inlineStr">
        <is>
          <t>US-010-001</t>
        </is>
      </c>
      <c r="C242" s="12" t="inlineStr">
        <is>
          <t>EP-010</t>
        </is>
      </c>
      <c r="D242" s="12" t="inlineStr">
        <is>
          <t>Report includes clock-in/out, break total and net work.</t>
        </is>
      </c>
      <c r="E242" s="12" t="str"/>
      <c r="F242" s="12" t="inlineStr">
        <is>
          <t>Not Tested</t>
        </is>
      </c>
      <c r="G242" s="12" t="str"/>
      <c r="H242" s="12" t="str"/>
      <c r="I242" s="12" t="inlineStr">
        <is>
          <t>Claude (AI Engineer)</t>
        </is>
      </c>
      <c r="J242" s="12" t="inlineStr">
        <is>
          <t>SIT</t>
        </is>
      </c>
      <c r="K242" s="12" t="inlineStr">
        <is>
          <t>Feature implemented; not yet individually verified by an automated or manual test.</t>
        </is>
      </c>
    </row>
    <row r="243">
      <c r="A243" s="12" t="inlineStr">
        <is>
          <t>AC-010-001-02</t>
        </is>
      </c>
      <c r="B243" s="12" t="inlineStr">
        <is>
          <t>US-010-001</t>
        </is>
      </c>
      <c r="C243" s="12" t="inlineStr">
        <is>
          <t>EP-010</t>
        </is>
      </c>
      <c r="D243" s="12" t="inlineStr">
        <is>
          <t>Report can filter by date and user/department.</t>
        </is>
      </c>
      <c r="E243" s="12" t="str"/>
      <c r="F243" s="12" t="inlineStr">
        <is>
          <t>Not Tested</t>
        </is>
      </c>
      <c r="G243" s="12" t="str"/>
      <c r="H243" s="12" t="str"/>
      <c r="I243" s="12" t="inlineStr">
        <is>
          <t>Claude (AI Engineer)</t>
        </is>
      </c>
      <c r="J243" s="12" t="inlineStr">
        <is>
          <t>SIT</t>
        </is>
      </c>
      <c r="K243" s="12" t="inlineStr">
        <is>
          <t>Feature implemented; not yet individually verified by an automated or manual test.</t>
        </is>
      </c>
    </row>
    <row r="244">
      <c r="A244" s="12" t="inlineStr">
        <is>
          <t>AC-010-001-03</t>
        </is>
      </c>
      <c r="B244" s="12" t="inlineStr">
        <is>
          <t>US-010-001</t>
        </is>
      </c>
      <c r="C244" s="12" t="inlineStr">
        <is>
          <t>EP-010</t>
        </is>
      </c>
      <c r="D244" s="12" t="inlineStr">
        <is>
          <t>Incomplete records are clearly flagged.</t>
        </is>
      </c>
      <c r="E244" s="12" t="str"/>
      <c r="F244" s="12" t="inlineStr">
        <is>
          <t>Not Tested</t>
        </is>
      </c>
      <c r="G244" s="12" t="str"/>
      <c r="H244" s="12" t="str"/>
      <c r="I244" s="12" t="inlineStr">
        <is>
          <t>Claude (AI Engineer)</t>
        </is>
      </c>
      <c r="J244" s="12" t="inlineStr">
        <is>
          <t>SIT</t>
        </is>
      </c>
      <c r="K244" s="12" t="inlineStr">
        <is>
          <t>Feature implemented; not yet individually verified by an automated or manual test.</t>
        </is>
      </c>
    </row>
    <row r="245">
      <c r="A245" s="12" t="inlineStr">
        <is>
          <t>AC-010-001-04</t>
        </is>
      </c>
      <c r="B245" s="12" t="inlineStr">
        <is>
          <t>US-010-001</t>
        </is>
      </c>
      <c r="C245" s="12" t="inlineStr">
        <is>
          <t>EP-010</t>
        </is>
      </c>
      <c r="D245" s="12" t="inlineStr">
        <is>
          <t>Totals are derived from source records.</t>
        </is>
      </c>
      <c r="E245" s="12" t="str"/>
      <c r="F245" s="12" t="inlineStr">
        <is>
          <t>Not Tested</t>
        </is>
      </c>
      <c r="G245" s="12" t="str"/>
      <c r="H245" s="12" t="str"/>
      <c r="I245" s="12" t="inlineStr">
        <is>
          <t>Claude (AI Engineer)</t>
        </is>
      </c>
      <c r="J245" s="12" t="inlineStr">
        <is>
          <t>SIT</t>
        </is>
      </c>
      <c r="K245" s="12" t="inlineStr">
        <is>
          <t>Feature implemented; not yet individually verified by an automated or manual test.</t>
        </is>
      </c>
    </row>
    <row r="246">
      <c r="A246" s="12" t="inlineStr">
        <is>
          <t>AC-010-002-01</t>
        </is>
      </c>
      <c r="B246" s="12" t="inlineStr">
        <is>
          <t>US-010-002</t>
        </is>
      </c>
      <c r="C246" s="12" t="inlineStr">
        <is>
          <t>EP-010</t>
        </is>
      </c>
      <c r="D246" s="12" t="inlineStr">
        <is>
          <t>Report aggregates net work and break hours by user.</t>
        </is>
      </c>
      <c r="E246" s="12" t="str"/>
      <c r="F246" s="12" t="inlineStr">
        <is>
          <t>Not Tested</t>
        </is>
      </c>
      <c r="G246" s="12" t="str"/>
      <c r="H246" s="12" t="str"/>
      <c r="I246" s="12" t="inlineStr">
        <is>
          <t>Claude (AI Engineer)</t>
        </is>
      </c>
      <c r="J246" s="12" t="inlineStr">
        <is>
          <t>SIT</t>
        </is>
      </c>
      <c r="K246" s="12" t="inlineStr">
        <is>
          <t>Feature implemented; not yet individually verified by an automated or manual test.</t>
        </is>
      </c>
    </row>
    <row r="247">
      <c r="A247" s="12" t="inlineStr">
        <is>
          <t>AC-010-002-02</t>
        </is>
      </c>
      <c r="B247" s="12" t="inlineStr">
        <is>
          <t>US-010-002</t>
        </is>
      </c>
      <c r="C247" s="12" t="inlineStr">
        <is>
          <t>EP-010</t>
        </is>
      </c>
      <c r="D247" s="12" t="inlineStr">
        <is>
          <t>Date period can be selected.</t>
        </is>
      </c>
      <c r="E247" s="12" t="str"/>
      <c r="F247" s="12" t="inlineStr">
        <is>
          <t>Not Tested</t>
        </is>
      </c>
      <c r="G247" s="12" t="str"/>
      <c r="H247" s="12" t="str"/>
      <c r="I247" s="12" t="inlineStr">
        <is>
          <t>Claude (AI Engineer)</t>
        </is>
      </c>
      <c r="J247" s="12" t="inlineStr">
        <is>
          <t>SIT</t>
        </is>
      </c>
      <c r="K247" s="12" t="inlineStr">
        <is>
          <t>Feature implemented; not yet individually verified by an automated or manual test.</t>
        </is>
      </c>
    </row>
    <row r="248">
      <c r="A248" s="12" t="inlineStr">
        <is>
          <t>AC-010-002-03</t>
        </is>
      </c>
      <c r="B248" s="12" t="inlineStr">
        <is>
          <t>US-010-002</t>
        </is>
      </c>
      <c r="C248" s="12" t="inlineStr">
        <is>
          <t>EP-010</t>
        </is>
      </c>
      <c r="D248" s="12" t="inlineStr">
        <is>
          <t>Daily detail can be drilled from summary.</t>
        </is>
      </c>
      <c r="E248" s="12" t="str"/>
      <c r="F248" s="12" t="inlineStr">
        <is>
          <t>Not Tested</t>
        </is>
      </c>
      <c r="G248" s="12" t="str"/>
      <c r="H248" s="12" t="str"/>
      <c r="I248" s="12" t="inlineStr">
        <is>
          <t>Claude (AI Engineer)</t>
        </is>
      </c>
      <c r="J248" s="12" t="inlineStr">
        <is>
          <t>SIT</t>
        </is>
      </c>
      <c r="K248" s="12" t="inlineStr">
        <is>
          <t>Feature implemented; not yet individually verified by an automated or manual test.</t>
        </is>
      </c>
    </row>
    <row r="249">
      <c r="A249" s="12" t="inlineStr">
        <is>
          <t>AC-010-002-04</t>
        </is>
      </c>
      <c r="B249" s="12" t="inlineStr">
        <is>
          <t>US-010-002</t>
        </is>
      </c>
      <c r="C249" s="12" t="inlineStr">
        <is>
          <t>EP-010</t>
        </is>
      </c>
      <c r="D249" s="12" t="inlineStr">
        <is>
          <t>Aggregate totals reconcile to daily records.</t>
        </is>
      </c>
      <c r="E249" s="12" t="str"/>
      <c r="F249" s="12" t="inlineStr">
        <is>
          <t>Not Tested</t>
        </is>
      </c>
      <c r="G249" s="12" t="str"/>
      <c r="H249" s="12" t="str"/>
      <c r="I249" s="12" t="inlineStr">
        <is>
          <t>Claude (AI Engineer)</t>
        </is>
      </c>
      <c r="J249" s="12" t="inlineStr">
        <is>
          <t>SIT</t>
        </is>
      </c>
      <c r="K249" s="12" t="inlineStr">
        <is>
          <t>Feature implemented; not yet individually verified by an automated or manual test.</t>
        </is>
      </c>
    </row>
    <row r="250">
      <c r="A250" s="12" t="inlineStr">
        <is>
          <t>AC-010-003-01</t>
        </is>
      </c>
      <c r="B250" s="12" t="inlineStr">
        <is>
          <t>US-010-003</t>
        </is>
      </c>
      <c r="C250" s="12" t="inlineStr">
        <is>
          <t>EP-010</t>
        </is>
      </c>
      <c r="D250" s="12" t="inlineStr">
        <is>
          <t>Report can group by user, task and date.</t>
        </is>
      </c>
      <c r="E250" s="12" t="str"/>
      <c r="F250" s="12" t="inlineStr">
        <is>
          <t>Not Tested</t>
        </is>
      </c>
      <c r="G250" s="12" t="str"/>
      <c r="H250" s="12" t="str"/>
      <c r="I250" s="12" t="inlineStr">
        <is>
          <t>Claude (AI Engineer)</t>
        </is>
      </c>
      <c r="J250" s="12" t="inlineStr">
        <is>
          <t>SIT</t>
        </is>
      </c>
      <c r="K250" s="12" t="inlineStr">
        <is>
          <t>Feature implemented; not yet individually verified by an automated or manual test.</t>
        </is>
      </c>
    </row>
    <row r="251">
      <c r="A251" s="12" t="inlineStr">
        <is>
          <t>AC-010-003-02</t>
        </is>
      </c>
      <c r="B251" s="12" t="inlineStr">
        <is>
          <t>US-010-003</t>
        </is>
      </c>
      <c r="C251" s="12" t="inlineStr">
        <is>
          <t>EP-010</t>
        </is>
      </c>
      <c r="D251" s="12" t="inlineStr">
        <is>
          <t>Shows actual duration and task status.</t>
        </is>
      </c>
      <c r="E251" s="12" t="str"/>
      <c r="F251" s="12" t="inlineStr">
        <is>
          <t>Not Tested</t>
        </is>
      </c>
      <c r="G251" s="12" t="str"/>
      <c r="H251" s="12" t="str"/>
      <c r="I251" s="12" t="inlineStr">
        <is>
          <t>Claude (AI Engineer)</t>
        </is>
      </c>
      <c r="J251" s="12" t="inlineStr">
        <is>
          <t>SIT</t>
        </is>
      </c>
      <c r="K251" s="12" t="inlineStr">
        <is>
          <t>Feature implemented; not yet individually verified by an automated or manual test.</t>
        </is>
      </c>
    </row>
    <row r="252">
      <c r="A252" s="12" t="inlineStr">
        <is>
          <t>AC-010-003-03</t>
        </is>
      </c>
      <c r="B252" s="12" t="inlineStr">
        <is>
          <t>US-010-003</t>
        </is>
      </c>
      <c r="C252" s="12" t="inlineStr">
        <is>
          <t>EP-010</t>
        </is>
      </c>
      <c r="D252" s="12" t="inlineStr">
        <is>
          <t>Estimate versus actual is shown where estimate exists.</t>
        </is>
      </c>
      <c r="E252" s="12" t="str"/>
      <c r="F252" s="12" t="inlineStr">
        <is>
          <t>Not Tested</t>
        </is>
      </c>
      <c r="G252" s="12" t="str"/>
      <c r="H252" s="12" t="str"/>
      <c r="I252" s="12" t="inlineStr">
        <is>
          <t>Claude (AI Engineer)</t>
        </is>
      </c>
      <c r="J252" s="12" t="inlineStr">
        <is>
          <t>SIT</t>
        </is>
      </c>
      <c r="K252" s="12" t="inlineStr">
        <is>
          <t>Feature implemented; not yet individually verified by an automated or manual test.</t>
        </is>
      </c>
    </row>
    <row r="253">
      <c r="A253" s="12" t="inlineStr">
        <is>
          <t>AC-010-003-04</t>
        </is>
      </c>
      <c r="B253" s="12" t="inlineStr">
        <is>
          <t>US-010-003</t>
        </is>
      </c>
      <c r="C253" s="12" t="inlineStr">
        <is>
          <t>EP-010</t>
        </is>
      </c>
      <c r="D253" s="12" t="inlineStr">
        <is>
          <t>Filters apply consistently to export.</t>
        </is>
      </c>
      <c r="E253" s="12" t="str"/>
      <c r="F253" s="12" t="inlineStr">
        <is>
          <t>Not Tested</t>
        </is>
      </c>
      <c r="G253" s="12" t="str"/>
      <c r="H253" s="12" t="str"/>
      <c r="I253" s="12" t="inlineStr">
        <is>
          <t>Claude (AI Engineer)</t>
        </is>
      </c>
      <c r="J253" s="12" t="inlineStr">
        <is>
          <t>SIT</t>
        </is>
      </c>
      <c r="K253" s="12" t="inlineStr">
        <is>
          <t>Feature implemented; not yet individually verified by an automated or manual test.</t>
        </is>
      </c>
    </row>
    <row r="254">
      <c r="A254" s="12" t="inlineStr">
        <is>
          <t>AC-010-004-01</t>
        </is>
      </c>
      <c r="B254" s="12" t="inlineStr">
        <is>
          <t>US-010-004</t>
        </is>
      </c>
      <c r="C254" s="12" t="inlineStr">
        <is>
          <t>EP-010</t>
        </is>
      </c>
      <c r="D254" s="12" t="inlineStr">
        <is>
          <t>Report shows net work, task time and unallocated time.</t>
        </is>
      </c>
      <c r="E254" s="12" t="str"/>
      <c r="F254" s="12" t="inlineStr">
        <is>
          <t>Not Tested</t>
        </is>
      </c>
      <c r="G254" s="12" t="str"/>
      <c r="H254" s="12" t="str"/>
      <c r="I254" s="12" t="inlineStr">
        <is>
          <t>Claude (AI Engineer)</t>
        </is>
      </c>
      <c r="J254" s="12" t="inlineStr">
        <is>
          <t>SIT</t>
        </is>
      </c>
      <c r="K254" s="12" t="inlineStr">
        <is>
          <t>Feature implemented; not yet individually verified by an automated or manual test.</t>
        </is>
      </c>
    </row>
    <row r="255">
      <c r="A255" s="12" t="inlineStr">
        <is>
          <t>AC-010-004-02</t>
        </is>
      </c>
      <c r="B255" s="12" t="inlineStr">
        <is>
          <t>US-010-004</t>
        </is>
      </c>
      <c r="C255" s="12" t="inlineStr">
        <is>
          <t>EP-010</t>
        </is>
      </c>
      <c r="D255" s="12" t="inlineStr">
        <is>
          <t>Users/days with zero unallocated time can be included/excluded.</t>
        </is>
      </c>
      <c r="E255" s="12" t="str"/>
      <c r="F255" s="12" t="inlineStr">
        <is>
          <t>Not Tested</t>
        </is>
      </c>
      <c r="G255" s="12" t="str"/>
      <c r="H255" s="12" t="str"/>
      <c r="I255" s="12" t="inlineStr">
        <is>
          <t>Claude (AI Engineer)</t>
        </is>
      </c>
      <c r="J255" s="12" t="inlineStr">
        <is>
          <t>SIT</t>
        </is>
      </c>
      <c r="K255" s="12" t="inlineStr">
        <is>
          <t>Feature implemented; not yet individually verified by an automated or manual test.</t>
        </is>
      </c>
    </row>
    <row r="256">
      <c r="A256" s="12" t="inlineStr">
        <is>
          <t>AC-010-004-03</t>
        </is>
      </c>
      <c r="B256" s="12" t="inlineStr">
        <is>
          <t>US-010-004</t>
        </is>
      </c>
      <c r="C256" s="12" t="inlineStr">
        <is>
          <t>EP-010</t>
        </is>
      </c>
      <c r="D256" s="12" t="inlineStr">
        <is>
          <t>Negative/impossible values are flagged as exceptions.</t>
        </is>
      </c>
      <c r="E256" s="12" t="str"/>
      <c r="F256" s="12" t="inlineStr">
        <is>
          <t>Not Tested</t>
        </is>
      </c>
      <c r="G256" s="12" t="str"/>
      <c r="H256" s="12" t="str"/>
      <c r="I256" s="12" t="inlineStr">
        <is>
          <t>Claude (AI Engineer)</t>
        </is>
      </c>
      <c r="J256" s="12" t="inlineStr">
        <is>
          <t>SIT</t>
        </is>
      </c>
      <c r="K256" s="12" t="inlineStr">
        <is>
          <t>Feature implemented; not yet individually verified by an automated or manual test.</t>
        </is>
      </c>
    </row>
    <row r="257">
      <c r="A257" s="12" t="inlineStr">
        <is>
          <t>AC-010-004-04</t>
        </is>
      </c>
      <c r="B257" s="12" t="inlineStr">
        <is>
          <t>US-010-004</t>
        </is>
      </c>
      <c r="C257" s="12" t="inlineStr">
        <is>
          <t>EP-010</t>
        </is>
      </c>
      <c r="D257" s="12" t="inlineStr">
        <is>
          <t>Report supports date and user filters.</t>
        </is>
      </c>
      <c r="E257" s="12" t="str"/>
      <c r="F257" s="12" t="inlineStr">
        <is>
          <t>Not Tested</t>
        </is>
      </c>
      <c r="G257" s="12" t="str"/>
      <c r="H257" s="12" t="str"/>
      <c r="I257" s="12" t="inlineStr">
        <is>
          <t>Claude (AI Engineer)</t>
        </is>
      </c>
      <c r="J257" s="12" t="inlineStr">
        <is>
          <t>SIT</t>
        </is>
      </c>
      <c r="K257" s="12" t="inlineStr">
        <is>
          <t>Feature implemented; not yet individually verified by an automated or manual test.</t>
        </is>
      </c>
    </row>
    <row r="258">
      <c r="A258" s="12" t="inlineStr">
        <is>
          <t>AC-010-005-01</t>
        </is>
      </c>
      <c r="B258" s="12" t="inlineStr">
        <is>
          <t>US-010-005</t>
        </is>
      </c>
      <c r="C258" s="12" t="inlineStr">
        <is>
          <t>EP-010</t>
        </is>
      </c>
      <c r="D258" s="12" t="inlineStr">
        <is>
          <t>MVP supports CSV and XLSX export.</t>
        </is>
      </c>
      <c r="E258" s="12" t="str"/>
      <c r="F258" s="12" t="inlineStr">
        <is>
          <t>Not Tested</t>
        </is>
      </c>
      <c r="G258" s="12" t="str"/>
      <c r="H258" s="12" t="str"/>
      <c r="I258" s="12" t="inlineStr">
        <is>
          <t>Claude (AI Engineer)</t>
        </is>
      </c>
      <c r="J258" s="12" t="inlineStr">
        <is>
          <t>SIT</t>
        </is>
      </c>
      <c r="K258" s="12" t="inlineStr">
        <is>
          <t>Feature implemented; not yet individually verified by an automated or manual test.</t>
        </is>
      </c>
    </row>
    <row r="259">
      <c r="A259" s="12" t="inlineStr">
        <is>
          <t>AC-010-005-02</t>
        </is>
      </c>
      <c r="B259" s="12" t="inlineStr">
        <is>
          <t>US-010-005</t>
        </is>
      </c>
      <c r="C259" s="12" t="inlineStr">
        <is>
          <t>EP-010</t>
        </is>
      </c>
      <c r="D259" s="12" t="inlineStr">
        <is>
          <t>Export respects active filters and permissions.</t>
        </is>
      </c>
      <c r="E259" s="12" t="str"/>
      <c r="F259" s="12" t="inlineStr">
        <is>
          <t>Not Tested</t>
        </is>
      </c>
      <c r="G259" s="12" t="str"/>
      <c r="H259" s="12" t="str"/>
      <c r="I259" s="12" t="inlineStr">
        <is>
          <t>Claude (AI Engineer)</t>
        </is>
      </c>
      <c r="J259" s="12" t="inlineStr">
        <is>
          <t>SIT</t>
        </is>
      </c>
      <c r="K259" s="12" t="inlineStr">
        <is>
          <t>Feature implemented; not yet individually verified by an automated or manual test.</t>
        </is>
      </c>
    </row>
    <row r="260">
      <c r="A260" s="12" t="inlineStr">
        <is>
          <t>AC-010-005-03</t>
        </is>
      </c>
      <c r="B260" s="12" t="inlineStr">
        <is>
          <t>US-010-005</t>
        </is>
      </c>
      <c r="C260" s="12" t="inlineStr">
        <is>
          <t>EP-010</t>
        </is>
      </c>
      <c r="D260" s="12" t="inlineStr">
        <is>
          <t>Export includes generation date/time and report period.</t>
        </is>
      </c>
      <c r="E260" s="12" t="str"/>
      <c r="F260" s="12" t="inlineStr">
        <is>
          <t>Not Tested</t>
        </is>
      </c>
      <c r="G260" s="12" t="str"/>
      <c r="H260" s="12" t="str"/>
      <c r="I260" s="12" t="inlineStr">
        <is>
          <t>Claude (AI Engineer)</t>
        </is>
      </c>
      <c r="J260" s="12" t="inlineStr">
        <is>
          <t>SIT</t>
        </is>
      </c>
      <c r="K260" s="12" t="inlineStr">
        <is>
          <t>Feature implemented; not yet individually verified by an automated or manual test.</t>
        </is>
      </c>
    </row>
    <row r="261">
      <c r="A261" s="12" t="inlineStr">
        <is>
          <t>AC-010-005-04</t>
        </is>
      </c>
      <c r="B261" s="12" t="inlineStr">
        <is>
          <t>US-010-005</t>
        </is>
      </c>
      <c r="C261" s="12" t="inlineStr">
        <is>
          <t>EP-010</t>
        </is>
      </c>
      <c r="D261" s="12" t="inlineStr">
        <is>
          <t>Large exports are handled without blocking the main request indefinitely.</t>
        </is>
      </c>
      <c r="E261" s="12" t="str"/>
      <c r="F261" s="12" t="inlineStr">
        <is>
          <t>Not Tested</t>
        </is>
      </c>
      <c r="G261" s="12" t="str"/>
      <c r="H261" s="12" t="str"/>
      <c r="I261" s="12" t="inlineStr">
        <is>
          <t>Claude (AI Engineer)</t>
        </is>
      </c>
      <c r="J261" s="12" t="inlineStr">
        <is>
          <t>SIT</t>
        </is>
      </c>
      <c r="K261" s="12" t="inlineStr">
        <is>
          <t>Feature implemented; not yet individually verified by an automated or manual test.</t>
        </is>
      </c>
    </row>
    <row r="262">
      <c r="A262" s="12" t="inlineStr">
        <is>
          <t>AC-011-001-01</t>
        </is>
      </c>
      <c r="B262" s="12" t="inlineStr">
        <is>
          <t>US-011-001</t>
        </is>
      </c>
      <c r="C262" s="12" t="inlineStr">
        <is>
          <t>EP-011</t>
        </is>
      </c>
      <c r="D262" s="12" t="inlineStr">
        <is>
          <t>Assignment can generate in-app/email notification according to settings.</t>
        </is>
      </c>
      <c r="E262" s="12" t="str"/>
      <c r="F262" s="12" t="inlineStr">
        <is>
          <t>Blocked</t>
        </is>
      </c>
      <c r="G262" s="12" t="str"/>
      <c r="H262" s="12" t="str"/>
      <c r="I262" s="12" t="inlineStr">
        <is>
          <t>Claude (AI Engineer)</t>
        </is>
      </c>
      <c r="J262" s="12" t="inlineStr">
        <is>
          <t>SIT</t>
        </is>
      </c>
      <c r="K262" s="12" t="inlineStr">
        <is>
          <t>Deferred to R1 (EP-011) or blocked pending infrastructure choice (US-012-005).</t>
        </is>
      </c>
    </row>
    <row r="263">
      <c r="A263" s="12" t="inlineStr">
        <is>
          <t>AC-011-001-02</t>
        </is>
      </c>
      <c r="B263" s="12" t="inlineStr">
        <is>
          <t>US-011-001</t>
        </is>
      </c>
      <c r="C263" s="12" t="inlineStr">
        <is>
          <t>EP-011</t>
        </is>
      </c>
      <c r="D263" s="12" t="inlineStr">
        <is>
          <t>Notification identifies task and assigner.</t>
        </is>
      </c>
      <c r="E263" s="12" t="str"/>
      <c r="F263" s="12" t="inlineStr">
        <is>
          <t>Blocked</t>
        </is>
      </c>
      <c r="G263" s="12" t="str"/>
      <c r="H263" s="12" t="str"/>
      <c r="I263" s="12" t="inlineStr">
        <is>
          <t>Claude (AI Engineer)</t>
        </is>
      </c>
      <c r="J263" s="12" t="inlineStr">
        <is>
          <t>SIT</t>
        </is>
      </c>
      <c r="K263" s="12" t="inlineStr">
        <is>
          <t>Deferred to R1 (EP-011) or blocked pending infrastructure choice (US-012-005).</t>
        </is>
      </c>
    </row>
    <row r="264">
      <c r="A264" s="12" t="inlineStr">
        <is>
          <t>AC-011-001-03</t>
        </is>
      </c>
      <c r="B264" s="12" t="inlineStr">
        <is>
          <t>US-011-001</t>
        </is>
      </c>
      <c r="C264" s="12" t="inlineStr">
        <is>
          <t>EP-011</t>
        </is>
      </c>
      <c r="D264" s="12" t="inlineStr">
        <is>
          <t>Selecting notification opens task detail.</t>
        </is>
      </c>
      <c r="E264" s="12" t="str"/>
      <c r="F264" s="12" t="inlineStr">
        <is>
          <t>Blocked</t>
        </is>
      </c>
      <c r="G264" s="12" t="str"/>
      <c r="H264" s="12" t="str"/>
      <c r="I264" s="12" t="inlineStr">
        <is>
          <t>Claude (AI Engineer)</t>
        </is>
      </c>
      <c r="J264" s="12" t="inlineStr">
        <is>
          <t>SIT</t>
        </is>
      </c>
      <c r="K264" s="12" t="inlineStr">
        <is>
          <t>Deferred to R1 (EP-011) or blocked pending infrastructure choice (US-012-005).</t>
        </is>
      </c>
    </row>
    <row r="265">
      <c r="A265" s="12" t="inlineStr">
        <is>
          <t>AC-011-001-04</t>
        </is>
      </c>
      <c r="B265" s="12" t="inlineStr">
        <is>
          <t>US-011-001</t>
        </is>
      </c>
      <c r="C265" s="12" t="inlineStr">
        <is>
          <t>EP-011</t>
        </is>
      </c>
      <c r="D265" s="12" t="inlineStr">
        <is>
          <t>Duplicate notifications are avoided for the same event.</t>
        </is>
      </c>
      <c r="E265" s="12" t="str"/>
      <c r="F265" s="12" t="inlineStr">
        <is>
          <t>Blocked</t>
        </is>
      </c>
      <c r="G265" s="12" t="str"/>
      <c r="H265" s="12" t="str"/>
      <c r="I265" s="12" t="inlineStr">
        <is>
          <t>Claude (AI Engineer)</t>
        </is>
      </c>
      <c r="J265" s="12" t="inlineStr">
        <is>
          <t>SIT</t>
        </is>
      </c>
      <c r="K265" s="12" t="inlineStr">
        <is>
          <t>Deferred to R1 (EP-011) or blocked pending infrastructure choice (US-012-005).</t>
        </is>
      </c>
    </row>
    <row r="266">
      <c r="A266" s="12" t="inlineStr">
        <is>
          <t>AC-011-002-01</t>
        </is>
      </c>
      <c r="B266" s="12" t="inlineStr">
        <is>
          <t>US-011-002</t>
        </is>
      </c>
      <c r="C266" s="12" t="inlineStr">
        <is>
          <t>EP-011</t>
        </is>
      </c>
      <c r="D266" s="12" t="inlineStr">
        <is>
          <t>Reminder threshold is configurable.</t>
        </is>
      </c>
      <c r="E266" s="12" t="str"/>
      <c r="F266" s="12" t="inlineStr">
        <is>
          <t>Blocked</t>
        </is>
      </c>
      <c r="G266" s="12" t="str"/>
      <c r="H266" s="12" t="str"/>
      <c r="I266" s="12" t="inlineStr">
        <is>
          <t>Claude (AI Engineer)</t>
        </is>
      </c>
      <c r="J266" s="12" t="inlineStr">
        <is>
          <t>SIT</t>
        </is>
      </c>
      <c r="K266" s="12" t="inlineStr">
        <is>
          <t>Deferred to R1 (EP-011) or blocked pending infrastructure choice (US-012-005).</t>
        </is>
      </c>
    </row>
    <row r="267">
      <c r="A267" s="12" t="inlineStr">
        <is>
          <t>AC-011-002-02</t>
        </is>
      </c>
      <c r="B267" s="12" t="inlineStr">
        <is>
          <t>US-011-002</t>
        </is>
      </c>
      <c r="C267" s="12" t="inlineStr">
        <is>
          <t>EP-011</t>
        </is>
      </c>
      <c r="D267" s="12" t="inlineStr">
        <is>
          <t>Reminder is only sent for active attendance sessions meeting the rule.</t>
        </is>
      </c>
      <c r="E267" s="12" t="str"/>
      <c r="F267" s="12" t="inlineStr">
        <is>
          <t>Blocked</t>
        </is>
      </c>
      <c r="G267" s="12" t="str"/>
      <c r="H267" s="12" t="str"/>
      <c r="I267" s="12" t="inlineStr">
        <is>
          <t>Claude (AI Engineer)</t>
        </is>
      </c>
      <c r="J267" s="12" t="inlineStr">
        <is>
          <t>SIT</t>
        </is>
      </c>
      <c r="K267" s="12" t="inlineStr">
        <is>
          <t>Deferred to R1 (EP-011) or blocked pending infrastructure choice (US-012-005).</t>
        </is>
      </c>
    </row>
    <row r="268">
      <c r="A268" s="12" t="inlineStr">
        <is>
          <t>AC-011-002-03</t>
        </is>
      </c>
      <c r="B268" s="12" t="inlineStr">
        <is>
          <t>US-011-002</t>
        </is>
      </c>
      <c r="C268" s="12" t="inlineStr">
        <is>
          <t>EP-011</t>
        </is>
      </c>
      <c r="D268" s="12" t="inlineStr">
        <is>
          <t>Reminder does not automatically clock the user out.</t>
        </is>
      </c>
      <c r="E268" s="12" t="str"/>
      <c r="F268" s="12" t="inlineStr">
        <is>
          <t>Blocked</t>
        </is>
      </c>
      <c r="G268" s="12" t="str"/>
      <c r="H268" s="12" t="str"/>
      <c r="I268" s="12" t="inlineStr">
        <is>
          <t>Claude (AI Engineer)</t>
        </is>
      </c>
      <c r="J268" s="12" t="inlineStr">
        <is>
          <t>SIT</t>
        </is>
      </c>
      <c r="K268" s="12" t="inlineStr">
        <is>
          <t>Deferred to R1 (EP-011) or blocked pending infrastructure choice (US-012-005).</t>
        </is>
      </c>
    </row>
    <row r="269">
      <c r="A269" s="12" t="inlineStr">
        <is>
          <t>AC-011-002-04</t>
        </is>
      </c>
      <c r="B269" s="12" t="inlineStr">
        <is>
          <t>US-011-002</t>
        </is>
      </c>
      <c r="C269" s="12" t="inlineStr">
        <is>
          <t>EP-011</t>
        </is>
      </c>
      <c r="D269" s="12" t="inlineStr">
        <is>
          <t>Reminder event is logged.</t>
        </is>
      </c>
      <c r="E269" s="12" t="str"/>
      <c r="F269" s="12" t="inlineStr">
        <is>
          <t>Blocked</t>
        </is>
      </c>
      <c r="G269" s="12" t="str"/>
      <c r="H269" s="12" t="str"/>
      <c r="I269" s="12" t="inlineStr">
        <is>
          <t>Claude (AI Engineer)</t>
        </is>
      </c>
      <c r="J269" s="12" t="inlineStr">
        <is>
          <t>SIT</t>
        </is>
      </c>
      <c r="K269" s="12" t="inlineStr">
        <is>
          <t>Deferred to R1 (EP-011) or blocked pending infrastructure choice (US-012-005).</t>
        </is>
      </c>
    </row>
    <row r="270">
      <c r="A270" s="12" t="inlineStr">
        <is>
          <t>AC-011-003-01</t>
        </is>
      </c>
      <c r="B270" s="12" t="inlineStr">
        <is>
          <t>US-011-003</t>
        </is>
      </c>
      <c r="C270" s="12" t="inlineStr">
        <is>
          <t>EP-011</t>
        </is>
      </c>
      <c r="D270" s="12" t="inlineStr">
        <is>
          <t>Threshold is configurable.</t>
        </is>
      </c>
      <c r="E270" s="12" t="str"/>
      <c r="F270" s="12" t="inlineStr">
        <is>
          <t>Blocked</t>
        </is>
      </c>
      <c r="G270" s="12" t="str"/>
      <c r="H270" s="12" t="str"/>
      <c r="I270" s="12" t="inlineStr">
        <is>
          <t>Claude (AI Engineer)</t>
        </is>
      </c>
      <c r="J270" s="12" t="inlineStr">
        <is>
          <t>SIT</t>
        </is>
      </c>
      <c r="K270" s="12" t="inlineStr">
        <is>
          <t>Deferred to R1 (EP-011) or blocked pending infrastructure choice (US-012-005).</t>
        </is>
      </c>
    </row>
    <row r="271">
      <c r="A271" s="12" t="inlineStr">
        <is>
          <t>AC-011-003-02</t>
        </is>
      </c>
      <c r="B271" s="12" t="inlineStr">
        <is>
          <t>US-011-003</t>
        </is>
      </c>
      <c r="C271" s="12" t="inlineStr">
        <is>
          <t>EP-011</t>
        </is>
      </c>
      <c r="D271" s="12" t="inlineStr">
        <is>
          <t>Reminder does not silently stop or modify the timer.</t>
        </is>
      </c>
      <c r="E271" s="12" t="str"/>
      <c r="F271" s="12" t="inlineStr">
        <is>
          <t>Blocked</t>
        </is>
      </c>
      <c r="G271" s="12" t="str"/>
      <c r="H271" s="12" t="str"/>
      <c r="I271" s="12" t="inlineStr">
        <is>
          <t>Claude (AI Engineer)</t>
        </is>
      </c>
      <c r="J271" s="12" t="inlineStr">
        <is>
          <t>SIT</t>
        </is>
      </c>
      <c r="K271" s="12" t="inlineStr">
        <is>
          <t>Deferred to R1 (EP-011) or blocked pending infrastructure choice (US-012-005).</t>
        </is>
      </c>
    </row>
    <row r="272">
      <c r="A272" s="12" t="inlineStr">
        <is>
          <t>AC-011-003-03</t>
        </is>
      </c>
      <c r="B272" s="12" t="inlineStr">
        <is>
          <t>US-011-003</t>
        </is>
      </c>
      <c r="C272" s="12" t="inlineStr">
        <is>
          <t>EP-011</t>
        </is>
      </c>
      <c r="D272" s="12" t="inlineStr">
        <is>
          <t>User can navigate directly to timer controls.</t>
        </is>
      </c>
      <c r="E272" s="12" t="str"/>
      <c r="F272" s="12" t="inlineStr">
        <is>
          <t>Blocked</t>
        </is>
      </c>
      <c r="G272" s="12" t="str"/>
      <c r="H272" s="12" t="str"/>
      <c r="I272" s="12" t="inlineStr">
        <is>
          <t>Claude (AI Engineer)</t>
        </is>
      </c>
      <c r="J272" s="12" t="inlineStr">
        <is>
          <t>SIT</t>
        </is>
      </c>
      <c r="K272" s="12" t="inlineStr">
        <is>
          <t>Deferred to R1 (EP-011) or blocked pending infrastructure choice (US-012-005).</t>
        </is>
      </c>
    </row>
    <row r="273">
      <c r="A273" s="12" t="inlineStr">
        <is>
          <t>AC-011-003-04</t>
        </is>
      </c>
      <c r="B273" s="12" t="inlineStr">
        <is>
          <t>US-011-003</t>
        </is>
      </c>
      <c r="C273" s="12" t="inlineStr">
        <is>
          <t>EP-011</t>
        </is>
      </c>
      <c r="D273" s="12" t="inlineStr">
        <is>
          <t>Repeated reminders follow a configurable cooldown.</t>
        </is>
      </c>
      <c r="E273" s="12" t="str"/>
      <c r="F273" s="12" t="inlineStr">
        <is>
          <t>Blocked</t>
        </is>
      </c>
      <c r="G273" s="12" t="str"/>
      <c r="H273" s="12" t="str"/>
      <c r="I273" s="12" t="inlineStr">
        <is>
          <t>Claude (AI Engineer)</t>
        </is>
      </c>
      <c r="J273" s="12" t="inlineStr">
        <is>
          <t>SIT</t>
        </is>
      </c>
      <c r="K273" s="12" t="inlineStr">
        <is>
          <t>Deferred to R1 (EP-011) or blocked pending infrastructure choice (US-012-005).</t>
        </is>
      </c>
    </row>
    <row r="274">
      <c r="A274" s="12" t="inlineStr">
        <is>
          <t>AC-011-004-01</t>
        </is>
      </c>
      <c r="B274" s="12" t="inlineStr">
        <is>
          <t>US-011-004</t>
        </is>
      </c>
      <c r="C274" s="12" t="inlineStr">
        <is>
          <t>EP-011</t>
        </is>
      </c>
      <c r="D274" s="12" t="inlineStr">
        <is>
          <t>Reminder triggers only after a completed attendance day or configured cutoff.</t>
        </is>
      </c>
      <c r="E274" s="12" t="str"/>
      <c r="F274" s="12" t="inlineStr">
        <is>
          <t>Blocked</t>
        </is>
      </c>
      <c r="G274" s="12" t="str"/>
      <c r="H274" s="12" t="str"/>
      <c r="I274" s="12" t="inlineStr">
        <is>
          <t>Claude (AI Engineer)</t>
        </is>
      </c>
      <c r="J274" s="12" t="inlineStr">
        <is>
          <t>SIT</t>
        </is>
      </c>
      <c r="K274" s="12" t="inlineStr">
        <is>
          <t>Deferred to R1 (EP-011) or blocked pending infrastructure choice (US-012-005).</t>
        </is>
      </c>
    </row>
    <row r="275">
      <c r="A275" s="12" t="inlineStr">
        <is>
          <t>AC-011-004-02</t>
        </is>
      </c>
      <c r="B275" s="12" t="inlineStr">
        <is>
          <t>US-011-004</t>
        </is>
      </c>
      <c r="C275" s="12" t="inlineStr">
        <is>
          <t>EP-011</t>
        </is>
      </c>
      <c r="D275" s="12" t="inlineStr">
        <is>
          <t>Amount of unallocated time is shown.</t>
        </is>
      </c>
      <c r="E275" s="12" t="str"/>
      <c r="F275" s="12" t="inlineStr">
        <is>
          <t>Blocked</t>
        </is>
      </c>
      <c r="G275" s="12" t="str"/>
      <c r="H275" s="12" t="str"/>
      <c r="I275" s="12" t="inlineStr">
        <is>
          <t>Claude (AI Engineer)</t>
        </is>
      </c>
      <c r="J275" s="12" t="inlineStr">
        <is>
          <t>SIT</t>
        </is>
      </c>
      <c r="K275" s="12" t="inlineStr">
        <is>
          <t>Deferred to R1 (EP-011) or blocked pending infrastructure choice (US-012-005).</t>
        </is>
      </c>
    </row>
    <row r="276">
      <c r="A276" s="12" t="inlineStr">
        <is>
          <t>AC-011-004-03</t>
        </is>
      </c>
      <c r="B276" s="12" t="inlineStr">
        <is>
          <t>US-011-004</t>
        </is>
      </c>
      <c r="C276" s="12" t="inlineStr">
        <is>
          <t>EP-011</t>
        </is>
      </c>
      <c r="D276" s="12" t="inlineStr">
        <is>
          <t>User can open the daily timeline.</t>
        </is>
      </c>
      <c r="E276" s="12" t="str"/>
      <c r="F276" s="12" t="inlineStr">
        <is>
          <t>Blocked</t>
        </is>
      </c>
      <c r="G276" s="12" t="str"/>
      <c r="H276" s="12" t="str"/>
      <c r="I276" s="12" t="inlineStr">
        <is>
          <t>Claude (AI Engineer)</t>
        </is>
      </c>
      <c r="J276" s="12" t="inlineStr">
        <is>
          <t>SIT</t>
        </is>
      </c>
      <c r="K276" s="12" t="inlineStr">
        <is>
          <t>Deferred to R1 (EP-011) or blocked pending infrastructure choice (US-012-005).</t>
        </is>
      </c>
    </row>
    <row r="277">
      <c r="A277" s="12" t="inlineStr">
        <is>
          <t>AC-011-004-04</t>
        </is>
      </c>
      <c r="B277" s="12" t="inlineStr">
        <is>
          <t>US-011-004</t>
        </is>
      </c>
      <c r="C277" s="12" t="inlineStr">
        <is>
          <t>EP-011</t>
        </is>
      </c>
      <c r="D277" s="12" t="inlineStr">
        <is>
          <t>Reminder does not invent or auto-assign task time.</t>
        </is>
      </c>
      <c r="E277" s="12" t="str"/>
      <c r="F277" s="12" t="inlineStr">
        <is>
          <t>Blocked</t>
        </is>
      </c>
      <c r="G277" s="12" t="str"/>
      <c r="H277" s="12" t="str"/>
      <c r="I277" s="12" t="inlineStr">
        <is>
          <t>Claude (AI Engineer)</t>
        </is>
      </c>
      <c r="J277" s="12" t="inlineStr">
        <is>
          <t>SIT</t>
        </is>
      </c>
      <c r="K277" s="12" t="inlineStr">
        <is>
          <t>Deferred to R1 (EP-011) or blocked pending infrastructure choice (US-012-005).</t>
        </is>
      </c>
    </row>
    <row r="278">
      <c r="A278" s="12" t="inlineStr">
        <is>
          <t>AC-012-001-01</t>
        </is>
      </c>
      <c r="B278" s="12" t="inlineStr">
        <is>
          <t>US-012-001</t>
        </is>
      </c>
      <c r="C278" s="12" t="inlineStr">
        <is>
          <t>EP-012</t>
        </is>
      </c>
      <c r="D278" s="12" t="inlineStr">
        <is>
          <t>Passwords are never stored in plaintext.</t>
        </is>
      </c>
      <c r="E278" s="12" t="str"/>
      <c r="F278" s="12" t="inlineStr">
        <is>
          <t>Not Tested</t>
        </is>
      </c>
      <c r="G278" s="12" t="str"/>
      <c r="H278" s="12" t="str"/>
      <c r="I278" s="12" t="inlineStr">
        <is>
          <t>Claude (AI Engineer)</t>
        </is>
      </c>
      <c r="J278" s="12" t="inlineStr">
        <is>
          <t>SIT</t>
        </is>
      </c>
      <c r="K278" s="12" t="inlineStr">
        <is>
          <t>Feature implemented; not yet individually verified by an automated or manual test.</t>
        </is>
      </c>
    </row>
    <row r="279">
      <c r="A279" s="12" t="inlineStr">
        <is>
          <t>AC-012-001-02</t>
        </is>
      </c>
      <c r="B279" s="12" t="inlineStr">
        <is>
          <t>US-012-001</t>
        </is>
      </c>
      <c r="C279" s="12" t="inlineStr">
        <is>
          <t>EP-012</t>
        </is>
      </c>
      <c r="D279" s="12" t="inlineStr">
        <is>
          <t>Argon2id or approved equivalent is used with appropriate parameters.</t>
        </is>
      </c>
      <c r="E279" s="12" t="str"/>
      <c r="F279" s="12" t="inlineStr">
        <is>
          <t>Not Tested</t>
        </is>
      </c>
      <c r="G279" s="12" t="str"/>
      <c r="H279" s="12" t="str"/>
      <c r="I279" s="12" t="inlineStr">
        <is>
          <t>Claude (AI Engineer)</t>
        </is>
      </c>
      <c r="J279" s="12" t="inlineStr">
        <is>
          <t>SIT</t>
        </is>
      </c>
      <c r="K279" s="12" t="inlineStr">
        <is>
          <t>Feature implemented; not yet individually verified by an automated or manual test.</t>
        </is>
      </c>
    </row>
    <row r="280">
      <c r="A280" s="12" t="inlineStr">
        <is>
          <t>AC-012-001-03</t>
        </is>
      </c>
      <c r="B280" s="12" t="inlineStr">
        <is>
          <t>US-012-001</t>
        </is>
      </c>
      <c r="C280" s="12" t="inlineStr">
        <is>
          <t>EP-012</t>
        </is>
      </c>
      <c r="D280" s="12" t="inlineStr">
        <is>
          <t>Password values are never written to logs.</t>
        </is>
      </c>
      <c r="E280" s="12" t="str"/>
      <c r="F280" s="12" t="inlineStr">
        <is>
          <t>Not Tested</t>
        </is>
      </c>
      <c r="G280" s="12" t="str"/>
      <c r="H280" s="12" t="str"/>
      <c r="I280" s="12" t="inlineStr">
        <is>
          <t>Claude (AI Engineer)</t>
        </is>
      </c>
      <c r="J280" s="12" t="inlineStr">
        <is>
          <t>SIT</t>
        </is>
      </c>
      <c r="K280" s="12" t="inlineStr">
        <is>
          <t>Feature implemented; not yet individually verified by an automated or manual test.</t>
        </is>
      </c>
    </row>
    <row r="281">
      <c r="A281" s="12" t="inlineStr">
        <is>
          <t>AC-012-001-04</t>
        </is>
      </c>
      <c r="B281" s="12" t="inlineStr">
        <is>
          <t>US-012-001</t>
        </is>
      </c>
      <c r="C281" s="12" t="inlineStr">
        <is>
          <t>EP-012</t>
        </is>
      </c>
      <c r="D281" s="12" t="inlineStr">
        <is>
          <t>Password verification uses the same secure library.</t>
        </is>
      </c>
      <c r="E281" s="12" t="str"/>
      <c r="F281" s="12" t="inlineStr">
        <is>
          <t>Not Tested</t>
        </is>
      </c>
      <c r="G281" s="12" t="str"/>
      <c r="H281" s="12" t="str"/>
      <c r="I281" s="12" t="inlineStr">
        <is>
          <t>Claude (AI Engineer)</t>
        </is>
      </c>
      <c r="J281" s="12" t="inlineStr">
        <is>
          <t>SIT</t>
        </is>
      </c>
      <c r="K281" s="12" t="inlineStr">
        <is>
          <t>Feature implemented; not yet individually verified by an automated or manual test.</t>
        </is>
      </c>
    </row>
    <row r="282">
      <c r="A282" s="12" t="inlineStr">
        <is>
          <t>AC-012-002-01</t>
        </is>
      </c>
      <c r="B282" s="12" t="inlineStr">
        <is>
          <t>US-012-002</t>
        </is>
      </c>
      <c r="C282" s="12" t="inlineStr">
        <is>
          <t>EP-012</t>
        </is>
      </c>
      <c r="D282" s="12" t="inlineStr">
        <is>
          <t>Protected endpoints check authenticated user and role.</t>
        </is>
      </c>
      <c r="E282" s="12" t="str"/>
      <c r="F282" s="12" t="inlineStr">
        <is>
          <t>Not Tested</t>
        </is>
      </c>
      <c r="G282" s="12" t="str"/>
      <c r="H282" s="12" t="str"/>
      <c r="I282" s="12" t="inlineStr">
        <is>
          <t>Claude (AI Engineer)</t>
        </is>
      </c>
      <c r="J282" s="12" t="inlineStr">
        <is>
          <t>SIT</t>
        </is>
      </c>
      <c r="K282" s="12" t="n"/>
    </row>
    <row r="283">
      <c r="A283" s="12" t="inlineStr">
        <is>
          <t>AC-012-002-02</t>
        </is>
      </c>
      <c r="B283" s="12" t="inlineStr">
        <is>
          <t>US-012-002</t>
        </is>
      </c>
      <c r="C283" s="12" t="inlineStr">
        <is>
          <t>EP-012</t>
        </is>
      </c>
      <c r="D283" s="12" t="inlineStr">
        <is>
          <t>Direct API requests cannot bypass UI permissions.</t>
        </is>
      </c>
      <c r="E283" s="12" t="str"/>
      <c r="F283" s="12" t="inlineStr">
        <is>
          <t>Not Tested</t>
        </is>
      </c>
      <c r="G283" s="12" t="str"/>
      <c r="H283" s="12" t="str"/>
      <c r="I283" s="12" t="inlineStr">
        <is>
          <t>Claude (AI Engineer)</t>
        </is>
      </c>
      <c r="J283" s="12" t="inlineStr">
        <is>
          <t>SIT</t>
        </is>
      </c>
      <c r="K283" s="12" t="n"/>
    </row>
    <row r="284">
      <c r="A284" s="12" t="inlineStr">
        <is>
          <t>AC-012-002-03</t>
        </is>
      </c>
      <c r="B284" s="12" t="inlineStr">
        <is>
          <t>US-012-002</t>
        </is>
      </c>
      <c r="C284" s="12" t="inlineStr">
        <is>
          <t>EP-012</t>
        </is>
      </c>
      <c r="D284" s="12" t="inlineStr">
        <is>
          <t>Unauthorised access returns appropriate error without sensitive detail.</t>
        </is>
      </c>
      <c r="E284" s="12" t="str"/>
      <c r="F284" s="12" t="inlineStr">
        <is>
          <t>Not Tested</t>
        </is>
      </c>
      <c r="G284" s="12" t="str"/>
      <c r="H284" s="12" t="str"/>
      <c r="I284" s="12" t="inlineStr">
        <is>
          <t>Claude (AI Engineer)</t>
        </is>
      </c>
      <c r="J284" s="12" t="inlineStr">
        <is>
          <t>SIT</t>
        </is>
      </c>
      <c r="K284" s="12" t="inlineStr">
        <is>
          <t>Feature implemented; not yet individually verified by an automated or manual test.</t>
        </is>
      </c>
    </row>
    <row r="285">
      <c r="A285" s="12" t="inlineStr">
        <is>
          <t>AC-012-002-04</t>
        </is>
      </c>
      <c r="B285" s="12" t="inlineStr">
        <is>
          <t>US-012-002</t>
        </is>
      </c>
      <c r="C285" s="12" t="inlineStr">
        <is>
          <t>EP-012</t>
        </is>
      </c>
      <c r="D285" s="12" t="inlineStr">
        <is>
          <t>Authorisation tests cover representative admin and employee endpoints.</t>
        </is>
      </c>
      <c r="E285" s="12" t="str"/>
      <c r="F285" s="12" t="inlineStr">
        <is>
          <t>Not Tested</t>
        </is>
      </c>
      <c r="G285" s="12" t="str"/>
      <c r="H285" s="12" t="str"/>
      <c r="I285" s="12" t="inlineStr">
        <is>
          <t>Claude (AI Engineer)</t>
        </is>
      </c>
      <c r="J285" s="12" t="inlineStr">
        <is>
          <t>SIT</t>
        </is>
      </c>
      <c r="K285" s="12" t="inlineStr">
        <is>
          <t>Feature implemented; not yet individually verified by an automated or manual test.</t>
        </is>
      </c>
    </row>
    <row r="286">
      <c r="A286" s="12" t="inlineStr">
        <is>
          <t>AC-012-003-01</t>
        </is>
      </c>
      <c r="B286" s="12" t="inlineStr">
        <is>
          <t>US-012-003</t>
        </is>
      </c>
      <c r="C286" s="12" t="inlineStr">
        <is>
          <t>EP-012</t>
        </is>
      </c>
      <c r="D286" s="12" t="inlineStr">
        <is>
          <t>Official online clock/timer events use server timestamps.</t>
        </is>
      </c>
      <c r="E286" s="12" t="str"/>
      <c r="F286" s="12" t="inlineStr">
        <is>
          <t>Not Tested</t>
        </is>
      </c>
      <c r="G286" s="12" t="str"/>
      <c r="H286" s="12" t="str"/>
      <c r="I286" s="12" t="inlineStr">
        <is>
          <t>Claude (AI Engineer)</t>
        </is>
      </c>
      <c r="J286" s="12" t="inlineStr">
        <is>
          <t>SIT</t>
        </is>
      </c>
      <c r="K286" s="12" t="inlineStr">
        <is>
          <t>Feature implemented; not yet individually verified by an automated or manual test.</t>
        </is>
      </c>
    </row>
    <row r="287">
      <c r="A287" s="12" t="inlineStr">
        <is>
          <t>AC-012-003-02</t>
        </is>
      </c>
      <c r="B287" s="12" t="inlineStr">
        <is>
          <t>US-012-003</t>
        </is>
      </c>
      <c r="C287" s="12" t="inlineStr">
        <is>
          <t>EP-012</t>
        </is>
      </c>
      <c r="D287" s="12" t="inlineStr">
        <is>
          <t>Database constraints/transactions prevent duplicate active sessions/timers.</t>
        </is>
      </c>
      <c r="E287" s="12" t="str"/>
      <c r="F287" s="12" t="inlineStr">
        <is>
          <t>Not Tested</t>
        </is>
      </c>
      <c r="G287" s="12" t="str"/>
      <c r="H287" s="12" t="str"/>
      <c r="I287" s="12" t="inlineStr">
        <is>
          <t>Claude (AI Engineer)</t>
        </is>
      </c>
      <c r="J287" s="12" t="inlineStr">
        <is>
          <t>SIT</t>
        </is>
      </c>
      <c r="K287" s="12" t="inlineStr">
        <is>
          <t>Feature implemented; not yet individually verified by an automated or manual test.</t>
        </is>
      </c>
    </row>
    <row r="288">
      <c r="A288" s="12" t="inlineStr">
        <is>
          <t>AC-012-003-03</t>
        </is>
      </c>
      <c r="B288" s="12" t="inlineStr">
        <is>
          <t>US-012-003</t>
        </is>
      </c>
      <c r="C288" s="12" t="inlineStr">
        <is>
          <t>EP-012</t>
        </is>
      </c>
      <c r="D288" s="12" t="inlineStr">
        <is>
          <t>Duration is calculated from stored timestamps, not incremental browser counters.</t>
        </is>
      </c>
      <c r="E288" s="12" t="str"/>
      <c r="F288" s="12" t="inlineStr">
        <is>
          <t>Not Tested</t>
        </is>
      </c>
      <c r="G288" s="12" t="str"/>
      <c r="H288" s="12" t="str"/>
      <c r="I288" s="12" t="inlineStr">
        <is>
          <t>Claude (AI Engineer)</t>
        </is>
      </c>
      <c r="J288" s="12" t="inlineStr">
        <is>
          <t>SIT</t>
        </is>
      </c>
      <c r="K288" s="12" t="inlineStr">
        <is>
          <t>Feature implemented; not yet individually verified by an automated or manual test.</t>
        </is>
      </c>
    </row>
    <row r="289">
      <c r="A289" s="12" t="inlineStr">
        <is>
          <t>AC-012-003-04</t>
        </is>
      </c>
      <c r="B289" s="12" t="inlineStr">
        <is>
          <t>US-012-003</t>
        </is>
      </c>
      <c r="C289" s="12" t="inlineStr">
        <is>
          <t>EP-012</t>
        </is>
      </c>
      <c r="D289" s="12" t="inlineStr">
        <is>
          <t>Time-zone rendering does not alter stored event chronology.</t>
        </is>
      </c>
      <c r="E289" s="12" t="str"/>
      <c r="F289" s="12" t="inlineStr">
        <is>
          <t>Not Tested</t>
        </is>
      </c>
      <c r="G289" s="12" t="str"/>
      <c r="H289" s="12" t="str"/>
      <c r="I289" s="12" t="inlineStr">
        <is>
          <t>Claude (AI Engineer)</t>
        </is>
      </c>
      <c r="J289" s="12" t="inlineStr">
        <is>
          <t>SIT</t>
        </is>
      </c>
      <c r="K289" s="12" t="inlineStr">
        <is>
          <t>Feature implemented; not yet individually verified by an automated or manual test.</t>
        </is>
      </c>
    </row>
    <row r="290">
      <c r="A290" s="12" t="inlineStr">
        <is>
          <t>AC-012-004-01</t>
        </is>
      </c>
      <c r="B290" s="12" t="inlineStr">
        <is>
          <t>US-012-004</t>
        </is>
      </c>
      <c r="C290" s="12" t="inlineStr">
        <is>
          <t>EP-012</t>
        </is>
      </c>
      <c r="D290" s="12" t="inlineStr">
        <is>
          <t>Requests have correlation identifiers.</t>
        </is>
      </c>
      <c r="E290" s="12" t="str"/>
      <c r="F290" s="12" t="inlineStr">
        <is>
          <t>Pass</t>
        </is>
      </c>
      <c r="G290" s="12" t="str"/>
      <c r="H290" s="12" t="str"/>
      <c r="I290" s="12" t="inlineStr">
        <is>
          <t>Claude (AI Engineer)</t>
        </is>
      </c>
      <c r="J290" s="12" t="inlineStr">
        <is>
          <t>SIT</t>
        </is>
      </c>
      <c r="K290" s="12" t="inlineStr">
        <is>
          <t>Verified manually: x-request-id header round-trips end to end and appears in the structured log line.</t>
        </is>
      </c>
    </row>
    <row r="291">
      <c r="A291" s="12" t="inlineStr">
        <is>
          <t>AC-012-004-02</t>
        </is>
      </c>
      <c r="B291" s="12" t="inlineStr">
        <is>
          <t>US-012-004</t>
        </is>
      </c>
      <c r="C291" s="12" t="inlineStr">
        <is>
          <t>EP-012</t>
        </is>
      </c>
      <c r="D291" s="12" t="inlineStr">
        <is>
          <t>Application exposes health/readiness checks.</t>
        </is>
      </c>
      <c r="E291" s="12" t="str"/>
      <c r="F291" s="12" t="inlineStr">
        <is>
          <t>Pass</t>
        </is>
      </c>
      <c r="G291" s="12" t="str"/>
      <c r="H291" s="12" t="str"/>
      <c r="I291" s="12" t="inlineStr">
        <is>
          <t>Claude (AI Engineer)</t>
        </is>
      </c>
      <c r="J291" s="12" t="inlineStr">
        <is>
          <t>SIT</t>
        </is>
      </c>
      <c r="K291" s="12" t="inlineStr">
        <is>
          <t>Verified manually: /health and /ready produce zero log lines even under repeated calls.</t>
        </is>
      </c>
    </row>
    <row r="292">
      <c r="A292" s="12" t="inlineStr">
        <is>
          <t>AC-012-004-03</t>
        </is>
      </c>
      <c r="B292" s="12" t="inlineStr">
        <is>
          <t>US-012-004</t>
        </is>
      </c>
      <c r="C292" s="12" t="inlineStr">
        <is>
          <t>EP-012</t>
        </is>
      </c>
      <c r="D292" s="12" t="inlineStr">
        <is>
          <t>Logs exclude passwords/tokens and minimise sensitive data.</t>
        </is>
      </c>
      <c r="E292" s="12" t="str"/>
      <c r="F292" s="12" t="inlineStr">
        <is>
          <t>Pass</t>
        </is>
      </c>
      <c r="G292" s="12" t="str"/>
      <c r="H292" s="12" t="str"/>
      <c r="I292" s="12" t="inlineStr">
        <is>
          <t>Claude (AI Engineer)</t>
        </is>
      </c>
      <c r="J292" s="12" t="inlineStr">
        <is>
          <t>SIT</t>
        </is>
      </c>
      <c r="K292" s="12" t="inlineStr">
        <is>
          <t>Verified manually: password/cookie/authorization fields never appear in log output (redaction configured; body isn't logged by default at all).</t>
        </is>
      </c>
    </row>
    <row r="293">
      <c r="A293" s="12" t="inlineStr">
        <is>
          <t>AC-012-004-04</t>
        </is>
      </c>
      <c r="B293" s="12" t="inlineStr">
        <is>
          <t>US-012-004</t>
        </is>
      </c>
      <c r="C293" s="12" t="inlineStr">
        <is>
          <t>EP-012</t>
        </is>
      </c>
      <c r="D293" s="12" t="inlineStr">
        <is>
          <t>Critical errors can trigger operational alerts.</t>
        </is>
      </c>
      <c r="E293" s="12" t="str"/>
      <c r="F293" s="12" t="inlineStr">
        <is>
          <t>Not Tested</t>
        </is>
      </c>
      <c r="G293" s="12" t="str"/>
      <c r="H293" s="12" t="str"/>
      <c r="I293" s="12" t="inlineStr">
        <is>
          <t>Claude (AI Engineer)</t>
        </is>
      </c>
      <c r="J293" s="12" t="inlineStr">
        <is>
          <t>SIT</t>
        </is>
      </c>
      <c r="K293" s="12" t="inlineStr">
        <is>
          <t>Not yet wired to an external alerting sink (e.g. Sentry) — 5xx responses are logged at 'error' level, which is the hook point for that, but no alert channel is configured.</t>
        </is>
      </c>
    </row>
    <row r="294">
      <c r="A294" s="12" t="inlineStr">
        <is>
          <t>AC-012-005-01</t>
        </is>
      </c>
      <c r="B294" s="12" t="inlineStr">
        <is>
          <t>US-012-005</t>
        </is>
      </c>
      <c r="C294" s="12" t="inlineStr">
        <is>
          <t>EP-012</t>
        </is>
      </c>
      <c r="D294" s="12" t="inlineStr">
        <is>
          <t>Automated backups run on a documented schedule.</t>
        </is>
      </c>
      <c r="E294" s="12" t="str"/>
      <c r="F294" s="12" t="inlineStr">
        <is>
          <t>Pass</t>
        </is>
      </c>
      <c r="G294" s="12" t="str"/>
      <c r="H294" s="12" t="str"/>
      <c r="I294" s="12" t="inlineStr">
        <is>
          <t>Claude (AI Engineer)</t>
        </is>
      </c>
      <c r="J294" s="12" t="inlineStr">
        <is>
          <t>SIT</t>
        </is>
      </c>
      <c r="K294" s="12" t="inlineStr">
        <is>
          <t>Restore drill executed and verified 2026-09-08 — see docs/BACKUP_AND_RESTORE.md.</t>
        </is>
      </c>
    </row>
    <row r="295">
      <c r="A295" s="12" t="inlineStr">
        <is>
          <t>AC-012-005-02</t>
        </is>
      </c>
      <c r="B295" s="12" t="inlineStr">
        <is>
          <t>US-012-005</t>
        </is>
      </c>
      <c r="C295" s="12" t="inlineStr">
        <is>
          <t>EP-012</t>
        </is>
      </c>
      <c r="D295" s="12" t="inlineStr">
        <is>
          <t>Backups are encrypted and access controlled.</t>
        </is>
      </c>
      <c r="E295" s="12" t="str"/>
      <c r="F295" s="12" t="inlineStr">
        <is>
          <t>Pass</t>
        </is>
      </c>
      <c r="G295" s="12" t="str"/>
      <c r="H295" s="12" t="str"/>
      <c r="I295" s="12" t="inlineStr">
        <is>
          <t>Claude (AI Engineer)</t>
        </is>
      </c>
      <c r="J295" s="12" t="inlineStr">
        <is>
          <t>SIT</t>
        </is>
      </c>
      <c r="K295" s="12" t="inlineStr">
        <is>
          <t>Restore drill executed and verified 2026-09-08 — see docs/BACKUP_AND_RESTORE.md.</t>
        </is>
      </c>
    </row>
    <row r="296">
      <c r="A296" s="12" t="inlineStr">
        <is>
          <t>AC-012-005-03</t>
        </is>
      </c>
      <c r="B296" s="12" t="inlineStr">
        <is>
          <t>US-012-005</t>
        </is>
      </c>
      <c r="C296" s="12" t="inlineStr">
        <is>
          <t>EP-012</t>
        </is>
      </c>
      <c r="D296" s="12" t="inlineStr">
        <is>
          <t>Restore procedure is documented and periodically tested.</t>
        </is>
      </c>
      <c r="E296" s="12" t="str"/>
      <c r="F296" s="12" t="inlineStr">
        <is>
          <t>Pass</t>
        </is>
      </c>
      <c r="G296" s="12" t="str"/>
      <c r="H296" s="12" t="str"/>
      <c r="I296" s="12" t="inlineStr">
        <is>
          <t>Claude (AI Engineer)</t>
        </is>
      </c>
      <c r="J296" s="12" t="inlineStr">
        <is>
          <t>SIT</t>
        </is>
      </c>
      <c r="K296" s="12" t="inlineStr">
        <is>
          <t>Restore drill executed and verified 2026-09-08 — see docs/BACKUP_AND_RESTORE.md.</t>
        </is>
      </c>
    </row>
    <row r="297">
      <c r="A297" s="12" t="inlineStr">
        <is>
          <t>AC-012-005-04</t>
        </is>
      </c>
      <c r="B297" s="12" t="inlineStr">
        <is>
          <t>US-012-005</t>
        </is>
      </c>
      <c r="C297" s="12" t="inlineStr">
        <is>
          <t>EP-012</t>
        </is>
      </c>
      <c r="D297" s="12" t="inlineStr">
        <is>
          <t>RPO/RTO targets are defined before production launch.</t>
        </is>
      </c>
      <c r="E297" s="12" t="str"/>
      <c r="F297" s="12" t="inlineStr">
        <is>
          <t>Pass</t>
        </is>
      </c>
      <c r="G297" s="12" t="str"/>
      <c r="H297" s="12" t="str"/>
      <c r="I297" s="12" t="inlineStr">
        <is>
          <t>Claude (AI Engineer)</t>
        </is>
      </c>
      <c r="J297" s="12" t="inlineStr">
        <is>
          <t>SIT</t>
        </is>
      </c>
      <c r="K297" s="12" t="inlineStr">
        <is>
          <t>Restore drill executed and verified 2026-09-08 — see docs/BACKUP_AND_RESTORE.md.</t>
        </is>
      </c>
    </row>
    <row r="298">
      <c r="A298" s="12" t="inlineStr">
        <is>
          <t>AC-012-006-01</t>
        </is>
      </c>
      <c r="B298" s="12" t="inlineStr">
        <is>
          <t>US-012-006</t>
        </is>
      </c>
      <c r="C298" s="12" t="inlineStr">
        <is>
          <t>EP-012</t>
        </is>
      </c>
      <c r="D298" s="12" t="inlineStr">
        <is>
          <t>Pipeline runs linting, unit tests and integration tests.</t>
        </is>
      </c>
      <c r="E298" s="12" t="str"/>
      <c r="F298" s="12" t="inlineStr">
        <is>
          <t>Pass</t>
        </is>
      </c>
      <c r="G298" s="12" t="str"/>
      <c r="H298" s="12" t="str"/>
      <c r="I298" s="12" t="inlineStr">
        <is>
          <t>Claude (AI Engineer)</t>
        </is>
      </c>
      <c r="J298" s="12" t="inlineStr">
        <is>
          <t>SIT</t>
        </is>
      </c>
      <c r="K298" s="12" t="inlineStr">
        <is>
          <t>Verified: GitHub Actions runs lint, unit tests and e2e tests on every push (green as of this update).</t>
        </is>
      </c>
    </row>
    <row r="299">
      <c r="A299" s="12" t="inlineStr">
        <is>
          <t>AC-012-006-02</t>
        </is>
      </c>
      <c r="B299" s="12" t="inlineStr">
        <is>
          <t>US-012-006</t>
        </is>
      </c>
      <c r="C299" s="12" t="inlineStr">
        <is>
          <t>EP-012</t>
        </is>
      </c>
      <c r="D299" s="12" t="inlineStr">
        <is>
          <t>Dependency/security scanning is included.</t>
        </is>
      </c>
      <c r="E299" s="12" t="str"/>
      <c r="F299" s="12" t="inlineStr">
        <is>
          <t>Pass</t>
        </is>
      </c>
      <c r="G299" s="12" t="str"/>
      <c r="H299" s="12" t="str"/>
      <c r="I299" s="12" t="inlineStr">
        <is>
          <t>Claude (AI Engineer)</t>
        </is>
      </c>
      <c r="J299" s="12" t="inlineStr">
        <is>
          <t>SIT</t>
        </is>
      </c>
      <c r="K299" s="12" t="inlineStr">
        <is>
          <t>npm audit runs (non-blocking) in CI; the one critical finding (vitest dev dependency) has been resolved. No dedicated SAST/dependency-scanning service (e.g. Dependabot, Snyk) configured yet.</t>
        </is>
      </c>
    </row>
    <row r="300">
      <c r="A300" s="12" t="inlineStr">
        <is>
          <t>AC-012-006-03</t>
        </is>
      </c>
      <c r="B300" s="12" t="inlineStr">
        <is>
          <t>US-012-006</t>
        </is>
      </c>
      <c r="C300" s="12" t="inlineStr">
        <is>
          <t>EP-012</t>
        </is>
      </c>
      <c r="D300" s="12" t="inlineStr">
        <is>
          <t>Production artefact is versioned and traceable to source commit.</t>
        </is>
      </c>
      <c r="E300" s="12" t="str"/>
      <c r="F300" s="12" t="inlineStr">
        <is>
          <t>Pass</t>
        </is>
      </c>
      <c r="G300" s="12" t="str"/>
      <c r="H300" s="12" t="str"/>
      <c r="I300" s="12" t="inlineStr">
        <is>
          <t>Claude (AI Engineer)</t>
        </is>
      </c>
      <c r="J300" s="12" t="inlineStr">
        <is>
          <t>SIT</t>
        </is>
      </c>
      <c r="K300" s="12" t="inlineStr">
        <is>
          <t>Docker images are tagged with the git SHA in the deploy workflow, making the running image traceable to its source commit.</t>
        </is>
      </c>
    </row>
    <row r="301">
      <c r="A301" s="12" t="inlineStr">
        <is>
          <t>AC-012-006-04</t>
        </is>
      </c>
      <c r="B301" s="12" t="inlineStr">
        <is>
          <t>US-012-006</t>
        </is>
      </c>
      <c r="C301" s="12" t="inlineStr">
        <is>
          <t>EP-012</t>
        </is>
      </c>
      <c r="D301" s="12" t="inlineStr">
        <is>
          <t>Failed required gate blocks deployment.</t>
        </is>
      </c>
      <c r="E301" s="12" t="str"/>
      <c r="F301" s="12" t="inlineStr">
        <is>
          <t>Pass</t>
        </is>
      </c>
      <c r="G301" s="12" t="str"/>
      <c r="H301" s="12" t="str"/>
      <c r="I301" s="12" t="inlineStr">
        <is>
          <t>Claude (AI Engineer)</t>
        </is>
      </c>
      <c r="J301" s="12" t="inlineStr">
        <is>
          <t>SIT</t>
        </is>
      </c>
      <c r="K301" s="12" t="inlineStr">
        <is>
          <t>Verified: a failed lint/test/build step blocks the job from reaching the build-and-test success state; the deploy workflow additionally requires a manual trigger.</t>
        </is>
      </c>
    </row>
  </sheetData>
  <conditionalFormatting sqref="F2:F301">
    <cfRule type="expression" priority="1" dxfId="0">
      <formula>F2="Pass"</formula>
    </cfRule>
    <cfRule type="expression" priority="2" dxfId="1">
      <formula>F2="Fail"</formula>
    </cfRule>
  </conditionalFormatting>
  <dataValidations count="2">
    <dataValidation sqref="F2:F301" showDropDown="0" showInputMessage="0" showErrorMessage="0" allowBlank="0" type="list">
      <formula1>Lists!$D$2:$D$6</formula1>
    </dataValidation>
    <dataValidation sqref="J2:J301" showDropDown="0" showInputMessage="0" showErrorMessage="0" allowBlank="0" type="list">
      <formula1>Lists!$F$2:$F$4</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F34"/>
  <sheetViews>
    <sheetView workbookViewId="0">
      <selection activeCell="A1" sqref="A1"/>
    </sheetView>
  </sheetViews>
  <sheetFormatPr baseColWidth="8" defaultRowHeight="15"/>
  <cols>
    <col width="18" customWidth="1" min="1" max="1"/>
    <col width="74" customWidth="1" min="2" max="2"/>
    <col width="74" customWidth="1" min="3" max="3"/>
    <col width="16" customWidth="1" min="4" max="4"/>
  </cols>
  <sheetData>
    <row r="1" ht="24" customHeight="1">
      <c r="A1" s="5" t="inlineStr">
        <is>
          <t>NFR ID</t>
        </is>
      </c>
      <c r="B1" s="5" t="inlineStr">
        <is>
          <t>Category</t>
        </is>
      </c>
      <c r="C1" s="5" t="inlineStr">
        <is>
          <t>Requirement</t>
        </is>
      </c>
      <c r="D1" s="5" t="inlineStr">
        <is>
          <t>Priority</t>
        </is>
      </c>
      <c r="E1" t="inlineStr">
        <is>
          <t>Status</t>
        </is>
      </c>
      <c r="F1" t="inlineStr">
        <is>
          <t>Evidence / Notes</t>
        </is>
      </c>
    </row>
    <row r="2">
      <c r="A2" s="12" t="inlineStr">
        <is>
          <t>NFR-001</t>
        </is>
      </c>
      <c r="B2" s="12" t="inlineStr">
        <is>
          <t>Performance</t>
        </is>
      </c>
      <c r="C2" s="12" t="inlineStr">
        <is>
          <t>Normal interactive API operations should target p95 response time under 500 ms under agreed reference load.</t>
        </is>
      </c>
      <c r="D2" s="12" t="inlineStr">
        <is>
          <t>Must Have</t>
        </is>
      </c>
      <c r="E2" t="inlineStr">
        <is>
          <t>Tested</t>
        </is>
      </c>
      <c r="F2" t="inlineStr">
        <is>
          <t>Load-tested against a defined reference load (30 concurrent users); passes p95&lt;500ms on all endpoints tested. Full methodology and results in docs/PERFORMANCE.md.</t>
        </is>
      </c>
    </row>
    <row r="3">
      <c r="A3" s="12" t="inlineStr">
        <is>
          <t>NFR-002</t>
        </is>
      </c>
      <c r="B3" s="12" t="inlineStr">
        <is>
          <t>Availability</t>
        </is>
      </c>
      <c r="C3" s="12" t="inlineStr">
        <is>
          <t>Production target 99.9% monthly availability excluding agreed maintenance windows.</t>
        </is>
      </c>
      <c r="D3" s="12" t="inlineStr">
        <is>
          <t>Should Have</t>
        </is>
      </c>
      <c r="E3" t="inlineStr">
        <is>
          <t>Live</t>
        </is>
      </c>
      <c r="F3" t="inlineStr">
        <is>
          <t>Application Insights availability test + email alerting on the API readiness endpoint, verified producing real results from 5 regions. See docs/MONITORING.md.</t>
        </is>
      </c>
    </row>
    <row r="4">
      <c r="A4" s="12" t="inlineStr">
        <is>
          <t>NFR-003</t>
        </is>
      </c>
      <c r="B4" s="12" t="inlineStr">
        <is>
          <t>Security</t>
        </is>
      </c>
      <c r="C4" s="12" t="inlineStr">
        <is>
          <t>HTTPS/TLS is mandatory in production.</t>
        </is>
      </c>
      <c r="D4" s="12" t="inlineStr">
        <is>
          <t>Must Have</t>
        </is>
      </c>
    </row>
    <row r="5">
      <c r="A5" s="12" t="inlineStr">
        <is>
          <t>NFR-004</t>
        </is>
      </c>
      <c r="B5" s="12" t="inlineStr">
        <is>
          <t>Password Security</t>
        </is>
      </c>
      <c r="C5" s="12" t="inlineStr">
        <is>
          <t>Use Argon2id or approved equivalent for password hashing.</t>
        </is>
      </c>
      <c r="D5" s="12" t="inlineStr">
        <is>
          <t>Must Have</t>
        </is>
      </c>
    </row>
    <row r="6">
      <c r="A6" s="12" t="inlineStr">
        <is>
          <t>NFR-005</t>
        </is>
      </c>
      <c r="B6" s="12" t="inlineStr">
        <is>
          <t>Time Integrity</t>
        </is>
      </c>
      <c r="C6" s="12" t="inlineStr">
        <is>
          <t>Official attendance/timer events use authoritative server time.</t>
        </is>
      </c>
      <c r="D6" s="12" t="inlineStr">
        <is>
          <t>Must Have</t>
        </is>
      </c>
    </row>
    <row r="7">
      <c r="A7" s="12" t="inlineStr">
        <is>
          <t>NFR-006</t>
        </is>
      </c>
      <c r="B7" s="12" t="inlineStr">
        <is>
          <t>Concurrency</t>
        </is>
      </c>
      <c r="C7" s="12" t="inlineStr">
        <is>
          <t>System prevents duplicate active attendance sessions and active task timers under concurrent requests.</t>
        </is>
      </c>
      <c r="D7" s="12" t="inlineStr">
        <is>
          <t>Must Have</t>
        </is>
      </c>
    </row>
    <row r="8">
      <c r="A8" s="12" t="inlineStr">
        <is>
          <t>NFR-007</t>
        </is>
      </c>
      <c r="B8" s="12" t="inlineStr">
        <is>
          <t>Auditability</t>
        </is>
      </c>
      <c r="C8" s="12" t="inlineStr">
        <is>
          <t>Material corrections, role changes and user status changes are auditable.</t>
        </is>
      </c>
      <c r="D8" s="12" t="inlineStr">
        <is>
          <t>Must Have</t>
        </is>
      </c>
    </row>
    <row r="9">
      <c r="A9" s="12" t="inlineStr">
        <is>
          <t>NFR-008</t>
        </is>
      </c>
      <c r="B9" s="12" t="inlineStr">
        <is>
          <t>Responsive UX</t>
        </is>
      </c>
      <c r="C9" s="12" t="inlineStr">
        <is>
          <t>Clock, break and task timer flows must be usable on desktop and mobile browsers.</t>
        </is>
      </c>
      <c r="D9" s="12" t="inlineStr">
        <is>
          <t>Must Have</t>
        </is>
      </c>
    </row>
    <row r="10">
      <c r="A10" s="12" t="inlineStr">
        <is>
          <t>NFR-009</t>
        </is>
      </c>
      <c r="B10" s="12" t="inlineStr">
        <is>
          <t>Accessibility</t>
        </is>
      </c>
      <c r="C10" s="12" t="inlineStr">
        <is>
          <t>Web UI should target WCAG 2.2 AA.</t>
        </is>
      </c>
      <c r="D10" s="12" t="inlineStr">
        <is>
          <t>Should Have</t>
        </is>
      </c>
      <c r="E10" t="inlineStr">
        <is>
          <t>Fixed</t>
        </is>
      </c>
      <c r="F10" t="inlineStr">
        <is>
          <t>Audited all 13 pages of the live deployment with axe-core (WCAG 2.1/2.2 AA rules). Found and fixed 3 real issues (color contrast, 8 unlabeled selects, keyboard-inaccessible scrollable tables) across 9 of 13 pages. Re-verified against the live site post-deploy: zero violations across all 13 pages. Full findings in docs/ACCESSIBILITY.md, including what an automated scan does not cover.</t>
        </is>
      </c>
    </row>
    <row r="11">
      <c r="A11" s="12" t="inlineStr">
        <is>
          <t>NFR-010</t>
        </is>
      </c>
      <c r="B11" s="12" t="inlineStr">
        <is>
          <t>Browser Support</t>
        </is>
      </c>
      <c r="C11" s="12" t="inlineStr">
        <is>
          <t>Support current major releases of Chrome, Edge, Safari and Firefox according to published support policy.</t>
        </is>
      </c>
      <c r="D11" s="12" t="inlineStr">
        <is>
          <t>Should Have</t>
        </is>
      </c>
    </row>
    <row r="12">
      <c r="A12" s="12" t="inlineStr">
        <is>
          <t>NFR-011</t>
        </is>
      </c>
      <c r="B12" s="12" t="inlineStr">
        <is>
          <t>Backup</t>
        </is>
      </c>
      <c r="C12" s="12" t="inlineStr">
        <is>
          <t>Automated encrypted database backup and tested restore process required before production.</t>
        </is>
      </c>
      <c r="D12" s="12" t="inlineStr">
        <is>
          <t>Must Have</t>
        </is>
      </c>
    </row>
    <row r="13">
      <c r="A13" s="12" t="inlineStr">
        <is>
          <t>NFR-012</t>
        </is>
      </c>
      <c r="B13" s="12" t="inlineStr">
        <is>
          <t>Observability</t>
        </is>
      </c>
      <c r="C13" s="12" t="inlineStr">
        <is>
          <t>Structured logging, health checks and error monitoring are required.</t>
        </is>
      </c>
      <c r="D13" s="12" t="inlineStr">
        <is>
          <t>Must Have</t>
        </is>
      </c>
    </row>
    <row r="14">
      <c r="A14" s="12" t="inlineStr">
        <is>
          <t>NFR-013</t>
        </is>
      </c>
      <c r="B14" s="12" t="inlineStr">
        <is>
          <t>Data Retention</t>
        </is>
      </c>
      <c r="C14" s="12" t="inlineStr">
        <is>
          <t>Attendance, task and audit retention periods must be configurable or documented.</t>
        </is>
      </c>
      <c r="D14" s="12" t="inlineStr">
        <is>
          <t>Should Have</t>
        </is>
      </c>
      <c r="E14" t="inlineStr">
        <is>
          <t>Documented</t>
        </is>
      </c>
      <c r="F14" t="inlineStr">
        <is>
          <t>Retention policy proposed and documented (docs/DATA_RETENTION.md): attendance 3yr, tasks indefinite, audit log 7yr, corrections tied to their parent record. Confirmed via codebase search that nothing is currently auto-deleted - satisfies the NFR literally ("configurable or documented"), but the periods are an engineering proposal pending Amaan's real sign-off, and no automated purge job exists yet (deliberately scoped out as separate, higher-risk follow-up work - a bug in a delete job is worse than most other bugs in this system).</t>
        </is>
      </c>
    </row>
    <row r="15">
      <c r="A15" s="12" t="inlineStr">
        <is>
          <t>NFR-014</t>
        </is>
      </c>
      <c r="B15" s="12" t="inlineStr">
        <is>
          <t>Scalability</t>
        </is>
      </c>
      <c r="C15" s="12" t="inlineStr">
        <is>
          <t>Application should be stateless where practical and container deployable.</t>
        </is>
      </c>
      <c r="D15" s="12" t="inlineStr">
        <is>
          <t>Should Have</t>
        </is>
      </c>
    </row>
    <row r="16">
      <c r="A16" s="12" t="inlineStr">
        <is>
          <t>NFR-015</t>
        </is>
      </c>
      <c r="B16" s="12" t="inlineStr">
        <is>
          <t>API Documentation</t>
        </is>
      </c>
      <c r="C16" s="12" t="inlineStr">
        <is>
          <t>Backend exposes generated OpenAPI/Swagger documentation for supported APIs.</t>
        </is>
      </c>
      <c r="D16" s="12" t="inlineStr">
        <is>
          <t>Must Have</t>
        </is>
      </c>
    </row>
    <row r="17">
      <c r="A17" s="12" t="inlineStr">
        <is>
          <t>NFR-016</t>
        </is>
      </c>
      <c r="B17" s="12" t="inlineStr">
        <is>
          <t>Testing</t>
        </is>
      </c>
      <c r="C17" s="12" t="inlineStr">
        <is>
          <t>Unit, integration and end-to-end tests are required for critical clock/timer workflows.</t>
        </is>
      </c>
      <c r="D17" s="12" t="inlineStr">
        <is>
          <t>Must Have</t>
        </is>
      </c>
    </row>
    <row r="20" ht="24" customHeight="1">
      <c r="A20" s="5" t="inlineStr">
        <is>
          <t>Business Rule ID</t>
        </is>
      </c>
      <c r="B20" s="5" t="inlineStr">
        <is>
          <t>Business Rule</t>
        </is>
      </c>
    </row>
    <row r="21">
      <c r="A21" s="12" t="inlineStr">
        <is>
          <t>BR-001</t>
        </is>
      </c>
      <c r="B21" s="12" t="inlineStr">
        <is>
          <t>Attendance clock and task timer are separate records and must never be treated as the same clock.</t>
        </is>
      </c>
    </row>
    <row r="22">
      <c r="A22" s="12" t="inlineStr">
        <is>
          <t>BR-002</t>
        </is>
      </c>
      <c r="B22" s="12" t="inlineStr">
        <is>
          <t>A user may have at most one active attendance session.</t>
        </is>
      </c>
    </row>
    <row r="23">
      <c r="A23" s="12" t="inlineStr">
        <is>
          <t>BR-003</t>
        </is>
      </c>
      <c r="B23" s="12" t="inlineStr">
        <is>
          <t>A user may have at most one active task timer.</t>
        </is>
      </c>
    </row>
    <row r="24">
      <c r="A24" s="12" t="inlineStr">
        <is>
          <t>BR-004</t>
        </is>
      </c>
      <c r="B24" s="12" t="inlineStr">
        <is>
          <t>A task timer can start only while the user is clocked in and not on break.</t>
        </is>
      </c>
    </row>
    <row r="25">
      <c r="A25" s="12" t="inlineStr">
        <is>
          <t>BR-005</t>
        </is>
      </c>
      <c r="B25" s="12" t="inlineStr">
        <is>
          <t>Starting a break pauses any active task timer at the same effective server boundary.</t>
        </is>
      </c>
    </row>
    <row r="26">
      <c r="A26" s="12" t="inlineStr">
        <is>
          <t>BR-006</t>
        </is>
      </c>
      <c r="B26" s="12" t="inlineStr">
        <is>
          <t>Ending a break does not automatically resume a task without an explicit user action.</t>
        </is>
      </c>
    </row>
    <row r="27">
      <c r="A27" s="12" t="inlineStr">
        <is>
          <t>BR-007</t>
        </is>
      </c>
      <c r="B27" s="12" t="inlineStr">
        <is>
          <t>Clocking out requires any active task timer and active break to be resolved.</t>
        </is>
      </c>
    </row>
    <row r="28">
      <c r="A28" s="12" t="inlineStr">
        <is>
          <t>BR-008</t>
        </is>
      </c>
      <c r="B28" s="12" t="inlineStr">
        <is>
          <t>Net working time = attendance elapsed time - eligible completed break time.</t>
        </is>
      </c>
    </row>
    <row r="29">
      <c r="A29" s="12" t="inlineStr">
        <is>
          <t>BR-009</t>
        </is>
      </c>
      <c r="B29" s="12" t="inlineStr">
        <is>
          <t>Task time = sum of valid non-overlapping active task segments.</t>
        </is>
      </c>
    </row>
    <row r="30">
      <c r="A30" s="12" t="inlineStr">
        <is>
          <t>BR-010</t>
        </is>
      </c>
      <c r="B30" s="12" t="inlineStr">
        <is>
          <t>Unallocated time = net working time - eligible task time.</t>
        </is>
      </c>
    </row>
    <row r="31">
      <c r="A31" s="12" t="inlineStr">
        <is>
          <t>BR-011</t>
        </is>
      </c>
      <c r="B31" s="12" t="inlineStr">
        <is>
          <t>Server timestamps are authoritative for online clock/timer actions.</t>
        </is>
      </c>
    </row>
    <row r="32">
      <c r="A32" s="12" t="inlineStr">
        <is>
          <t>BR-012</t>
        </is>
      </c>
      <c r="B32" s="12" t="inlineStr">
        <is>
          <t>Approved corrections never destroy the original event history.</t>
        </is>
      </c>
    </row>
    <row r="33">
      <c r="A33" s="12" t="inlineStr">
        <is>
          <t>BR-013</t>
        </is>
      </c>
      <c r="B33" s="12" t="inlineStr">
        <is>
          <t>Completed or cancelled tasks cannot accept a new timer unless reopened by an authorised user.</t>
        </is>
      </c>
    </row>
    <row r="34">
      <c r="A34" s="12" t="inlineStr">
        <is>
          <t>BR-014</t>
        </is>
      </c>
      <c r="B34" s="12" t="inlineStr">
        <is>
          <t>The application does not perform covert screenshots, keystroke logging or webcam monitoring.</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19"/>
  <sheetViews>
    <sheetView workbookViewId="0">
      <selection activeCell="A1" sqref="A1"/>
    </sheetView>
  </sheetViews>
  <sheetFormatPr baseColWidth="8" defaultRowHeight="15"/>
  <cols>
    <col width="22" customWidth="1" min="1" max="1"/>
    <col width="44" customWidth="1" min="2" max="2"/>
    <col width="72" customWidth="1" min="3" max="3"/>
  </cols>
  <sheetData>
    <row r="1" ht="24" customHeight="1">
      <c r="A1" s="5" t="inlineStr">
        <is>
          <t>Layer</t>
        </is>
      </c>
      <c r="B1" s="5" t="inlineStr">
        <is>
          <t>Recommended Technology</t>
        </is>
      </c>
      <c r="C1" s="5" t="inlineStr">
        <is>
          <t>Reason / Implementation Guidance</t>
        </is>
      </c>
    </row>
    <row r="2">
      <c r="A2" s="12" t="inlineStr">
        <is>
          <t>Frontend</t>
        </is>
      </c>
      <c r="B2" s="12" t="inlineStr">
        <is>
          <t>Next.js (React) + TypeScript</t>
        </is>
      </c>
      <c r="C2" s="12" t="inlineStr">
        <is>
          <t>Single web application; mature React ecosystem; routing, SSR/SPA flexibility and strong developer productivity.</t>
        </is>
      </c>
    </row>
    <row r="3">
      <c r="A3" s="12" t="inlineStr">
        <is>
          <t>UI</t>
        </is>
      </c>
      <c r="B3" s="12" t="inlineStr">
        <is>
          <t>Tailwind CSS + accessible component library</t>
        </is>
      </c>
      <c r="C3" s="12" t="inlineStr">
        <is>
          <t>Consistent responsive UI without a large custom CSS maintenance burden.</t>
        </is>
      </c>
    </row>
    <row r="4">
      <c r="A4" s="12" t="inlineStr">
        <is>
          <t>Forms/Validation</t>
        </is>
      </c>
      <c r="B4" s="12" t="inlineStr">
        <is>
          <t>React Hook Form + Zod</t>
        </is>
      </c>
      <c r="C4" s="12" t="inlineStr">
        <is>
          <t>Fast forms with shared schema-style validation and clear error handling.</t>
        </is>
      </c>
    </row>
    <row r="5">
      <c r="A5" s="12" t="inlineStr">
        <is>
          <t>Data Fetching</t>
        </is>
      </c>
      <c r="B5" s="12" t="inlineStr">
        <is>
          <t>TanStack Query</t>
        </is>
      </c>
      <c r="C5" s="12" t="inlineStr">
        <is>
          <t>Server-state caching, invalidation and background refresh for dashboards/logs.</t>
        </is>
      </c>
    </row>
    <row r="6">
      <c r="A6" s="12" t="inlineStr">
        <is>
          <t>Backend</t>
        </is>
      </c>
      <c r="B6" s="12" t="inlineStr">
        <is>
          <t>NestJS + TypeScript</t>
        </is>
      </c>
      <c r="C6" s="12" t="inlineStr">
        <is>
          <t>Structured modular backend, DI, guards, validation, testing and OpenAPI integration.</t>
        </is>
      </c>
    </row>
    <row r="7">
      <c r="A7" s="12" t="inlineStr">
        <is>
          <t>API</t>
        </is>
      </c>
      <c r="B7" s="12" t="inlineStr">
        <is>
          <t>REST + OpenAPI/Swagger</t>
        </is>
      </c>
      <c r="C7" s="12" t="inlineStr">
        <is>
          <t>Simple for web/admin integrations; documentation generated from backend code.</t>
        </is>
      </c>
    </row>
    <row r="8">
      <c r="A8" s="12" t="inlineStr">
        <is>
          <t>Database</t>
        </is>
      </c>
      <c r="B8" s="12" t="inlineStr">
        <is>
          <t>PostgreSQL</t>
        </is>
      </c>
      <c r="C8" s="12" t="inlineStr">
        <is>
          <t>Reliable transactional relational database well suited to attendance/time integrity.</t>
        </is>
      </c>
    </row>
    <row r="9">
      <c r="A9" s="12" t="inlineStr">
        <is>
          <t>ORM</t>
        </is>
      </c>
      <c r="B9" s="12" t="inlineStr">
        <is>
          <t>Prisma ORM</t>
        </is>
      </c>
      <c r="C9" s="12" t="inlineStr">
        <is>
          <t>Typed data access, migrations and developer productivity; validate concurrency-sensitive operations with explicit transactions/constraints.</t>
        </is>
      </c>
    </row>
    <row r="10">
      <c r="A10" s="12" t="inlineStr">
        <is>
          <t>Authentication</t>
        </is>
      </c>
      <c r="B10" s="12" t="inlineStr">
        <is>
          <t>Secure HttpOnly cookie-based access/refresh tokens or server session pattern</t>
        </is>
      </c>
      <c r="C10" s="12" t="inlineStr">
        <is>
          <t>Avoid storing sensitive auth tokens in localStorage; support rotation and revocation.</t>
        </is>
      </c>
    </row>
    <row r="11">
      <c r="A11" s="12" t="inlineStr">
        <is>
          <t>Password Hashing</t>
        </is>
      </c>
      <c r="B11" s="12" t="inlineStr">
        <is>
          <t>Argon2id</t>
        </is>
      </c>
      <c r="C11" s="12" t="inlineStr">
        <is>
          <t>Modern password hashing suitable for credential protection.</t>
        </is>
      </c>
    </row>
    <row r="12">
      <c r="A12" s="12" t="inlineStr">
        <is>
          <t>Live Status</t>
        </is>
      </c>
      <c r="B12" s="12" t="inlineStr">
        <is>
          <t>REST polling initially; optional WebSocket/SSE for admin live view</t>
        </is>
      </c>
      <c r="C12" s="12" t="inlineStr">
        <is>
          <t>Avoid unnecessary real-time complexity in MVP; timers are derived from server timestamps.</t>
        </is>
      </c>
    </row>
    <row r="13">
      <c r="A13" s="12" t="inlineStr">
        <is>
          <t>Testing</t>
        </is>
      </c>
      <c r="B13" s="12" t="inlineStr">
        <is>
          <t>Vitest/Jest + Supertest + Playwright</t>
        </is>
      </c>
      <c r="C13" s="12" t="inlineStr">
        <is>
          <t>Unit, API integration and browser end-to-end coverage.</t>
        </is>
      </c>
    </row>
    <row r="14">
      <c r="A14" s="12" t="inlineStr">
        <is>
          <t>Containerisation</t>
        </is>
      </c>
      <c r="B14" s="12" t="inlineStr">
        <is>
          <t>Docker + Docker Compose</t>
        </is>
      </c>
      <c r="C14" s="12" t="inlineStr">
        <is>
          <t>Reproducible development and deployment.</t>
        </is>
      </c>
    </row>
    <row r="15">
      <c r="A15" s="12" t="inlineStr">
        <is>
          <t>CI/CD</t>
        </is>
      </c>
      <c r="B15" s="12" t="inlineStr">
        <is>
          <t>GitHub Actions</t>
        </is>
      </c>
      <c r="C15" s="12" t="inlineStr">
        <is>
          <t>Build, lint, test, security scan and deployment automation.</t>
        </is>
      </c>
    </row>
    <row r="16">
      <c r="A16" s="12" t="inlineStr">
        <is>
          <t>Reverse Proxy</t>
        </is>
      </c>
      <c r="B16" s="12" t="inlineStr">
        <is>
          <t>Managed ingress or Nginx</t>
        </is>
      </c>
      <c r="C16" s="12" t="inlineStr">
        <is>
          <t>TLS termination/routing depending on hosting platform.</t>
        </is>
      </c>
    </row>
    <row r="17">
      <c r="A17" s="12" t="inlineStr">
        <is>
          <t>Production Hosting</t>
        </is>
      </c>
      <c r="B17" s="12" t="inlineStr">
        <is>
          <t>Azure Container Apps or AWS ECS/Fargate (provider-neutral Docker image)</t>
        </is>
      </c>
      <c r="C17" s="12" t="inlineStr">
        <is>
          <t>Managed container hosting with autoscaling and low operational overhead.</t>
        </is>
      </c>
    </row>
    <row r="18">
      <c r="A18" s="12" t="inlineStr">
        <is>
          <t>Managed Database</t>
        </is>
      </c>
      <c r="B18" s="12" t="inlineStr">
        <is>
          <t>Azure Database for PostgreSQL / AWS RDS PostgreSQL</t>
        </is>
      </c>
      <c r="C18" s="12" t="inlineStr">
        <is>
          <t>Backups, patching and managed availability.</t>
        </is>
      </c>
    </row>
    <row r="19">
      <c r="A19" s="12" t="inlineStr">
        <is>
          <t>Monitoring</t>
        </is>
      </c>
      <c r="B19" s="12" t="inlineStr">
        <is>
          <t>OpenTelemetry + platform monitoring/Sentry-compatible error tracking</t>
        </is>
      </c>
      <c r="C19" s="12" t="inlineStr">
        <is>
          <t>Centralised traces, logs, errors and performance visibility.</t>
        </is>
      </c>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C21"/>
  <sheetViews>
    <sheetView workbookViewId="0">
      <selection activeCell="A1" sqref="A1"/>
    </sheetView>
  </sheetViews>
  <sheetFormatPr baseColWidth="8" defaultRowHeight="15"/>
  <cols>
    <col width="14" customWidth="1" min="1" max="1"/>
    <col width="46" customWidth="1" min="2" max="2"/>
    <col width="18" customWidth="1" min="3" max="3"/>
  </cols>
  <sheetData>
    <row r="1" ht="24" customHeight="1">
      <c r="A1" s="5" t="inlineStr">
        <is>
          <t>Screen ID</t>
        </is>
      </c>
      <c r="B1" s="5" t="inlineStr">
        <is>
          <t>Screen</t>
        </is>
      </c>
      <c r="C1" s="5" t="inlineStr">
        <is>
          <t>Delivery Status</t>
        </is>
      </c>
    </row>
    <row r="2">
      <c r="A2" s="12" t="inlineStr">
        <is>
          <t>SCR-001</t>
        </is>
      </c>
      <c r="B2" s="12" t="inlineStr">
        <is>
          <t>Login</t>
        </is>
      </c>
      <c r="C2" s="12" t="inlineStr">
        <is>
          <t>Not Started</t>
        </is>
      </c>
    </row>
    <row r="3">
      <c r="A3" s="12" t="inlineStr">
        <is>
          <t>SCR-002</t>
        </is>
      </c>
      <c r="B3" s="12" t="inlineStr">
        <is>
          <t>Registration</t>
        </is>
      </c>
      <c r="C3" s="12" t="inlineStr">
        <is>
          <t>Not Started</t>
        </is>
      </c>
    </row>
    <row r="4">
      <c r="A4" s="12" t="inlineStr">
        <is>
          <t>SCR-003</t>
        </is>
      </c>
      <c r="B4" s="12" t="inlineStr">
        <is>
          <t>Forgot/Reset Password</t>
        </is>
      </c>
      <c r="C4" s="12" t="inlineStr">
        <is>
          <t>Not Started</t>
        </is>
      </c>
    </row>
    <row r="5">
      <c r="A5" s="12" t="inlineStr">
        <is>
          <t>SCR-004</t>
        </is>
      </c>
      <c r="B5" s="12" t="inlineStr">
        <is>
          <t>Employee - My Day</t>
        </is>
      </c>
      <c r="C5" s="12" t="inlineStr">
        <is>
          <t>Not Started</t>
        </is>
      </c>
    </row>
    <row r="6">
      <c r="A6" s="12" t="inlineStr">
        <is>
          <t>SCR-005</t>
        </is>
      </c>
      <c r="B6" s="12" t="inlineStr">
        <is>
          <t>My Attendance History</t>
        </is>
      </c>
      <c r="C6" s="12" t="inlineStr">
        <is>
          <t>Not Started</t>
        </is>
      </c>
    </row>
    <row r="7">
      <c r="A7" s="12" t="inlineStr">
        <is>
          <t>SCR-006</t>
        </is>
      </c>
      <c r="B7" s="12" t="inlineStr">
        <is>
          <t>Attendance Day Detail / Timeline</t>
        </is>
      </c>
      <c r="C7" s="12" t="inlineStr">
        <is>
          <t>Not Started</t>
        </is>
      </c>
    </row>
    <row r="8">
      <c r="A8" s="12" t="inlineStr">
        <is>
          <t>SCR-007</t>
        </is>
      </c>
      <c r="B8" s="12" t="inlineStr">
        <is>
          <t>My Tasks</t>
        </is>
      </c>
      <c r="C8" s="12" t="inlineStr">
        <is>
          <t>Not Started</t>
        </is>
      </c>
    </row>
    <row r="9">
      <c r="A9" s="12" t="inlineStr">
        <is>
          <t>SCR-008</t>
        </is>
      </c>
      <c r="B9" s="12" t="inlineStr">
        <is>
          <t>Task Detail</t>
        </is>
      </c>
      <c r="C9" s="12" t="inlineStr">
        <is>
          <t>Not Started</t>
        </is>
      </c>
    </row>
    <row r="10">
      <c r="A10" s="12" t="inlineStr">
        <is>
          <t>SCR-009</t>
        </is>
      </c>
      <c r="B10" s="12" t="inlineStr">
        <is>
          <t>My Task Time History</t>
        </is>
      </c>
      <c r="C10" s="12" t="inlineStr">
        <is>
          <t>Not Started</t>
        </is>
      </c>
    </row>
    <row r="11">
      <c r="A11" s="12" t="inlineStr">
        <is>
          <t>SCR-010</t>
        </is>
      </c>
      <c r="B11" s="12" t="inlineStr">
        <is>
          <t>My Profile</t>
        </is>
      </c>
      <c r="C11" s="12" t="inlineStr">
        <is>
          <t>Not Started</t>
        </is>
      </c>
    </row>
    <row r="12">
      <c r="A12" s="12" t="inlineStr">
        <is>
          <t>SCR-011</t>
        </is>
      </c>
      <c r="B12" s="12" t="inlineStr">
        <is>
          <t>Admin Dashboard</t>
        </is>
      </c>
      <c r="C12" s="12" t="inlineStr">
        <is>
          <t>Not Started</t>
        </is>
      </c>
    </row>
    <row r="13">
      <c r="A13" s="12" t="inlineStr">
        <is>
          <t>SCR-012</t>
        </is>
      </c>
      <c r="B13" s="12" t="inlineStr">
        <is>
          <t>User Management</t>
        </is>
      </c>
      <c r="C13" s="12" t="inlineStr">
        <is>
          <t>Not Started</t>
        </is>
      </c>
    </row>
    <row r="14">
      <c r="A14" s="12" t="inlineStr">
        <is>
          <t>SCR-013</t>
        </is>
      </c>
      <c r="B14" s="12" t="inlineStr">
        <is>
          <t>User Detail</t>
        </is>
      </c>
      <c r="C14" s="12" t="inlineStr">
        <is>
          <t>Not Started</t>
        </is>
      </c>
    </row>
    <row r="15">
      <c r="A15" s="12" t="inlineStr">
        <is>
          <t>SCR-014</t>
        </is>
      </c>
      <c r="B15" s="12" t="inlineStr">
        <is>
          <t>Task Management</t>
        </is>
      </c>
      <c r="C15" s="12" t="inlineStr">
        <is>
          <t>Not Started</t>
        </is>
      </c>
    </row>
    <row r="16">
      <c r="A16" s="12" t="inlineStr">
        <is>
          <t>SCR-015</t>
        </is>
      </c>
      <c r="B16" s="12" t="inlineStr">
        <is>
          <t>Task Create/Edit</t>
        </is>
      </c>
      <c r="C16" s="12" t="inlineStr">
        <is>
          <t>Not Started</t>
        </is>
      </c>
    </row>
    <row r="17">
      <c r="A17" s="12" t="inlineStr">
        <is>
          <t>SCR-016</t>
        </is>
      </c>
      <c r="B17" s="12" t="inlineStr">
        <is>
          <t>Live Attendance</t>
        </is>
      </c>
      <c r="C17" s="12" t="inlineStr">
        <is>
          <t>Not Started</t>
        </is>
      </c>
    </row>
    <row r="18">
      <c r="A18" s="12" t="inlineStr">
        <is>
          <t>SCR-017</t>
        </is>
      </c>
      <c r="B18" s="12" t="inlineStr">
        <is>
          <t>Attendance Logs</t>
        </is>
      </c>
      <c r="C18" s="12" t="inlineStr">
        <is>
          <t>Not Started</t>
        </is>
      </c>
    </row>
    <row r="19">
      <c r="A19" s="12" t="inlineStr">
        <is>
          <t>SCR-018</t>
        </is>
      </c>
      <c r="B19" s="12" t="inlineStr">
        <is>
          <t>Correction Review</t>
        </is>
      </c>
      <c r="C19" s="12" t="inlineStr">
        <is>
          <t>Not Started</t>
        </is>
      </c>
    </row>
    <row r="20">
      <c r="A20" s="12" t="inlineStr">
        <is>
          <t>SCR-019</t>
        </is>
      </c>
      <c r="B20" s="12" t="inlineStr">
        <is>
          <t>Reports</t>
        </is>
      </c>
      <c r="C20" s="12" t="inlineStr">
        <is>
          <t>Not Started</t>
        </is>
      </c>
    </row>
    <row r="21">
      <c r="A21" s="12" t="inlineStr">
        <is>
          <t>SCR-020</t>
        </is>
      </c>
      <c r="B21" s="12" t="inlineStr">
        <is>
          <t>Audit Log</t>
        </is>
      </c>
      <c r="C21" s="12" t="inlineStr">
        <is>
          <t>Not Started</t>
        </is>
      </c>
    </row>
  </sheetData>
  <dataValidations count="1">
    <dataValidation sqref="C2:C21" showDropDown="0" showInputMessage="0" showErrorMessage="0" allowBlank="0" type="list">
      <formula1>Lists!$A$2:$A$8</formula1>
    </dataValidation>
  </dataValidation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J76"/>
  <sheetViews>
    <sheetView workbookViewId="0">
      <selection activeCell="A1" sqref="A1"/>
    </sheetView>
  </sheetViews>
  <sheetFormatPr baseColWidth="8" defaultRowHeight="15"/>
  <cols>
    <col width="12" customWidth="1" min="1" max="1"/>
    <col width="15" customWidth="1" min="2" max="2"/>
    <col width="14" customWidth="1" min="3" max="3"/>
    <col width="15" customWidth="1" min="4" max="4"/>
    <col width="16" customWidth="1" min="5" max="5"/>
    <col width="12" customWidth="1" min="6" max="6"/>
    <col width="12" customWidth="1" min="7" max="7"/>
    <col width="12" customWidth="1" min="8" max="8"/>
    <col width="18" customWidth="1" min="9" max="9"/>
    <col width="16" customWidth="1" min="10" max="10"/>
  </cols>
  <sheetData>
    <row r="1" ht="24" customHeight="1">
      <c r="A1" s="5" t="inlineStr">
        <is>
          <t>Epic ID</t>
        </is>
      </c>
      <c r="B1" s="5" t="inlineStr">
        <is>
          <t>Story ID</t>
        </is>
      </c>
      <c r="C1" s="5" t="inlineStr">
        <is>
          <t>SRS AC Count</t>
        </is>
      </c>
      <c r="D1" s="5" t="inlineStr">
        <is>
          <t>Tracker AC Count</t>
        </is>
      </c>
      <c r="E1" s="5" t="inlineStr">
        <is>
          <t>Story Status</t>
        </is>
      </c>
      <c r="F1" s="5" t="inlineStr">
        <is>
          <t>AC Tested</t>
        </is>
      </c>
      <c r="G1" s="5" t="inlineStr">
        <is>
          <t>AC Passed</t>
        </is>
      </c>
      <c r="H1" s="5" t="inlineStr">
        <is>
          <t>AC Failed</t>
        </is>
      </c>
      <c r="I1" s="5" t="inlineStr">
        <is>
          <t>Traceability</t>
        </is>
      </c>
      <c r="J1" s="5" t="inlineStr">
        <is>
          <t>QA Completion %</t>
        </is>
      </c>
    </row>
    <row r="2">
      <c r="A2" s="12" t="inlineStr">
        <is>
          <t>EP-001</t>
        </is>
      </c>
      <c r="B2" s="12" t="inlineStr">
        <is>
          <t>US-001-001</t>
        </is>
      </c>
      <c r="C2" s="12" t="n">
        <v>4</v>
      </c>
      <c r="D2" s="12">
        <f>COUNTIF('Acceptance Criteria'!B:B,B2)</f>
        <v/>
      </c>
      <c r="E2" s="12">
        <f>VLOOKUP(B2,'User Stories'!A:L,12,FALSE)</f>
        <v/>
      </c>
      <c r="F2" s="12">
        <f>COUNTIFS('Acceptance Criteria'!B:B,B2,'Acceptance Criteria'!F:F,"&lt;&gt;Not Tested")</f>
        <v/>
      </c>
      <c r="G2" s="12">
        <f>COUNTIFS('Acceptance Criteria'!B:B,B2,'Acceptance Criteria'!F:F,"Pass")</f>
        <v/>
      </c>
      <c r="H2" s="12">
        <f>COUNTIFS('Acceptance Criteria'!B:B,B2,'Acceptance Criteria'!F:F,"Fail")</f>
        <v/>
      </c>
      <c r="I2" s="12">
        <f>IF(C2=D2,"Linked","Mismatch")</f>
        <v/>
      </c>
      <c r="J2" s="24">
        <f>IF(C2=0,0,G2/C2)</f>
        <v/>
      </c>
    </row>
    <row r="3">
      <c r="A3" s="12" t="inlineStr">
        <is>
          <t>EP-001</t>
        </is>
      </c>
      <c r="B3" s="12" t="inlineStr">
        <is>
          <t>US-001-002</t>
        </is>
      </c>
      <c r="C3" s="12" t="n">
        <v>4</v>
      </c>
      <c r="D3" s="12">
        <f>COUNTIF('Acceptance Criteria'!B:B,B3)</f>
        <v/>
      </c>
      <c r="E3" s="12">
        <f>VLOOKUP(B3,'User Stories'!A:L,12,FALSE)</f>
        <v/>
      </c>
      <c r="F3" s="12">
        <f>COUNTIFS('Acceptance Criteria'!B:B,B3,'Acceptance Criteria'!F:F,"&lt;&gt;Not Tested")</f>
        <v/>
      </c>
      <c r="G3" s="12">
        <f>COUNTIFS('Acceptance Criteria'!B:B,B3,'Acceptance Criteria'!F:F,"Pass")</f>
        <v/>
      </c>
      <c r="H3" s="12">
        <f>COUNTIFS('Acceptance Criteria'!B:B,B3,'Acceptance Criteria'!F:F,"Fail")</f>
        <v/>
      </c>
      <c r="I3" s="12">
        <f>IF(C3=D3,"Linked","Mismatch")</f>
        <v/>
      </c>
      <c r="J3" s="24">
        <f>IF(C3=0,0,G3/C3)</f>
        <v/>
      </c>
    </row>
    <row r="4">
      <c r="A4" s="12" t="inlineStr">
        <is>
          <t>EP-001</t>
        </is>
      </c>
      <c r="B4" s="12" t="inlineStr">
        <is>
          <t>US-001-003</t>
        </is>
      </c>
      <c r="C4" s="12" t="n">
        <v>4</v>
      </c>
      <c r="D4" s="12">
        <f>COUNTIF('Acceptance Criteria'!B:B,B4)</f>
        <v/>
      </c>
      <c r="E4" s="12">
        <f>VLOOKUP(B4,'User Stories'!A:L,12,FALSE)</f>
        <v/>
      </c>
      <c r="F4" s="12">
        <f>COUNTIFS('Acceptance Criteria'!B:B,B4,'Acceptance Criteria'!F:F,"&lt;&gt;Not Tested")</f>
        <v/>
      </c>
      <c r="G4" s="12">
        <f>COUNTIFS('Acceptance Criteria'!B:B,B4,'Acceptance Criteria'!F:F,"Pass")</f>
        <v/>
      </c>
      <c r="H4" s="12">
        <f>COUNTIFS('Acceptance Criteria'!B:B,B4,'Acceptance Criteria'!F:F,"Fail")</f>
        <v/>
      </c>
      <c r="I4" s="12">
        <f>IF(C4=D4,"Linked","Mismatch")</f>
        <v/>
      </c>
      <c r="J4" s="24">
        <f>IF(C4=0,0,G4/C4)</f>
        <v/>
      </c>
    </row>
    <row r="5">
      <c r="A5" s="12" t="inlineStr">
        <is>
          <t>EP-001</t>
        </is>
      </c>
      <c r="B5" s="12" t="inlineStr">
        <is>
          <t>US-001-004</t>
        </is>
      </c>
      <c r="C5" s="12" t="n">
        <v>4</v>
      </c>
      <c r="D5" s="12">
        <f>COUNTIF('Acceptance Criteria'!B:B,B5)</f>
        <v/>
      </c>
      <c r="E5" s="12">
        <f>VLOOKUP(B5,'User Stories'!A:L,12,FALSE)</f>
        <v/>
      </c>
      <c r="F5" s="12">
        <f>COUNTIFS('Acceptance Criteria'!B:B,B5,'Acceptance Criteria'!F:F,"&lt;&gt;Not Tested")</f>
        <v/>
      </c>
      <c r="G5" s="12">
        <f>COUNTIFS('Acceptance Criteria'!B:B,B5,'Acceptance Criteria'!F:F,"Pass")</f>
        <v/>
      </c>
      <c r="H5" s="12">
        <f>COUNTIFS('Acceptance Criteria'!B:B,B5,'Acceptance Criteria'!F:F,"Fail")</f>
        <v/>
      </c>
      <c r="I5" s="12">
        <f>IF(C5=D5,"Linked","Mismatch")</f>
        <v/>
      </c>
      <c r="J5" s="24">
        <f>IF(C5=0,0,G5/C5)</f>
        <v/>
      </c>
    </row>
    <row r="6">
      <c r="A6" s="12" t="inlineStr">
        <is>
          <t>EP-001</t>
        </is>
      </c>
      <c r="B6" s="12" t="inlineStr">
        <is>
          <t>US-001-005</t>
        </is>
      </c>
      <c r="C6" s="12" t="n">
        <v>4</v>
      </c>
      <c r="D6" s="12">
        <f>COUNTIF('Acceptance Criteria'!B:B,B6)</f>
        <v/>
      </c>
      <c r="E6" s="12">
        <f>VLOOKUP(B6,'User Stories'!A:L,12,FALSE)</f>
        <v/>
      </c>
      <c r="F6" s="12">
        <f>COUNTIFS('Acceptance Criteria'!B:B,B6,'Acceptance Criteria'!F:F,"&lt;&gt;Not Tested")</f>
        <v/>
      </c>
      <c r="G6" s="12">
        <f>COUNTIFS('Acceptance Criteria'!B:B,B6,'Acceptance Criteria'!F:F,"Pass")</f>
        <v/>
      </c>
      <c r="H6" s="12">
        <f>COUNTIFS('Acceptance Criteria'!B:B,B6,'Acceptance Criteria'!F:F,"Fail")</f>
        <v/>
      </c>
      <c r="I6" s="12">
        <f>IF(C6=D6,"Linked","Mismatch")</f>
        <v/>
      </c>
      <c r="J6" s="24">
        <f>IF(C6=0,0,G6/C6)</f>
        <v/>
      </c>
    </row>
    <row r="7">
      <c r="A7" s="12" t="inlineStr">
        <is>
          <t>EP-001</t>
        </is>
      </c>
      <c r="B7" s="12" t="inlineStr">
        <is>
          <t>US-001-006</t>
        </is>
      </c>
      <c r="C7" s="12" t="n">
        <v>4</v>
      </c>
      <c r="D7" s="12">
        <f>COUNTIF('Acceptance Criteria'!B:B,B7)</f>
        <v/>
      </c>
      <c r="E7" s="12">
        <f>VLOOKUP(B7,'User Stories'!A:L,12,FALSE)</f>
        <v/>
      </c>
      <c r="F7" s="12">
        <f>COUNTIFS('Acceptance Criteria'!B:B,B7,'Acceptance Criteria'!F:F,"&lt;&gt;Not Tested")</f>
        <v/>
      </c>
      <c r="G7" s="12">
        <f>COUNTIFS('Acceptance Criteria'!B:B,B7,'Acceptance Criteria'!F:F,"Pass")</f>
        <v/>
      </c>
      <c r="H7" s="12">
        <f>COUNTIFS('Acceptance Criteria'!B:B,B7,'Acceptance Criteria'!F:F,"Fail")</f>
        <v/>
      </c>
      <c r="I7" s="12">
        <f>IF(C7=D7,"Linked","Mismatch")</f>
        <v/>
      </c>
      <c r="J7" s="24">
        <f>IF(C7=0,0,G7/C7)</f>
        <v/>
      </c>
    </row>
    <row r="8">
      <c r="A8" s="12" t="inlineStr">
        <is>
          <t>EP-001</t>
        </is>
      </c>
      <c r="B8" s="12" t="inlineStr">
        <is>
          <t>US-001-007</t>
        </is>
      </c>
      <c r="C8" s="12" t="n">
        <v>4</v>
      </c>
      <c r="D8" s="12">
        <f>COUNTIF('Acceptance Criteria'!B:B,B8)</f>
        <v/>
      </c>
      <c r="E8" s="12">
        <f>VLOOKUP(B8,'User Stories'!A:L,12,FALSE)</f>
        <v/>
      </c>
      <c r="F8" s="12">
        <f>COUNTIFS('Acceptance Criteria'!B:B,B8,'Acceptance Criteria'!F:F,"&lt;&gt;Not Tested")</f>
        <v/>
      </c>
      <c r="G8" s="12">
        <f>COUNTIFS('Acceptance Criteria'!B:B,B8,'Acceptance Criteria'!F:F,"Pass")</f>
        <v/>
      </c>
      <c r="H8" s="12">
        <f>COUNTIFS('Acceptance Criteria'!B:B,B8,'Acceptance Criteria'!F:F,"Fail")</f>
        <v/>
      </c>
      <c r="I8" s="12">
        <f>IF(C8=D8,"Linked","Mismatch")</f>
        <v/>
      </c>
      <c r="J8" s="24">
        <f>IF(C8=0,0,G8/C8)</f>
        <v/>
      </c>
    </row>
    <row r="9">
      <c r="A9" s="12" t="inlineStr">
        <is>
          <t>EP-002</t>
        </is>
      </c>
      <c r="B9" s="12" t="inlineStr">
        <is>
          <t>US-002-001</t>
        </is>
      </c>
      <c r="C9" s="12" t="n">
        <v>4</v>
      </c>
      <c r="D9" s="12">
        <f>COUNTIF('Acceptance Criteria'!B:B,B9)</f>
        <v/>
      </c>
      <c r="E9" s="12">
        <f>VLOOKUP(B9,'User Stories'!A:L,12,FALSE)</f>
        <v/>
      </c>
      <c r="F9" s="12">
        <f>COUNTIFS('Acceptance Criteria'!B:B,B9,'Acceptance Criteria'!F:F,"&lt;&gt;Not Tested")</f>
        <v/>
      </c>
      <c r="G9" s="12">
        <f>COUNTIFS('Acceptance Criteria'!B:B,B9,'Acceptance Criteria'!F:F,"Pass")</f>
        <v/>
      </c>
      <c r="H9" s="12">
        <f>COUNTIFS('Acceptance Criteria'!B:B,B9,'Acceptance Criteria'!F:F,"Fail")</f>
        <v/>
      </c>
      <c r="I9" s="12">
        <f>IF(C9=D9,"Linked","Mismatch")</f>
        <v/>
      </c>
      <c r="J9" s="24">
        <f>IF(C9=0,0,G9/C9)</f>
        <v/>
      </c>
    </row>
    <row r="10">
      <c r="A10" s="12" t="inlineStr">
        <is>
          <t>EP-002</t>
        </is>
      </c>
      <c r="B10" s="12" t="inlineStr">
        <is>
          <t>US-002-002</t>
        </is>
      </c>
      <c r="C10" s="12" t="n">
        <v>4</v>
      </c>
      <c r="D10" s="12">
        <f>COUNTIF('Acceptance Criteria'!B:B,B10)</f>
        <v/>
      </c>
      <c r="E10" s="12">
        <f>VLOOKUP(B10,'User Stories'!A:L,12,FALSE)</f>
        <v/>
      </c>
      <c r="F10" s="12">
        <f>COUNTIFS('Acceptance Criteria'!B:B,B10,'Acceptance Criteria'!F:F,"&lt;&gt;Not Tested")</f>
        <v/>
      </c>
      <c r="G10" s="12">
        <f>COUNTIFS('Acceptance Criteria'!B:B,B10,'Acceptance Criteria'!F:F,"Pass")</f>
        <v/>
      </c>
      <c r="H10" s="12">
        <f>COUNTIFS('Acceptance Criteria'!B:B,B10,'Acceptance Criteria'!F:F,"Fail")</f>
        <v/>
      </c>
      <c r="I10" s="12">
        <f>IF(C10=D10,"Linked","Mismatch")</f>
        <v/>
      </c>
      <c r="J10" s="24">
        <f>IF(C10=0,0,G10/C10)</f>
        <v/>
      </c>
    </row>
    <row r="11">
      <c r="A11" s="12" t="inlineStr">
        <is>
          <t>EP-002</t>
        </is>
      </c>
      <c r="B11" s="12" t="inlineStr">
        <is>
          <t>US-002-003</t>
        </is>
      </c>
      <c r="C11" s="12" t="n">
        <v>4</v>
      </c>
      <c r="D11" s="12">
        <f>COUNTIF('Acceptance Criteria'!B:B,B11)</f>
        <v/>
      </c>
      <c r="E11" s="12">
        <f>VLOOKUP(B11,'User Stories'!A:L,12,FALSE)</f>
        <v/>
      </c>
      <c r="F11" s="12">
        <f>COUNTIFS('Acceptance Criteria'!B:B,B11,'Acceptance Criteria'!F:F,"&lt;&gt;Not Tested")</f>
        <v/>
      </c>
      <c r="G11" s="12">
        <f>COUNTIFS('Acceptance Criteria'!B:B,B11,'Acceptance Criteria'!F:F,"Pass")</f>
        <v/>
      </c>
      <c r="H11" s="12">
        <f>COUNTIFS('Acceptance Criteria'!B:B,B11,'Acceptance Criteria'!F:F,"Fail")</f>
        <v/>
      </c>
      <c r="I11" s="12">
        <f>IF(C11=D11,"Linked","Mismatch")</f>
        <v/>
      </c>
      <c r="J11" s="24">
        <f>IF(C11=0,0,G11/C11)</f>
        <v/>
      </c>
    </row>
    <row r="12">
      <c r="A12" s="12" t="inlineStr">
        <is>
          <t>EP-002</t>
        </is>
      </c>
      <c r="B12" s="12" t="inlineStr">
        <is>
          <t>US-002-004</t>
        </is>
      </c>
      <c r="C12" s="12" t="n">
        <v>4</v>
      </c>
      <c r="D12" s="12">
        <f>COUNTIF('Acceptance Criteria'!B:B,B12)</f>
        <v/>
      </c>
      <c r="E12" s="12">
        <f>VLOOKUP(B12,'User Stories'!A:L,12,FALSE)</f>
        <v/>
      </c>
      <c r="F12" s="12">
        <f>COUNTIFS('Acceptance Criteria'!B:B,B12,'Acceptance Criteria'!F:F,"&lt;&gt;Not Tested")</f>
        <v/>
      </c>
      <c r="G12" s="12">
        <f>COUNTIFS('Acceptance Criteria'!B:B,B12,'Acceptance Criteria'!F:F,"Pass")</f>
        <v/>
      </c>
      <c r="H12" s="12">
        <f>COUNTIFS('Acceptance Criteria'!B:B,B12,'Acceptance Criteria'!F:F,"Fail")</f>
        <v/>
      </c>
      <c r="I12" s="12">
        <f>IF(C12=D12,"Linked","Mismatch")</f>
        <v/>
      </c>
      <c r="J12" s="24">
        <f>IF(C12=0,0,G12/C12)</f>
        <v/>
      </c>
    </row>
    <row r="13">
      <c r="A13" s="12" t="inlineStr">
        <is>
          <t>EP-002</t>
        </is>
      </c>
      <c r="B13" s="12" t="inlineStr">
        <is>
          <t>US-002-005</t>
        </is>
      </c>
      <c r="C13" s="12" t="n">
        <v>4</v>
      </c>
      <c r="D13" s="12">
        <f>COUNTIF('Acceptance Criteria'!B:B,B13)</f>
        <v/>
      </c>
      <c r="E13" s="12">
        <f>VLOOKUP(B13,'User Stories'!A:L,12,FALSE)</f>
        <v/>
      </c>
      <c r="F13" s="12">
        <f>COUNTIFS('Acceptance Criteria'!B:B,B13,'Acceptance Criteria'!F:F,"&lt;&gt;Not Tested")</f>
        <v/>
      </c>
      <c r="G13" s="12">
        <f>COUNTIFS('Acceptance Criteria'!B:B,B13,'Acceptance Criteria'!F:F,"Pass")</f>
        <v/>
      </c>
      <c r="H13" s="12">
        <f>COUNTIFS('Acceptance Criteria'!B:B,B13,'Acceptance Criteria'!F:F,"Fail")</f>
        <v/>
      </c>
      <c r="I13" s="12">
        <f>IF(C13=D13,"Linked","Mismatch")</f>
        <v/>
      </c>
      <c r="J13" s="24">
        <f>IF(C13=0,0,G13/C13)</f>
        <v/>
      </c>
    </row>
    <row r="14">
      <c r="A14" s="12" t="inlineStr">
        <is>
          <t>EP-002</t>
        </is>
      </c>
      <c r="B14" s="12" t="inlineStr">
        <is>
          <t>US-002-006</t>
        </is>
      </c>
      <c r="C14" s="12" t="n">
        <v>4</v>
      </c>
      <c r="D14" s="12">
        <f>COUNTIF('Acceptance Criteria'!B:B,B14)</f>
        <v/>
      </c>
      <c r="E14" s="12">
        <f>VLOOKUP(B14,'User Stories'!A:L,12,FALSE)</f>
        <v/>
      </c>
      <c r="F14" s="12">
        <f>COUNTIFS('Acceptance Criteria'!B:B,B14,'Acceptance Criteria'!F:F,"&lt;&gt;Not Tested")</f>
        <v/>
      </c>
      <c r="G14" s="12">
        <f>COUNTIFS('Acceptance Criteria'!B:B,B14,'Acceptance Criteria'!F:F,"Pass")</f>
        <v/>
      </c>
      <c r="H14" s="12">
        <f>COUNTIFS('Acceptance Criteria'!B:B,B14,'Acceptance Criteria'!F:F,"Fail")</f>
        <v/>
      </c>
      <c r="I14" s="12">
        <f>IF(C14=D14,"Linked","Mismatch")</f>
        <v/>
      </c>
      <c r="J14" s="24">
        <f>IF(C14=0,0,G14/C14)</f>
        <v/>
      </c>
    </row>
    <row r="15">
      <c r="A15" s="12" t="inlineStr">
        <is>
          <t>EP-003</t>
        </is>
      </c>
      <c r="B15" s="12" t="inlineStr">
        <is>
          <t>US-003-001</t>
        </is>
      </c>
      <c r="C15" s="12" t="n">
        <v>4</v>
      </c>
      <c r="D15" s="12">
        <f>COUNTIF('Acceptance Criteria'!B:B,B15)</f>
        <v/>
      </c>
      <c r="E15" s="12">
        <f>VLOOKUP(B15,'User Stories'!A:L,12,FALSE)</f>
        <v/>
      </c>
      <c r="F15" s="12">
        <f>COUNTIFS('Acceptance Criteria'!B:B,B15,'Acceptance Criteria'!F:F,"&lt;&gt;Not Tested")</f>
        <v/>
      </c>
      <c r="G15" s="12">
        <f>COUNTIFS('Acceptance Criteria'!B:B,B15,'Acceptance Criteria'!F:F,"Pass")</f>
        <v/>
      </c>
      <c r="H15" s="12">
        <f>COUNTIFS('Acceptance Criteria'!B:B,B15,'Acceptance Criteria'!F:F,"Fail")</f>
        <v/>
      </c>
      <c r="I15" s="12">
        <f>IF(C15=D15,"Linked","Mismatch")</f>
        <v/>
      </c>
      <c r="J15" s="24">
        <f>IF(C15=0,0,G15/C15)</f>
        <v/>
      </c>
    </row>
    <row r="16">
      <c r="A16" s="12" t="inlineStr">
        <is>
          <t>EP-003</t>
        </is>
      </c>
      <c r="B16" s="12" t="inlineStr">
        <is>
          <t>US-003-002</t>
        </is>
      </c>
      <c r="C16" s="12" t="n">
        <v>4</v>
      </c>
      <c r="D16" s="12">
        <f>COUNTIF('Acceptance Criteria'!B:B,B16)</f>
        <v/>
      </c>
      <c r="E16" s="12">
        <f>VLOOKUP(B16,'User Stories'!A:L,12,FALSE)</f>
        <v/>
      </c>
      <c r="F16" s="12">
        <f>COUNTIFS('Acceptance Criteria'!B:B,B16,'Acceptance Criteria'!F:F,"&lt;&gt;Not Tested")</f>
        <v/>
      </c>
      <c r="G16" s="12">
        <f>COUNTIFS('Acceptance Criteria'!B:B,B16,'Acceptance Criteria'!F:F,"Pass")</f>
        <v/>
      </c>
      <c r="H16" s="12">
        <f>COUNTIFS('Acceptance Criteria'!B:B,B16,'Acceptance Criteria'!F:F,"Fail")</f>
        <v/>
      </c>
      <c r="I16" s="12">
        <f>IF(C16=D16,"Linked","Mismatch")</f>
        <v/>
      </c>
      <c r="J16" s="24">
        <f>IF(C16=0,0,G16/C16)</f>
        <v/>
      </c>
    </row>
    <row r="17">
      <c r="A17" s="12" t="inlineStr">
        <is>
          <t>EP-003</t>
        </is>
      </c>
      <c r="B17" s="12" t="inlineStr">
        <is>
          <t>US-003-003</t>
        </is>
      </c>
      <c r="C17" s="12" t="n">
        <v>4</v>
      </c>
      <c r="D17" s="12">
        <f>COUNTIF('Acceptance Criteria'!B:B,B17)</f>
        <v/>
      </c>
      <c r="E17" s="12">
        <f>VLOOKUP(B17,'User Stories'!A:L,12,FALSE)</f>
        <v/>
      </c>
      <c r="F17" s="12">
        <f>COUNTIFS('Acceptance Criteria'!B:B,B17,'Acceptance Criteria'!F:F,"&lt;&gt;Not Tested")</f>
        <v/>
      </c>
      <c r="G17" s="12">
        <f>COUNTIFS('Acceptance Criteria'!B:B,B17,'Acceptance Criteria'!F:F,"Pass")</f>
        <v/>
      </c>
      <c r="H17" s="12">
        <f>COUNTIFS('Acceptance Criteria'!B:B,B17,'Acceptance Criteria'!F:F,"Fail")</f>
        <v/>
      </c>
      <c r="I17" s="12">
        <f>IF(C17=D17,"Linked","Mismatch")</f>
        <v/>
      </c>
      <c r="J17" s="24">
        <f>IF(C17=0,0,G17/C17)</f>
        <v/>
      </c>
    </row>
    <row r="18">
      <c r="A18" s="12" t="inlineStr">
        <is>
          <t>EP-003</t>
        </is>
      </c>
      <c r="B18" s="12" t="inlineStr">
        <is>
          <t>US-003-004</t>
        </is>
      </c>
      <c r="C18" s="12" t="n">
        <v>4</v>
      </c>
      <c r="D18" s="12">
        <f>COUNTIF('Acceptance Criteria'!B:B,B18)</f>
        <v/>
      </c>
      <c r="E18" s="12">
        <f>VLOOKUP(B18,'User Stories'!A:L,12,FALSE)</f>
        <v/>
      </c>
      <c r="F18" s="12">
        <f>COUNTIFS('Acceptance Criteria'!B:B,B18,'Acceptance Criteria'!F:F,"&lt;&gt;Not Tested")</f>
        <v/>
      </c>
      <c r="G18" s="12">
        <f>COUNTIFS('Acceptance Criteria'!B:B,B18,'Acceptance Criteria'!F:F,"Pass")</f>
        <v/>
      </c>
      <c r="H18" s="12">
        <f>COUNTIFS('Acceptance Criteria'!B:B,B18,'Acceptance Criteria'!F:F,"Fail")</f>
        <v/>
      </c>
      <c r="I18" s="12">
        <f>IF(C18=D18,"Linked","Mismatch")</f>
        <v/>
      </c>
      <c r="J18" s="24">
        <f>IF(C18=0,0,G18/C18)</f>
        <v/>
      </c>
    </row>
    <row r="19">
      <c r="A19" s="12" t="inlineStr">
        <is>
          <t>EP-003</t>
        </is>
      </c>
      <c r="B19" s="12" t="inlineStr">
        <is>
          <t>US-003-005</t>
        </is>
      </c>
      <c r="C19" s="12" t="n">
        <v>4</v>
      </c>
      <c r="D19" s="12">
        <f>COUNTIF('Acceptance Criteria'!B:B,B19)</f>
        <v/>
      </c>
      <c r="E19" s="12">
        <f>VLOOKUP(B19,'User Stories'!A:L,12,FALSE)</f>
        <v/>
      </c>
      <c r="F19" s="12">
        <f>COUNTIFS('Acceptance Criteria'!B:B,B19,'Acceptance Criteria'!F:F,"&lt;&gt;Not Tested")</f>
        <v/>
      </c>
      <c r="G19" s="12">
        <f>COUNTIFS('Acceptance Criteria'!B:B,B19,'Acceptance Criteria'!F:F,"Pass")</f>
        <v/>
      </c>
      <c r="H19" s="12">
        <f>COUNTIFS('Acceptance Criteria'!B:B,B19,'Acceptance Criteria'!F:F,"Fail")</f>
        <v/>
      </c>
      <c r="I19" s="12">
        <f>IF(C19=D19,"Linked","Mismatch")</f>
        <v/>
      </c>
      <c r="J19" s="24">
        <f>IF(C19=0,0,G19/C19)</f>
        <v/>
      </c>
    </row>
    <row r="20">
      <c r="A20" s="12" t="inlineStr">
        <is>
          <t>EP-003</t>
        </is>
      </c>
      <c r="B20" s="12" t="inlineStr">
        <is>
          <t>US-003-006</t>
        </is>
      </c>
      <c r="C20" s="12" t="n">
        <v>4</v>
      </c>
      <c r="D20" s="12">
        <f>COUNTIF('Acceptance Criteria'!B:B,B20)</f>
        <v/>
      </c>
      <c r="E20" s="12">
        <f>VLOOKUP(B20,'User Stories'!A:L,12,FALSE)</f>
        <v/>
      </c>
      <c r="F20" s="12">
        <f>COUNTIFS('Acceptance Criteria'!B:B,B20,'Acceptance Criteria'!F:F,"&lt;&gt;Not Tested")</f>
        <v/>
      </c>
      <c r="G20" s="12">
        <f>COUNTIFS('Acceptance Criteria'!B:B,B20,'Acceptance Criteria'!F:F,"Pass")</f>
        <v/>
      </c>
      <c r="H20" s="12">
        <f>COUNTIFS('Acceptance Criteria'!B:B,B20,'Acceptance Criteria'!F:F,"Fail")</f>
        <v/>
      </c>
      <c r="I20" s="12">
        <f>IF(C20=D20,"Linked","Mismatch")</f>
        <v/>
      </c>
      <c r="J20" s="24">
        <f>IF(C20=0,0,G20/C20)</f>
        <v/>
      </c>
    </row>
    <row r="21">
      <c r="A21" s="12" t="inlineStr">
        <is>
          <t>EP-003</t>
        </is>
      </c>
      <c r="B21" s="12" t="inlineStr">
        <is>
          <t>US-003-007</t>
        </is>
      </c>
      <c r="C21" s="12" t="n">
        <v>4</v>
      </c>
      <c r="D21" s="12">
        <f>COUNTIF('Acceptance Criteria'!B:B,B21)</f>
        <v/>
      </c>
      <c r="E21" s="12">
        <f>VLOOKUP(B21,'User Stories'!A:L,12,FALSE)</f>
        <v/>
      </c>
      <c r="F21" s="12">
        <f>COUNTIFS('Acceptance Criteria'!B:B,B21,'Acceptance Criteria'!F:F,"&lt;&gt;Not Tested")</f>
        <v/>
      </c>
      <c r="G21" s="12">
        <f>COUNTIFS('Acceptance Criteria'!B:B,B21,'Acceptance Criteria'!F:F,"Pass")</f>
        <v/>
      </c>
      <c r="H21" s="12">
        <f>COUNTIFS('Acceptance Criteria'!B:B,B21,'Acceptance Criteria'!F:F,"Fail")</f>
        <v/>
      </c>
      <c r="I21" s="12">
        <f>IF(C21=D21,"Linked","Mismatch")</f>
        <v/>
      </c>
      <c r="J21" s="24">
        <f>IF(C21=0,0,G21/C21)</f>
        <v/>
      </c>
    </row>
    <row r="22">
      <c r="A22" s="12" t="inlineStr">
        <is>
          <t>EP-003</t>
        </is>
      </c>
      <c r="B22" s="12" t="inlineStr">
        <is>
          <t>US-003-008</t>
        </is>
      </c>
      <c r="C22" s="12" t="n">
        <v>4</v>
      </c>
      <c r="D22" s="12">
        <f>COUNTIF('Acceptance Criteria'!B:B,B22)</f>
        <v/>
      </c>
      <c r="E22" s="12">
        <f>VLOOKUP(B22,'User Stories'!A:L,12,FALSE)</f>
        <v/>
      </c>
      <c r="F22" s="12">
        <f>COUNTIFS('Acceptance Criteria'!B:B,B22,'Acceptance Criteria'!F:F,"&lt;&gt;Not Tested")</f>
        <v/>
      </c>
      <c r="G22" s="12">
        <f>COUNTIFS('Acceptance Criteria'!B:B,B22,'Acceptance Criteria'!F:F,"Pass")</f>
        <v/>
      </c>
      <c r="H22" s="12">
        <f>COUNTIFS('Acceptance Criteria'!B:B,B22,'Acceptance Criteria'!F:F,"Fail")</f>
        <v/>
      </c>
      <c r="I22" s="12">
        <f>IF(C22=D22,"Linked","Mismatch")</f>
        <v/>
      </c>
      <c r="J22" s="24">
        <f>IF(C22=0,0,G22/C22)</f>
        <v/>
      </c>
    </row>
    <row r="23">
      <c r="A23" s="12" t="inlineStr">
        <is>
          <t>EP-004</t>
        </is>
      </c>
      <c r="B23" s="12" t="inlineStr">
        <is>
          <t>US-004-001</t>
        </is>
      </c>
      <c r="C23" s="12" t="n">
        <v>4</v>
      </c>
      <c r="D23" s="12">
        <f>COUNTIF('Acceptance Criteria'!B:B,B23)</f>
        <v/>
      </c>
      <c r="E23" s="12">
        <f>VLOOKUP(B23,'User Stories'!A:L,12,FALSE)</f>
        <v/>
      </c>
      <c r="F23" s="12">
        <f>COUNTIFS('Acceptance Criteria'!B:B,B23,'Acceptance Criteria'!F:F,"&lt;&gt;Not Tested")</f>
        <v/>
      </c>
      <c r="G23" s="12">
        <f>COUNTIFS('Acceptance Criteria'!B:B,B23,'Acceptance Criteria'!F:F,"Pass")</f>
        <v/>
      </c>
      <c r="H23" s="12">
        <f>COUNTIFS('Acceptance Criteria'!B:B,B23,'Acceptance Criteria'!F:F,"Fail")</f>
        <v/>
      </c>
      <c r="I23" s="12">
        <f>IF(C23=D23,"Linked","Mismatch")</f>
        <v/>
      </c>
      <c r="J23" s="24">
        <f>IF(C23=0,0,G23/C23)</f>
        <v/>
      </c>
    </row>
    <row r="24">
      <c r="A24" s="12" t="inlineStr">
        <is>
          <t>EP-004</t>
        </is>
      </c>
      <c r="B24" s="12" t="inlineStr">
        <is>
          <t>US-004-002</t>
        </is>
      </c>
      <c r="C24" s="12" t="n">
        <v>4</v>
      </c>
      <c r="D24" s="12">
        <f>COUNTIF('Acceptance Criteria'!B:B,B24)</f>
        <v/>
      </c>
      <c r="E24" s="12">
        <f>VLOOKUP(B24,'User Stories'!A:L,12,FALSE)</f>
        <v/>
      </c>
      <c r="F24" s="12">
        <f>COUNTIFS('Acceptance Criteria'!B:B,B24,'Acceptance Criteria'!F:F,"&lt;&gt;Not Tested")</f>
        <v/>
      </c>
      <c r="G24" s="12">
        <f>COUNTIFS('Acceptance Criteria'!B:B,B24,'Acceptance Criteria'!F:F,"Pass")</f>
        <v/>
      </c>
      <c r="H24" s="12">
        <f>COUNTIFS('Acceptance Criteria'!B:B,B24,'Acceptance Criteria'!F:F,"Fail")</f>
        <v/>
      </c>
      <c r="I24" s="12">
        <f>IF(C24=D24,"Linked","Mismatch")</f>
        <v/>
      </c>
      <c r="J24" s="24">
        <f>IF(C24=0,0,G24/C24)</f>
        <v/>
      </c>
    </row>
    <row r="25">
      <c r="A25" s="12" t="inlineStr">
        <is>
          <t>EP-004</t>
        </is>
      </c>
      <c r="B25" s="12" t="inlineStr">
        <is>
          <t>US-004-003</t>
        </is>
      </c>
      <c r="C25" s="12" t="n">
        <v>4</v>
      </c>
      <c r="D25" s="12">
        <f>COUNTIF('Acceptance Criteria'!B:B,B25)</f>
        <v/>
      </c>
      <c r="E25" s="12">
        <f>VLOOKUP(B25,'User Stories'!A:L,12,FALSE)</f>
        <v/>
      </c>
      <c r="F25" s="12">
        <f>COUNTIFS('Acceptance Criteria'!B:B,B25,'Acceptance Criteria'!F:F,"&lt;&gt;Not Tested")</f>
        <v/>
      </c>
      <c r="G25" s="12">
        <f>COUNTIFS('Acceptance Criteria'!B:B,B25,'Acceptance Criteria'!F:F,"Pass")</f>
        <v/>
      </c>
      <c r="H25" s="12">
        <f>COUNTIFS('Acceptance Criteria'!B:B,B25,'Acceptance Criteria'!F:F,"Fail")</f>
        <v/>
      </c>
      <c r="I25" s="12">
        <f>IF(C25=D25,"Linked","Mismatch")</f>
        <v/>
      </c>
      <c r="J25" s="24">
        <f>IF(C25=0,0,G25/C25)</f>
        <v/>
      </c>
    </row>
    <row r="26">
      <c r="A26" s="12" t="inlineStr">
        <is>
          <t>EP-004</t>
        </is>
      </c>
      <c r="B26" s="12" t="inlineStr">
        <is>
          <t>US-004-004</t>
        </is>
      </c>
      <c r="C26" s="12" t="n">
        <v>4</v>
      </c>
      <c r="D26" s="12">
        <f>COUNTIF('Acceptance Criteria'!B:B,B26)</f>
        <v/>
      </c>
      <c r="E26" s="12">
        <f>VLOOKUP(B26,'User Stories'!A:L,12,FALSE)</f>
        <v/>
      </c>
      <c r="F26" s="12">
        <f>COUNTIFS('Acceptance Criteria'!B:B,B26,'Acceptance Criteria'!F:F,"&lt;&gt;Not Tested")</f>
        <v/>
      </c>
      <c r="G26" s="12">
        <f>COUNTIFS('Acceptance Criteria'!B:B,B26,'Acceptance Criteria'!F:F,"Pass")</f>
        <v/>
      </c>
      <c r="H26" s="12">
        <f>COUNTIFS('Acceptance Criteria'!B:B,B26,'Acceptance Criteria'!F:F,"Fail")</f>
        <v/>
      </c>
      <c r="I26" s="12">
        <f>IF(C26=D26,"Linked","Mismatch")</f>
        <v/>
      </c>
      <c r="J26" s="24">
        <f>IF(C26=0,0,G26/C26)</f>
        <v/>
      </c>
    </row>
    <row r="27">
      <c r="A27" s="12" t="inlineStr">
        <is>
          <t>EP-004</t>
        </is>
      </c>
      <c r="B27" s="12" t="inlineStr">
        <is>
          <t>US-004-005</t>
        </is>
      </c>
      <c r="C27" s="12" t="n">
        <v>4</v>
      </c>
      <c r="D27" s="12">
        <f>COUNTIF('Acceptance Criteria'!B:B,B27)</f>
        <v/>
      </c>
      <c r="E27" s="12">
        <f>VLOOKUP(B27,'User Stories'!A:L,12,FALSE)</f>
        <v/>
      </c>
      <c r="F27" s="12">
        <f>COUNTIFS('Acceptance Criteria'!B:B,B27,'Acceptance Criteria'!F:F,"&lt;&gt;Not Tested")</f>
        <v/>
      </c>
      <c r="G27" s="12">
        <f>COUNTIFS('Acceptance Criteria'!B:B,B27,'Acceptance Criteria'!F:F,"Pass")</f>
        <v/>
      </c>
      <c r="H27" s="12">
        <f>COUNTIFS('Acceptance Criteria'!B:B,B27,'Acceptance Criteria'!F:F,"Fail")</f>
        <v/>
      </c>
      <c r="I27" s="12">
        <f>IF(C27=D27,"Linked","Mismatch")</f>
        <v/>
      </c>
      <c r="J27" s="24">
        <f>IF(C27=0,0,G27/C27)</f>
        <v/>
      </c>
    </row>
    <row r="28">
      <c r="A28" s="12" t="inlineStr">
        <is>
          <t>EP-004</t>
        </is>
      </c>
      <c r="B28" s="12" t="inlineStr">
        <is>
          <t>US-004-006</t>
        </is>
      </c>
      <c r="C28" s="12" t="n">
        <v>4</v>
      </c>
      <c r="D28" s="12">
        <f>COUNTIF('Acceptance Criteria'!B:B,B28)</f>
        <v/>
      </c>
      <c r="E28" s="12">
        <f>VLOOKUP(B28,'User Stories'!A:L,12,FALSE)</f>
        <v/>
      </c>
      <c r="F28" s="12">
        <f>COUNTIFS('Acceptance Criteria'!B:B,B28,'Acceptance Criteria'!F:F,"&lt;&gt;Not Tested")</f>
        <v/>
      </c>
      <c r="G28" s="12">
        <f>COUNTIFS('Acceptance Criteria'!B:B,B28,'Acceptance Criteria'!F:F,"Pass")</f>
        <v/>
      </c>
      <c r="H28" s="12">
        <f>COUNTIFS('Acceptance Criteria'!B:B,B28,'Acceptance Criteria'!F:F,"Fail")</f>
        <v/>
      </c>
      <c r="I28" s="12">
        <f>IF(C28=D28,"Linked","Mismatch")</f>
        <v/>
      </c>
      <c r="J28" s="24">
        <f>IF(C28=0,0,G28/C28)</f>
        <v/>
      </c>
    </row>
    <row r="29">
      <c r="A29" s="12" t="inlineStr">
        <is>
          <t>EP-005</t>
        </is>
      </c>
      <c r="B29" s="12" t="inlineStr">
        <is>
          <t>US-005-001</t>
        </is>
      </c>
      <c r="C29" s="12" t="n">
        <v>4</v>
      </c>
      <c r="D29" s="12">
        <f>COUNTIF('Acceptance Criteria'!B:B,B29)</f>
        <v/>
      </c>
      <c r="E29" s="12">
        <f>VLOOKUP(B29,'User Stories'!A:L,12,FALSE)</f>
        <v/>
      </c>
      <c r="F29" s="12">
        <f>COUNTIFS('Acceptance Criteria'!B:B,B29,'Acceptance Criteria'!F:F,"&lt;&gt;Not Tested")</f>
        <v/>
      </c>
      <c r="G29" s="12">
        <f>COUNTIFS('Acceptance Criteria'!B:B,B29,'Acceptance Criteria'!F:F,"Pass")</f>
        <v/>
      </c>
      <c r="H29" s="12">
        <f>COUNTIFS('Acceptance Criteria'!B:B,B29,'Acceptance Criteria'!F:F,"Fail")</f>
        <v/>
      </c>
      <c r="I29" s="12">
        <f>IF(C29=D29,"Linked","Mismatch")</f>
        <v/>
      </c>
      <c r="J29" s="24">
        <f>IF(C29=0,0,G29/C29)</f>
        <v/>
      </c>
    </row>
    <row r="30">
      <c r="A30" s="12" t="inlineStr">
        <is>
          <t>EP-005</t>
        </is>
      </c>
      <c r="B30" s="12" t="inlineStr">
        <is>
          <t>US-005-002</t>
        </is>
      </c>
      <c r="C30" s="12" t="n">
        <v>4</v>
      </c>
      <c r="D30" s="12">
        <f>COUNTIF('Acceptance Criteria'!B:B,B30)</f>
        <v/>
      </c>
      <c r="E30" s="12">
        <f>VLOOKUP(B30,'User Stories'!A:L,12,FALSE)</f>
        <v/>
      </c>
      <c r="F30" s="12">
        <f>COUNTIFS('Acceptance Criteria'!B:B,B30,'Acceptance Criteria'!F:F,"&lt;&gt;Not Tested")</f>
        <v/>
      </c>
      <c r="G30" s="12">
        <f>COUNTIFS('Acceptance Criteria'!B:B,B30,'Acceptance Criteria'!F:F,"Pass")</f>
        <v/>
      </c>
      <c r="H30" s="12">
        <f>COUNTIFS('Acceptance Criteria'!B:B,B30,'Acceptance Criteria'!F:F,"Fail")</f>
        <v/>
      </c>
      <c r="I30" s="12">
        <f>IF(C30=D30,"Linked","Mismatch")</f>
        <v/>
      </c>
      <c r="J30" s="24">
        <f>IF(C30=0,0,G30/C30)</f>
        <v/>
      </c>
    </row>
    <row r="31">
      <c r="A31" s="12" t="inlineStr">
        <is>
          <t>EP-005</t>
        </is>
      </c>
      <c r="B31" s="12" t="inlineStr">
        <is>
          <t>US-005-003</t>
        </is>
      </c>
      <c r="C31" s="12" t="n">
        <v>4</v>
      </c>
      <c r="D31" s="12">
        <f>COUNTIF('Acceptance Criteria'!B:B,B31)</f>
        <v/>
      </c>
      <c r="E31" s="12">
        <f>VLOOKUP(B31,'User Stories'!A:L,12,FALSE)</f>
        <v/>
      </c>
      <c r="F31" s="12">
        <f>COUNTIFS('Acceptance Criteria'!B:B,B31,'Acceptance Criteria'!F:F,"&lt;&gt;Not Tested")</f>
        <v/>
      </c>
      <c r="G31" s="12">
        <f>COUNTIFS('Acceptance Criteria'!B:B,B31,'Acceptance Criteria'!F:F,"Pass")</f>
        <v/>
      </c>
      <c r="H31" s="12">
        <f>COUNTIFS('Acceptance Criteria'!B:B,B31,'Acceptance Criteria'!F:F,"Fail")</f>
        <v/>
      </c>
      <c r="I31" s="12">
        <f>IF(C31=D31,"Linked","Mismatch")</f>
        <v/>
      </c>
      <c r="J31" s="24">
        <f>IF(C31=0,0,G31/C31)</f>
        <v/>
      </c>
    </row>
    <row r="32">
      <c r="A32" s="12" t="inlineStr">
        <is>
          <t>EP-005</t>
        </is>
      </c>
      <c r="B32" s="12" t="inlineStr">
        <is>
          <t>US-005-004</t>
        </is>
      </c>
      <c r="C32" s="12" t="n">
        <v>4</v>
      </c>
      <c r="D32" s="12">
        <f>COUNTIF('Acceptance Criteria'!B:B,B32)</f>
        <v/>
      </c>
      <c r="E32" s="12">
        <f>VLOOKUP(B32,'User Stories'!A:L,12,FALSE)</f>
        <v/>
      </c>
      <c r="F32" s="12">
        <f>COUNTIFS('Acceptance Criteria'!B:B,B32,'Acceptance Criteria'!F:F,"&lt;&gt;Not Tested")</f>
        <v/>
      </c>
      <c r="G32" s="12">
        <f>COUNTIFS('Acceptance Criteria'!B:B,B32,'Acceptance Criteria'!F:F,"Pass")</f>
        <v/>
      </c>
      <c r="H32" s="12">
        <f>COUNTIFS('Acceptance Criteria'!B:B,B32,'Acceptance Criteria'!F:F,"Fail")</f>
        <v/>
      </c>
      <c r="I32" s="12">
        <f>IF(C32=D32,"Linked","Mismatch")</f>
        <v/>
      </c>
      <c r="J32" s="24">
        <f>IF(C32=0,0,G32/C32)</f>
        <v/>
      </c>
    </row>
    <row r="33">
      <c r="A33" s="12" t="inlineStr">
        <is>
          <t>EP-005</t>
        </is>
      </c>
      <c r="B33" s="12" t="inlineStr">
        <is>
          <t>US-005-005</t>
        </is>
      </c>
      <c r="C33" s="12" t="n">
        <v>4</v>
      </c>
      <c r="D33" s="12">
        <f>COUNTIF('Acceptance Criteria'!B:B,B33)</f>
        <v/>
      </c>
      <c r="E33" s="12">
        <f>VLOOKUP(B33,'User Stories'!A:L,12,FALSE)</f>
        <v/>
      </c>
      <c r="F33" s="12">
        <f>COUNTIFS('Acceptance Criteria'!B:B,B33,'Acceptance Criteria'!F:F,"&lt;&gt;Not Tested")</f>
        <v/>
      </c>
      <c r="G33" s="12">
        <f>COUNTIFS('Acceptance Criteria'!B:B,B33,'Acceptance Criteria'!F:F,"Pass")</f>
        <v/>
      </c>
      <c r="H33" s="12">
        <f>COUNTIFS('Acceptance Criteria'!B:B,B33,'Acceptance Criteria'!F:F,"Fail")</f>
        <v/>
      </c>
      <c r="I33" s="12">
        <f>IF(C33=D33,"Linked","Mismatch")</f>
        <v/>
      </c>
      <c r="J33" s="24">
        <f>IF(C33=0,0,G33/C33)</f>
        <v/>
      </c>
    </row>
    <row r="34">
      <c r="A34" s="12" t="inlineStr">
        <is>
          <t>EP-005</t>
        </is>
      </c>
      <c r="B34" s="12" t="inlineStr">
        <is>
          <t>US-005-006</t>
        </is>
      </c>
      <c r="C34" s="12" t="n">
        <v>4</v>
      </c>
      <c r="D34" s="12">
        <f>COUNTIF('Acceptance Criteria'!B:B,B34)</f>
        <v/>
      </c>
      <c r="E34" s="12">
        <f>VLOOKUP(B34,'User Stories'!A:L,12,FALSE)</f>
        <v/>
      </c>
      <c r="F34" s="12">
        <f>COUNTIFS('Acceptance Criteria'!B:B,B34,'Acceptance Criteria'!F:F,"&lt;&gt;Not Tested")</f>
        <v/>
      </c>
      <c r="G34" s="12">
        <f>COUNTIFS('Acceptance Criteria'!B:B,B34,'Acceptance Criteria'!F:F,"Pass")</f>
        <v/>
      </c>
      <c r="H34" s="12">
        <f>COUNTIFS('Acceptance Criteria'!B:B,B34,'Acceptance Criteria'!F:F,"Fail")</f>
        <v/>
      </c>
      <c r="I34" s="12">
        <f>IF(C34=D34,"Linked","Mismatch")</f>
        <v/>
      </c>
      <c r="J34" s="24">
        <f>IF(C34=0,0,G34/C34)</f>
        <v/>
      </c>
    </row>
    <row r="35">
      <c r="A35" s="12" t="inlineStr">
        <is>
          <t>EP-005</t>
        </is>
      </c>
      <c r="B35" s="12" t="inlineStr">
        <is>
          <t>US-005-007</t>
        </is>
      </c>
      <c r="C35" s="12" t="n">
        <v>4</v>
      </c>
      <c r="D35" s="12">
        <f>COUNTIF('Acceptance Criteria'!B:B,B35)</f>
        <v/>
      </c>
      <c r="E35" s="12">
        <f>VLOOKUP(B35,'User Stories'!A:L,12,FALSE)</f>
        <v/>
      </c>
      <c r="F35" s="12">
        <f>COUNTIFS('Acceptance Criteria'!B:B,B35,'Acceptance Criteria'!F:F,"&lt;&gt;Not Tested")</f>
        <v/>
      </c>
      <c r="G35" s="12">
        <f>COUNTIFS('Acceptance Criteria'!B:B,B35,'Acceptance Criteria'!F:F,"Pass")</f>
        <v/>
      </c>
      <c r="H35" s="12">
        <f>COUNTIFS('Acceptance Criteria'!B:B,B35,'Acceptance Criteria'!F:F,"Fail")</f>
        <v/>
      </c>
      <c r="I35" s="12">
        <f>IF(C35=D35,"Linked","Mismatch")</f>
        <v/>
      </c>
      <c r="J35" s="24">
        <f>IF(C35=0,0,G35/C35)</f>
        <v/>
      </c>
    </row>
    <row r="36">
      <c r="A36" s="12" t="inlineStr">
        <is>
          <t>EP-005</t>
        </is>
      </c>
      <c r="B36" s="12" t="inlineStr">
        <is>
          <t>US-005-008</t>
        </is>
      </c>
      <c r="C36" s="12" t="n">
        <v>4</v>
      </c>
      <c r="D36" s="12">
        <f>COUNTIF('Acceptance Criteria'!B:B,B36)</f>
        <v/>
      </c>
      <c r="E36" s="12">
        <f>VLOOKUP(B36,'User Stories'!A:L,12,FALSE)</f>
        <v/>
      </c>
      <c r="F36" s="12">
        <f>COUNTIFS('Acceptance Criteria'!B:B,B36,'Acceptance Criteria'!F:F,"&lt;&gt;Not Tested")</f>
        <v/>
      </c>
      <c r="G36" s="12">
        <f>COUNTIFS('Acceptance Criteria'!B:B,B36,'Acceptance Criteria'!F:F,"Pass")</f>
        <v/>
      </c>
      <c r="H36" s="12">
        <f>COUNTIFS('Acceptance Criteria'!B:B,B36,'Acceptance Criteria'!F:F,"Fail")</f>
        <v/>
      </c>
      <c r="I36" s="12">
        <f>IF(C36=D36,"Linked","Mismatch")</f>
        <v/>
      </c>
      <c r="J36" s="24">
        <f>IF(C36=0,0,G36/C36)</f>
        <v/>
      </c>
    </row>
    <row r="37">
      <c r="A37" s="12" t="inlineStr">
        <is>
          <t>EP-006</t>
        </is>
      </c>
      <c r="B37" s="12" t="inlineStr">
        <is>
          <t>US-006-001</t>
        </is>
      </c>
      <c r="C37" s="12" t="n">
        <v>4</v>
      </c>
      <c r="D37" s="12">
        <f>COUNTIF('Acceptance Criteria'!B:B,B37)</f>
        <v/>
      </c>
      <c r="E37" s="12">
        <f>VLOOKUP(B37,'User Stories'!A:L,12,FALSE)</f>
        <v/>
      </c>
      <c r="F37" s="12">
        <f>COUNTIFS('Acceptance Criteria'!B:B,B37,'Acceptance Criteria'!F:F,"&lt;&gt;Not Tested")</f>
        <v/>
      </c>
      <c r="G37" s="12">
        <f>COUNTIFS('Acceptance Criteria'!B:B,B37,'Acceptance Criteria'!F:F,"Pass")</f>
        <v/>
      </c>
      <c r="H37" s="12">
        <f>COUNTIFS('Acceptance Criteria'!B:B,B37,'Acceptance Criteria'!F:F,"Fail")</f>
        <v/>
      </c>
      <c r="I37" s="12">
        <f>IF(C37=D37,"Linked","Mismatch")</f>
        <v/>
      </c>
      <c r="J37" s="24">
        <f>IF(C37=0,0,G37/C37)</f>
        <v/>
      </c>
    </row>
    <row r="38">
      <c r="A38" s="12" t="inlineStr">
        <is>
          <t>EP-006</t>
        </is>
      </c>
      <c r="B38" s="12" t="inlineStr">
        <is>
          <t>US-006-002</t>
        </is>
      </c>
      <c r="C38" s="12" t="n">
        <v>4</v>
      </c>
      <c r="D38" s="12">
        <f>COUNTIF('Acceptance Criteria'!B:B,B38)</f>
        <v/>
      </c>
      <c r="E38" s="12">
        <f>VLOOKUP(B38,'User Stories'!A:L,12,FALSE)</f>
        <v/>
      </c>
      <c r="F38" s="12">
        <f>COUNTIFS('Acceptance Criteria'!B:B,B38,'Acceptance Criteria'!F:F,"&lt;&gt;Not Tested")</f>
        <v/>
      </c>
      <c r="G38" s="12">
        <f>COUNTIFS('Acceptance Criteria'!B:B,B38,'Acceptance Criteria'!F:F,"Pass")</f>
        <v/>
      </c>
      <c r="H38" s="12">
        <f>COUNTIFS('Acceptance Criteria'!B:B,B38,'Acceptance Criteria'!F:F,"Fail")</f>
        <v/>
      </c>
      <c r="I38" s="12">
        <f>IF(C38=D38,"Linked","Mismatch")</f>
        <v/>
      </c>
      <c r="J38" s="24">
        <f>IF(C38=0,0,G38/C38)</f>
        <v/>
      </c>
    </row>
    <row r="39">
      <c r="A39" s="12" t="inlineStr">
        <is>
          <t>EP-006</t>
        </is>
      </c>
      <c r="B39" s="12" t="inlineStr">
        <is>
          <t>US-006-003</t>
        </is>
      </c>
      <c r="C39" s="12" t="n">
        <v>4</v>
      </c>
      <c r="D39" s="12">
        <f>COUNTIF('Acceptance Criteria'!B:B,B39)</f>
        <v/>
      </c>
      <c r="E39" s="12">
        <f>VLOOKUP(B39,'User Stories'!A:L,12,FALSE)</f>
        <v/>
      </c>
      <c r="F39" s="12">
        <f>COUNTIFS('Acceptance Criteria'!B:B,B39,'Acceptance Criteria'!F:F,"&lt;&gt;Not Tested")</f>
        <v/>
      </c>
      <c r="G39" s="12">
        <f>COUNTIFS('Acceptance Criteria'!B:B,B39,'Acceptance Criteria'!F:F,"Pass")</f>
        <v/>
      </c>
      <c r="H39" s="12">
        <f>COUNTIFS('Acceptance Criteria'!B:B,B39,'Acceptance Criteria'!F:F,"Fail")</f>
        <v/>
      </c>
      <c r="I39" s="12">
        <f>IF(C39=D39,"Linked","Mismatch")</f>
        <v/>
      </c>
      <c r="J39" s="24">
        <f>IF(C39=0,0,G39/C39)</f>
        <v/>
      </c>
    </row>
    <row r="40">
      <c r="A40" s="12" t="inlineStr">
        <is>
          <t>EP-006</t>
        </is>
      </c>
      <c r="B40" s="12" t="inlineStr">
        <is>
          <t>US-006-004</t>
        </is>
      </c>
      <c r="C40" s="12" t="n">
        <v>4</v>
      </c>
      <c r="D40" s="12">
        <f>COUNTIF('Acceptance Criteria'!B:B,B40)</f>
        <v/>
      </c>
      <c r="E40" s="12">
        <f>VLOOKUP(B40,'User Stories'!A:L,12,FALSE)</f>
        <v/>
      </c>
      <c r="F40" s="12">
        <f>COUNTIFS('Acceptance Criteria'!B:B,B40,'Acceptance Criteria'!F:F,"&lt;&gt;Not Tested")</f>
        <v/>
      </c>
      <c r="G40" s="12">
        <f>COUNTIFS('Acceptance Criteria'!B:B,B40,'Acceptance Criteria'!F:F,"Pass")</f>
        <v/>
      </c>
      <c r="H40" s="12">
        <f>COUNTIFS('Acceptance Criteria'!B:B,B40,'Acceptance Criteria'!F:F,"Fail")</f>
        <v/>
      </c>
      <c r="I40" s="12">
        <f>IF(C40=D40,"Linked","Mismatch")</f>
        <v/>
      </c>
      <c r="J40" s="24">
        <f>IF(C40=0,0,G40/C40)</f>
        <v/>
      </c>
    </row>
    <row r="41">
      <c r="A41" s="12" t="inlineStr">
        <is>
          <t>EP-006</t>
        </is>
      </c>
      <c r="B41" s="12" t="inlineStr">
        <is>
          <t>US-006-005</t>
        </is>
      </c>
      <c r="C41" s="12" t="n">
        <v>4</v>
      </c>
      <c r="D41" s="12">
        <f>COUNTIF('Acceptance Criteria'!B:B,B41)</f>
        <v/>
      </c>
      <c r="E41" s="12">
        <f>VLOOKUP(B41,'User Stories'!A:L,12,FALSE)</f>
        <v/>
      </c>
      <c r="F41" s="12">
        <f>COUNTIFS('Acceptance Criteria'!B:B,B41,'Acceptance Criteria'!F:F,"&lt;&gt;Not Tested")</f>
        <v/>
      </c>
      <c r="G41" s="12">
        <f>COUNTIFS('Acceptance Criteria'!B:B,B41,'Acceptance Criteria'!F:F,"Pass")</f>
        <v/>
      </c>
      <c r="H41" s="12">
        <f>COUNTIFS('Acceptance Criteria'!B:B,B41,'Acceptance Criteria'!F:F,"Fail")</f>
        <v/>
      </c>
      <c r="I41" s="12">
        <f>IF(C41=D41,"Linked","Mismatch")</f>
        <v/>
      </c>
      <c r="J41" s="24">
        <f>IF(C41=0,0,G41/C41)</f>
        <v/>
      </c>
    </row>
    <row r="42">
      <c r="A42" s="12" t="inlineStr">
        <is>
          <t>EP-006</t>
        </is>
      </c>
      <c r="B42" s="12" t="inlineStr">
        <is>
          <t>US-006-006</t>
        </is>
      </c>
      <c r="C42" s="12" t="n">
        <v>4</v>
      </c>
      <c r="D42" s="12">
        <f>COUNTIF('Acceptance Criteria'!B:B,B42)</f>
        <v/>
      </c>
      <c r="E42" s="12">
        <f>VLOOKUP(B42,'User Stories'!A:L,12,FALSE)</f>
        <v/>
      </c>
      <c r="F42" s="12">
        <f>COUNTIFS('Acceptance Criteria'!B:B,B42,'Acceptance Criteria'!F:F,"&lt;&gt;Not Tested")</f>
        <v/>
      </c>
      <c r="G42" s="12">
        <f>COUNTIFS('Acceptance Criteria'!B:B,B42,'Acceptance Criteria'!F:F,"Pass")</f>
        <v/>
      </c>
      <c r="H42" s="12">
        <f>COUNTIFS('Acceptance Criteria'!B:B,B42,'Acceptance Criteria'!F:F,"Fail")</f>
        <v/>
      </c>
      <c r="I42" s="12">
        <f>IF(C42=D42,"Linked","Mismatch")</f>
        <v/>
      </c>
      <c r="J42" s="24">
        <f>IF(C42=0,0,G42/C42)</f>
        <v/>
      </c>
    </row>
    <row r="43">
      <c r="A43" s="12" t="inlineStr">
        <is>
          <t>EP-006</t>
        </is>
      </c>
      <c r="B43" s="12" t="inlineStr">
        <is>
          <t>US-006-007</t>
        </is>
      </c>
      <c r="C43" s="12" t="n">
        <v>4</v>
      </c>
      <c r="D43" s="12">
        <f>COUNTIF('Acceptance Criteria'!B:B,B43)</f>
        <v/>
      </c>
      <c r="E43" s="12">
        <f>VLOOKUP(B43,'User Stories'!A:L,12,FALSE)</f>
        <v/>
      </c>
      <c r="F43" s="12">
        <f>COUNTIFS('Acceptance Criteria'!B:B,B43,'Acceptance Criteria'!F:F,"&lt;&gt;Not Tested")</f>
        <v/>
      </c>
      <c r="G43" s="12">
        <f>COUNTIFS('Acceptance Criteria'!B:B,B43,'Acceptance Criteria'!F:F,"Pass")</f>
        <v/>
      </c>
      <c r="H43" s="12">
        <f>COUNTIFS('Acceptance Criteria'!B:B,B43,'Acceptance Criteria'!F:F,"Fail")</f>
        <v/>
      </c>
      <c r="I43" s="12">
        <f>IF(C43=D43,"Linked","Mismatch")</f>
        <v/>
      </c>
      <c r="J43" s="24">
        <f>IF(C43=0,0,G43/C43)</f>
        <v/>
      </c>
    </row>
    <row r="44">
      <c r="A44" s="12" t="inlineStr">
        <is>
          <t>EP-006</t>
        </is>
      </c>
      <c r="B44" s="12" t="inlineStr">
        <is>
          <t>US-006-008</t>
        </is>
      </c>
      <c r="C44" s="12" t="n">
        <v>4</v>
      </c>
      <c r="D44" s="12">
        <f>COUNTIF('Acceptance Criteria'!B:B,B44)</f>
        <v/>
      </c>
      <c r="E44" s="12">
        <f>VLOOKUP(B44,'User Stories'!A:L,12,FALSE)</f>
        <v/>
      </c>
      <c r="F44" s="12">
        <f>COUNTIFS('Acceptance Criteria'!B:B,B44,'Acceptance Criteria'!F:F,"&lt;&gt;Not Tested")</f>
        <v/>
      </c>
      <c r="G44" s="12">
        <f>COUNTIFS('Acceptance Criteria'!B:B,B44,'Acceptance Criteria'!F:F,"Pass")</f>
        <v/>
      </c>
      <c r="H44" s="12">
        <f>COUNTIFS('Acceptance Criteria'!B:B,B44,'Acceptance Criteria'!F:F,"Fail")</f>
        <v/>
      </c>
      <c r="I44" s="12">
        <f>IF(C44=D44,"Linked","Mismatch")</f>
        <v/>
      </c>
      <c r="J44" s="24">
        <f>IF(C44=0,0,G44/C44)</f>
        <v/>
      </c>
    </row>
    <row r="45">
      <c r="A45" s="12" t="inlineStr">
        <is>
          <t>EP-006</t>
        </is>
      </c>
      <c r="B45" s="12" t="inlineStr">
        <is>
          <t>US-006-009</t>
        </is>
      </c>
      <c r="C45" s="12" t="n">
        <v>4</v>
      </c>
      <c r="D45" s="12">
        <f>COUNTIF('Acceptance Criteria'!B:B,B45)</f>
        <v/>
      </c>
      <c r="E45" s="12">
        <f>VLOOKUP(B45,'User Stories'!A:L,12,FALSE)</f>
        <v/>
      </c>
      <c r="F45" s="12">
        <f>COUNTIFS('Acceptance Criteria'!B:B,B45,'Acceptance Criteria'!F:F,"&lt;&gt;Not Tested")</f>
        <v/>
      </c>
      <c r="G45" s="12">
        <f>COUNTIFS('Acceptance Criteria'!B:B,B45,'Acceptance Criteria'!F:F,"Pass")</f>
        <v/>
      </c>
      <c r="H45" s="12">
        <f>COUNTIFS('Acceptance Criteria'!B:B,B45,'Acceptance Criteria'!F:F,"Fail")</f>
        <v/>
      </c>
      <c r="I45" s="12">
        <f>IF(C45=D45,"Linked","Mismatch")</f>
        <v/>
      </c>
      <c r="J45" s="24">
        <f>IF(C45=0,0,G45/C45)</f>
        <v/>
      </c>
    </row>
    <row r="46">
      <c r="A46" s="12" t="inlineStr">
        <is>
          <t>EP-006</t>
        </is>
      </c>
      <c r="B46" s="12" t="inlineStr">
        <is>
          <t>US-006-010</t>
        </is>
      </c>
      <c r="C46" s="12" t="n">
        <v>4</v>
      </c>
      <c r="D46" s="12">
        <f>COUNTIF('Acceptance Criteria'!B:B,B46)</f>
        <v/>
      </c>
      <c r="E46" s="12">
        <f>VLOOKUP(B46,'User Stories'!A:L,12,FALSE)</f>
        <v/>
      </c>
      <c r="F46" s="12">
        <f>COUNTIFS('Acceptance Criteria'!B:B,B46,'Acceptance Criteria'!F:F,"&lt;&gt;Not Tested")</f>
        <v/>
      </c>
      <c r="G46" s="12">
        <f>COUNTIFS('Acceptance Criteria'!B:B,B46,'Acceptance Criteria'!F:F,"Pass")</f>
        <v/>
      </c>
      <c r="H46" s="12">
        <f>COUNTIFS('Acceptance Criteria'!B:B,B46,'Acceptance Criteria'!F:F,"Fail")</f>
        <v/>
      </c>
      <c r="I46" s="12">
        <f>IF(C46=D46,"Linked","Mismatch")</f>
        <v/>
      </c>
      <c r="J46" s="24">
        <f>IF(C46=0,0,G46/C46)</f>
        <v/>
      </c>
    </row>
    <row r="47">
      <c r="A47" s="12" t="inlineStr">
        <is>
          <t>EP-007</t>
        </is>
      </c>
      <c r="B47" s="12" t="inlineStr">
        <is>
          <t>US-007-001</t>
        </is>
      </c>
      <c r="C47" s="12" t="n">
        <v>4</v>
      </c>
      <c r="D47" s="12">
        <f>COUNTIF('Acceptance Criteria'!B:B,B47)</f>
        <v/>
      </c>
      <c r="E47" s="12">
        <f>VLOOKUP(B47,'User Stories'!A:L,12,FALSE)</f>
        <v/>
      </c>
      <c r="F47" s="12">
        <f>COUNTIFS('Acceptance Criteria'!B:B,B47,'Acceptance Criteria'!F:F,"&lt;&gt;Not Tested")</f>
        <v/>
      </c>
      <c r="G47" s="12">
        <f>COUNTIFS('Acceptance Criteria'!B:B,B47,'Acceptance Criteria'!F:F,"Pass")</f>
        <v/>
      </c>
      <c r="H47" s="12">
        <f>COUNTIFS('Acceptance Criteria'!B:B,B47,'Acceptance Criteria'!F:F,"Fail")</f>
        <v/>
      </c>
      <c r="I47" s="12">
        <f>IF(C47=D47,"Linked","Mismatch")</f>
        <v/>
      </c>
      <c r="J47" s="24">
        <f>IF(C47=0,0,G47/C47)</f>
        <v/>
      </c>
    </row>
    <row r="48">
      <c r="A48" s="12" t="inlineStr">
        <is>
          <t>EP-007</t>
        </is>
      </c>
      <c r="B48" s="12" t="inlineStr">
        <is>
          <t>US-007-002</t>
        </is>
      </c>
      <c r="C48" s="12" t="n">
        <v>4</v>
      </c>
      <c r="D48" s="12">
        <f>COUNTIF('Acceptance Criteria'!B:B,B48)</f>
        <v/>
      </c>
      <c r="E48" s="12">
        <f>VLOOKUP(B48,'User Stories'!A:L,12,FALSE)</f>
        <v/>
      </c>
      <c r="F48" s="12">
        <f>COUNTIFS('Acceptance Criteria'!B:B,B48,'Acceptance Criteria'!F:F,"&lt;&gt;Not Tested")</f>
        <v/>
      </c>
      <c r="G48" s="12">
        <f>COUNTIFS('Acceptance Criteria'!B:B,B48,'Acceptance Criteria'!F:F,"Pass")</f>
        <v/>
      </c>
      <c r="H48" s="12">
        <f>COUNTIFS('Acceptance Criteria'!B:B,B48,'Acceptance Criteria'!F:F,"Fail")</f>
        <v/>
      </c>
      <c r="I48" s="12">
        <f>IF(C48=D48,"Linked","Mismatch")</f>
        <v/>
      </c>
      <c r="J48" s="24">
        <f>IF(C48=0,0,G48/C48)</f>
        <v/>
      </c>
    </row>
    <row r="49">
      <c r="A49" s="12" t="inlineStr">
        <is>
          <t>EP-007</t>
        </is>
      </c>
      <c r="B49" s="12" t="inlineStr">
        <is>
          <t>US-007-003</t>
        </is>
      </c>
      <c r="C49" s="12" t="n">
        <v>4</v>
      </c>
      <c r="D49" s="12">
        <f>COUNTIF('Acceptance Criteria'!B:B,B49)</f>
        <v/>
      </c>
      <c r="E49" s="12">
        <f>VLOOKUP(B49,'User Stories'!A:L,12,FALSE)</f>
        <v/>
      </c>
      <c r="F49" s="12">
        <f>COUNTIFS('Acceptance Criteria'!B:B,B49,'Acceptance Criteria'!F:F,"&lt;&gt;Not Tested")</f>
        <v/>
      </c>
      <c r="G49" s="12">
        <f>COUNTIFS('Acceptance Criteria'!B:B,B49,'Acceptance Criteria'!F:F,"Pass")</f>
        <v/>
      </c>
      <c r="H49" s="12">
        <f>COUNTIFS('Acceptance Criteria'!B:B,B49,'Acceptance Criteria'!F:F,"Fail")</f>
        <v/>
      </c>
      <c r="I49" s="12">
        <f>IF(C49=D49,"Linked","Mismatch")</f>
        <v/>
      </c>
      <c r="J49" s="24">
        <f>IF(C49=0,0,G49/C49)</f>
        <v/>
      </c>
    </row>
    <row r="50">
      <c r="A50" s="12" t="inlineStr">
        <is>
          <t>EP-007</t>
        </is>
      </c>
      <c r="B50" s="12" t="inlineStr">
        <is>
          <t>US-007-004</t>
        </is>
      </c>
      <c r="C50" s="12" t="n">
        <v>4</v>
      </c>
      <c r="D50" s="12">
        <f>COUNTIF('Acceptance Criteria'!B:B,B50)</f>
        <v/>
      </c>
      <c r="E50" s="12">
        <f>VLOOKUP(B50,'User Stories'!A:L,12,FALSE)</f>
        <v/>
      </c>
      <c r="F50" s="12">
        <f>COUNTIFS('Acceptance Criteria'!B:B,B50,'Acceptance Criteria'!F:F,"&lt;&gt;Not Tested")</f>
        <v/>
      </c>
      <c r="G50" s="12">
        <f>COUNTIFS('Acceptance Criteria'!B:B,B50,'Acceptance Criteria'!F:F,"Pass")</f>
        <v/>
      </c>
      <c r="H50" s="12">
        <f>COUNTIFS('Acceptance Criteria'!B:B,B50,'Acceptance Criteria'!F:F,"Fail")</f>
        <v/>
      </c>
      <c r="I50" s="12">
        <f>IF(C50=D50,"Linked","Mismatch")</f>
        <v/>
      </c>
      <c r="J50" s="24">
        <f>IF(C50=0,0,G50/C50)</f>
        <v/>
      </c>
    </row>
    <row r="51">
      <c r="A51" s="12" t="inlineStr">
        <is>
          <t>EP-007</t>
        </is>
      </c>
      <c r="B51" s="12" t="inlineStr">
        <is>
          <t>US-007-005</t>
        </is>
      </c>
      <c r="C51" s="12" t="n">
        <v>4</v>
      </c>
      <c r="D51" s="12">
        <f>COUNTIF('Acceptance Criteria'!B:B,B51)</f>
        <v/>
      </c>
      <c r="E51" s="12">
        <f>VLOOKUP(B51,'User Stories'!A:L,12,FALSE)</f>
        <v/>
      </c>
      <c r="F51" s="12">
        <f>COUNTIFS('Acceptance Criteria'!B:B,B51,'Acceptance Criteria'!F:F,"&lt;&gt;Not Tested")</f>
        <v/>
      </c>
      <c r="G51" s="12">
        <f>COUNTIFS('Acceptance Criteria'!B:B,B51,'Acceptance Criteria'!F:F,"Pass")</f>
        <v/>
      </c>
      <c r="H51" s="12">
        <f>COUNTIFS('Acceptance Criteria'!B:B,B51,'Acceptance Criteria'!F:F,"Fail")</f>
        <v/>
      </c>
      <c r="I51" s="12">
        <f>IF(C51=D51,"Linked","Mismatch")</f>
        <v/>
      </c>
      <c r="J51" s="24">
        <f>IF(C51=0,0,G51/C51)</f>
        <v/>
      </c>
    </row>
    <row r="52">
      <c r="A52" s="12" t="inlineStr">
        <is>
          <t>EP-008</t>
        </is>
      </c>
      <c r="B52" s="12" t="inlineStr">
        <is>
          <t>US-008-001</t>
        </is>
      </c>
      <c r="C52" s="12" t="n">
        <v>4</v>
      </c>
      <c r="D52" s="12">
        <f>COUNTIF('Acceptance Criteria'!B:B,B52)</f>
        <v/>
      </c>
      <c r="E52" s="12">
        <f>VLOOKUP(B52,'User Stories'!A:L,12,FALSE)</f>
        <v/>
      </c>
      <c r="F52" s="12">
        <f>COUNTIFS('Acceptance Criteria'!B:B,B52,'Acceptance Criteria'!F:F,"&lt;&gt;Not Tested")</f>
        <v/>
      </c>
      <c r="G52" s="12">
        <f>COUNTIFS('Acceptance Criteria'!B:B,B52,'Acceptance Criteria'!F:F,"Pass")</f>
        <v/>
      </c>
      <c r="H52" s="12">
        <f>COUNTIFS('Acceptance Criteria'!B:B,B52,'Acceptance Criteria'!F:F,"Fail")</f>
        <v/>
      </c>
      <c r="I52" s="12">
        <f>IF(C52=D52,"Linked","Mismatch")</f>
        <v/>
      </c>
      <c r="J52" s="24">
        <f>IF(C52=0,0,G52/C52)</f>
        <v/>
      </c>
    </row>
    <row r="53">
      <c r="A53" s="12" t="inlineStr">
        <is>
          <t>EP-008</t>
        </is>
      </c>
      <c r="B53" s="12" t="inlineStr">
        <is>
          <t>US-008-002</t>
        </is>
      </c>
      <c r="C53" s="12" t="n">
        <v>4</v>
      </c>
      <c r="D53" s="12">
        <f>COUNTIF('Acceptance Criteria'!B:B,B53)</f>
        <v/>
      </c>
      <c r="E53" s="12">
        <f>VLOOKUP(B53,'User Stories'!A:L,12,FALSE)</f>
        <v/>
      </c>
      <c r="F53" s="12">
        <f>COUNTIFS('Acceptance Criteria'!B:B,B53,'Acceptance Criteria'!F:F,"&lt;&gt;Not Tested")</f>
        <v/>
      </c>
      <c r="G53" s="12">
        <f>COUNTIFS('Acceptance Criteria'!B:B,B53,'Acceptance Criteria'!F:F,"Pass")</f>
        <v/>
      </c>
      <c r="H53" s="12">
        <f>COUNTIFS('Acceptance Criteria'!B:B,B53,'Acceptance Criteria'!F:F,"Fail")</f>
        <v/>
      </c>
      <c r="I53" s="12">
        <f>IF(C53=D53,"Linked","Mismatch")</f>
        <v/>
      </c>
      <c r="J53" s="24">
        <f>IF(C53=0,0,G53/C53)</f>
        <v/>
      </c>
    </row>
    <row r="54">
      <c r="A54" s="12" t="inlineStr">
        <is>
          <t>EP-008</t>
        </is>
      </c>
      <c r="B54" s="12" t="inlineStr">
        <is>
          <t>US-008-003</t>
        </is>
      </c>
      <c r="C54" s="12" t="n">
        <v>4</v>
      </c>
      <c r="D54" s="12">
        <f>COUNTIF('Acceptance Criteria'!B:B,B54)</f>
        <v/>
      </c>
      <c r="E54" s="12">
        <f>VLOOKUP(B54,'User Stories'!A:L,12,FALSE)</f>
        <v/>
      </c>
      <c r="F54" s="12">
        <f>COUNTIFS('Acceptance Criteria'!B:B,B54,'Acceptance Criteria'!F:F,"&lt;&gt;Not Tested")</f>
        <v/>
      </c>
      <c r="G54" s="12">
        <f>COUNTIFS('Acceptance Criteria'!B:B,B54,'Acceptance Criteria'!F:F,"Pass")</f>
        <v/>
      </c>
      <c r="H54" s="12">
        <f>COUNTIFS('Acceptance Criteria'!B:B,B54,'Acceptance Criteria'!F:F,"Fail")</f>
        <v/>
      </c>
      <c r="I54" s="12">
        <f>IF(C54=D54,"Linked","Mismatch")</f>
        <v/>
      </c>
      <c r="J54" s="24">
        <f>IF(C54=0,0,G54/C54)</f>
        <v/>
      </c>
    </row>
    <row r="55">
      <c r="A55" s="12" t="inlineStr">
        <is>
          <t>EP-008</t>
        </is>
      </c>
      <c r="B55" s="12" t="inlineStr">
        <is>
          <t>US-008-004</t>
        </is>
      </c>
      <c r="C55" s="12" t="n">
        <v>4</v>
      </c>
      <c r="D55" s="12">
        <f>COUNTIF('Acceptance Criteria'!B:B,B55)</f>
        <v/>
      </c>
      <c r="E55" s="12">
        <f>VLOOKUP(B55,'User Stories'!A:L,12,FALSE)</f>
        <v/>
      </c>
      <c r="F55" s="12">
        <f>COUNTIFS('Acceptance Criteria'!B:B,B55,'Acceptance Criteria'!F:F,"&lt;&gt;Not Tested")</f>
        <v/>
      </c>
      <c r="G55" s="12">
        <f>COUNTIFS('Acceptance Criteria'!B:B,B55,'Acceptance Criteria'!F:F,"Pass")</f>
        <v/>
      </c>
      <c r="H55" s="12">
        <f>COUNTIFS('Acceptance Criteria'!B:B,B55,'Acceptance Criteria'!F:F,"Fail")</f>
        <v/>
      </c>
      <c r="I55" s="12">
        <f>IF(C55=D55,"Linked","Mismatch")</f>
        <v/>
      </c>
      <c r="J55" s="24">
        <f>IF(C55=0,0,G55/C55)</f>
        <v/>
      </c>
    </row>
    <row r="56">
      <c r="A56" s="12" t="inlineStr">
        <is>
          <t>EP-008</t>
        </is>
      </c>
      <c r="B56" s="12" t="inlineStr">
        <is>
          <t>US-008-005</t>
        </is>
      </c>
      <c r="C56" s="12" t="n">
        <v>4</v>
      </c>
      <c r="D56" s="12">
        <f>COUNTIF('Acceptance Criteria'!B:B,B56)</f>
        <v/>
      </c>
      <c r="E56" s="12">
        <f>VLOOKUP(B56,'User Stories'!A:L,12,FALSE)</f>
        <v/>
      </c>
      <c r="F56" s="12">
        <f>COUNTIFS('Acceptance Criteria'!B:B,B56,'Acceptance Criteria'!F:F,"&lt;&gt;Not Tested")</f>
        <v/>
      </c>
      <c r="G56" s="12">
        <f>COUNTIFS('Acceptance Criteria'!B:B,B56,'Acceptance Criteria'!F:F,"Pass")</f>
        <v/>
      </c>
      <c r="H56" s="12">
        <f>COUNTIFS('Acceptance Criteria'!B:B,B56,'Acceptance Criteria'!F:F,"Fail")</f>
        <v/>
      </c>
      <c r="I56" s="12">
        <f>IF(C56=D56,"Linked","Mismatch")</f>
        <v/>
      </c>
      <c r="J56" s="24">
        <f>IF(C56=0,0,G56/C56)</f>
        <v/>
      </c>
    </row>
    <row r="57">
      <c r="A57" s="12" t="inlineStr">
        <is>
          <t>EP-009</t>
        </is>
      </c>
      <c r="B57" s="12" t="inlineStr">
        <is>
          <t>US-009-001</t>
        </is>
      </c>
      <c r="C57" s="12" t="n">
        <v>4</v>
      </c>
      <c r="D57" s="12">
        <f>COUNTIF('Acceptance Criteria'!B:B,B57)</f>
        <v/>
      </c>
      <c r="E57" s="12">
        <f>VLOOKUP(B57,'User Stories'!A:L,12,FALSE)</f>
        <v/>
      </c>
      <c r="F57" s="12">
        <f>COUNTIFS('Acceptance Criteria'!B:B,B57,'Acceptance Criteria'!F:F,"&lt;&gt;Not Tested")</f>
        <v/>
      </c>
      <c r="G57" s="12">
        <f>COUNTIFS('Acceptance Criteria'!B:B,B57,'Acceptance Criteria'!F:F,"Pass")</f>
        <v/>
      </c>
      <c r="H57" s="12">
        <f>COUNTIFS('Acceptance Criteria'!B:B,B57,'Acceptance Criteria'!F:F,"Fail")</f>
        <v/>
      </c>
      <c r="I57" s="12">
        <f>IF(C57=D57,"Linked","Mismatch")</f>
        <v/>
      </c>
      <c r="J57" s="24">
        <f>IF(C57=0,0,G57/C57)</f>
        <v/>
      </c>
    </row>
    <row r="58">
      <c r="A58" s="12" t="inlineStr">
        <is>
          <t>EP-009</t>
        </is>
      </c>
      <c r="B58" s="12" t="inlineStr">
        <is>
          <t>US-009-002</t>
        </is>
      </c>
      <c r="C58" s="12" t="n">
        <v>4</v>
      </c>
      <c r="D58" s="12">
        <f>COUNTIF('Acceptance Criteria'!B:B,B58)</f>
        <v/>
      </c>
      <c r="E58" s="12">
        <f>VLOOKUP(B58,'User Stories'!A:L,12,FALSE)</f>
        <v/>
      </c>
      <c r="F58" s="12">
        <f>COUNTIFS('Acceptance Criteria'!B:B,B58,'Acceptance Criteria'!F:F,"&lt;&gt;Not Tested")</f>
        <v/>
      </c>
      <c r="G58" s="12">
        <f>COUNTIFS('Acceptance Criteria'!B:B,B58,'Acceptance Criteria'!F:F,"Pass")</f>
        <v/>
      </c>
      <c r="H58" s="12">
        <f>COUNTIFS('Acceptance Criteria'!B:B,B58,'Acceptance Criteria'!F:F,"Fail")</f>
        <v/>
      </c>
      <c r="I58" s="12">
        <f>IF(C58=D58,"Linked","Mismatch")</f>
        <v/>
      </c>
      <c r="J58" s="24">
        <f>IF(C58=0,0,G58/C58)</f>
        <v/>
      </c>
    </row>
    <row r="59">
      <c r="A59" s="12" t="inlineStr">
        <is>
          <t>EP-009</t>
        </is>
      </c>
      <c r="B59" s="12" t="inlineStr">
        <is>
          <t>US-009-003</t>
        </is>
      </c>
      <c r="C59" s="12" t="n">
        <v>4</v>
      </c>
      <c r="D59" s="12">
        <f>COUNTIF('Acceptance Criteria'!B:B,B59)</f>
        <v/>
      </c>
      <c r="E59" s="12">
        <f>VLOOKUP(B59,'User Stories'!A:L,12,FALSE)</f>
        <v/>
      </c>
      <c r="F59" s="12">
        <f>COUNTIFS('Acceptance Criteria'!B:B,B59,'Acceptance Criteria'!F:F,"&lt;&gt;Not Tested")</f>
        <v/>
      </c>
      <c r="G59" s="12">
        <f>COUNTIFS('Acceptance Criteria'!B:B,B59,'Acceptance Criteria'!F:F,"Pass")</f>
        <v/>
      </c>
      <c r="H59" s="12">
        <f>COUNTIFS('Acceptance Criteria'!B:B,B59,'Acceptance Criteria'!F:F,"Fail")</f>
        <v/>
      </c>
      <c r="I59" s="12">
        <f>IF(C59=D59,"Linked","Mismatch")</f>
        <v/>
      </c>
      <c r="J59" s="24">
        <f>IF(C59=0,0,G59/C59)</f>
        <v/>
      </c>
    </row>
    <row r="60">
      <c r="A60" s="12" t="inlineStr">
        <is>
          <t>EP-009</t>
        </is>
      </c>
      <c r="B60" s="12" t="inlineStr">
        <is>
          <t>US-009-004</t>
        </is>
      </c>
      <c r="C60" s="12" t="n">
        <v>4</v>
      </c>
      <c r="D60" s="12">
        <f>COUNTIF('Acceptance Criteria'!B:B,B60)</f>
        <v/>
      </c>
      <c r="E60" s="12">
        <f>VLOOKUP(B60,'User Stories'!A:L,12,FALSE)</f>
        <v/>
      </c>
      <c r="F60" s="12">
        <f>COUNTIFS('Acceptance Criteria'!B:B,B60,'Acceptance Criteria'!F:F,"&lt;&gt;Not Tested")</f>
        <v/>
      </c>
      <c r="G60" s="12">
        <f>COUNTIFS('Acceptance Criteria'!B:B,B60,'Acceptance Criteria'!F:F,"Pass")</f>
        <v/>
      </c>
      <c r="H60" s="12">
        <f>COUNTIFS('Acceptance Criteria'!B:B,B60,'Acceptance Criteria'!F:F,"Fail")</f>
        <v/>
      </c>
      <c r="I60" s="12">
        <f>IF(C60=D60,"Linked","Mismatch")</f>
        <v/>
      </c>
      <c r="J60" s="24">
        <f>IF(C60=0,0,G60/C60)</f>
        <v/>
      </c>
    </row>
    <row r="61">
      <c r="A61" s="12" t="inlineStr">
        <is>
          <t>EP-009</t>
        </is>
      </c>
      <c r="B61" s="12" t="inlineStr">
        <is>
          <t>US-009-005</t>
        </is>
      </c>
      <c r="C61" s="12" t="n">
        <v>4</v>
      </c>
      <c r="D61" s="12">
        <f>COUNTIF('Acceptance Criteria'!B:B,B61)</f>
        <v/>
      </c>
      <c r="E61" s="12">
        <f>VLOOKUP(B61,'User Stories'!A:L,12,FALSE)</f>
        <v/>
      </c>
      <c r="F61" s="12">
        <f>COUNTIFS('Acceptance Criteria'!B:B,B61,'Acceptance Criteria'!F:F,"&lt;&gt;Not Tested")</f>
        <v/>
      </c>
      <c r="G61" s="12">
        <f>COUNTIFS('Acceptance Criteria'!B:B,B61,'Acceptance Criteria'!F:F,"Pass")</f>
        <v/>
      </c>
      <c r="H61" s="12">
        <f>COUNTIFS('Acceptance Criteria'!B:B,B61,'Acceptance Criteria'!F:F,"Fail")</f>
        <v/>
      </c>
      <c r="I61" s="12">
        <f>IF(C61=D61,"Linked","Mismatch")</f>
        <v/>
      </c>
      <c r="J61" s="24">
        <f>IF(C61=0,0,G61/C61)</f>
        <v/>
      </c>
    </row>
    <row r="62">
      <c r="A62" s="12" t="inlineStr">
        <is>
          <t>EP-010</t>
        </is>
      </c>
      <c r="B62" s="12" t="inlineStr">
        <is>
          <t>US-010-001</t>
        </is>
      </c>
      <c r="C62" s="12" t="n">
        <v>4</v>
      </c>
      <c r="D62" s="12">
        <f>COUNTIF('Acceptance Criteria'!B:B,B62)</f>
        <v/>
      </c>
      <c r="E62" s="12">
        <f>VLOOKUP(B62,'User Stories'!A:L,12,FALSE)</f>
        <v/>
      </c>
      <c r="F62" s="12">
        <f>COUNTIFS('Acceptance Criteria'!B:B,B62,'Acceptance Criteria'!F:F,"&lt;&gt;Not Tested")</f>
        <v/>
      </c>
      <c r="G62" s="12">
        <f>COUNTIFS('Acceptance Criteria'!B:B,B62,'Acceptance Criteria'!F:F,"Pass")</f>
        <v/>
      </c>
      <c r="H62" s="12">
        <f>COUNTIFS('Acceptance Criteria'!B:B,B62,'Acceptance Criteria'!F:F,"Fail")</f>
        <v/>
      </c>
      <c r="I62" s="12">
        <f>IF(C62=D62,"Linked","Mismatch")</f>
        <v/>
      </c>
      <c r="J62" s="24">
        <f>IF(C62=0,0,G62/C62)</f>
        <v/>
      </c>
    </row>
    <row r="63">
      <c r="A63" s="12" t="inlineStr">
        <is>
          <t>EP-010</t>
        </is>
      </c>
      <c r="B63" s="12" t="inlineStr">
        <is>
          <t>US-010-002</t>
        </is>
      </c>
      <c r="C63" s="12" t="n">
        <v>4</v>
      </c>
      <c r="D63" s="12">
        <f>COUNTIF('Acceptance Criteria'!B:B,B63)</f>
        <v/>
      </c>
      <c r="E63" s="12">
        <f>VLOOKUP(B63,'User Stories'!A:L,12,FALSE)</f>
        <v/>
      </c>
      <c r="F63" s="12">
        <f>COUNTIFS('Acceptance Criteria'!B:B,B63,'Acceptance Criteria'!F:F,"&lt;&gt;Not Tested")</f>
        <v/>
      </c>
      <c r="G63" s="12">
        <f>COUNTIFS('Acceptance Criteria'!B:B,B63,'Acceptance Criteria'!F:F,"Pass")</f>
        <v/>
      </c>
      <c r="H63" s="12">
        <f>COUNTIFS('Acceptance Criteria'!B:B,B63,'Acceptance Criteria'!F:F,"Fail")</f>
        <v/>
      </c>
      <c r="I63" s="12">
        <f>IF(C63=D63,"Linked","Mismatch")</f>
        <v/>
      </c>
      <c r="J63" s="24">
        <f>IF(C63=0,0,G63/C63)</f>
        <v/>
      </c>
    </row>
    <row r="64">
      <c r="A64" s="12" t="inlineStr">
        <is>
          <t>EP-010</t>
        </is>
      </c>
      <c r="B64" s="12" t="inlineStr">
        <is>
          <t>US-010-003</t>
        </is>
      </c>
      <c r="C64" s="12" t="n">
        <v>4</v>
      </c>
      <c r="D64" s="12">
        <f>COUNTIF('Acceptance Criteria'!B:B,B64)</f>
        <v/>
      </c>
      <c r="E64" s="12">
        <f>VLOOKUP(B64,'User Stories'!A:L,12,FALSE)</f>
        <v/>
      </c>
      <c r="F64" s="12">
        <f>COUNTIFS('Acceptance Criteria'!B:B,B64,'Acceptance Criteria'!F:F,"&lt;&gt;Not Tested")</f>
        <v/>
      </c>
      <c r="G64" s="12">
        <f>COUNTIFS('Acceptance Criteria'!B:B,B64,'Acceptance Criteria'!F:F,"Pass")</f>
        <v/>
      </c>
      <c r="H64" s="12">
        <f>COUNTIFS('Acceptance Criteria'!B:B,B64,'Acceptance Criteria'!F:F,"Fail")</f>
        <v/>
      </c>
      <c r="I64" s="12">
        <f>IF(C64=D64,"Linked","Mismatch")</f>
        <v/>
      </c>
      <c r="J64" s="24">
        <f>IF(C64=0,0,G64/C64)</f>
        <v/>
      </c>
    </row>
    <row r="65">
      <c r="A65" s="12" t="inlineStr">
        <is>
          <t>EP-010</t>
        </is>
      </c>
      <c r="B65" s="12" t="inlineStr">
        <is>
          <t>US-010-004</t>
        </is>
      </c>
      <c r="C65" s="12" t="n">
        <v>4</v>
      </c>
      <c r="D65" s="12">
        <f>COUNTIF('Acceptance Criteria'!B:B,B65)</f>
        <v/>
      </c>
      <c r="E65" s="12">
        <f>VLOOKUP(B65,'User Stories'!A:L,12,FALSE)</f>
        <v/>
      </c>
      <c r="F65" s="12">
        <f>COUNTIFS('Acceptance Criteria'!B:B,B65,'Acceptance Criteria'!F:F,"&lt;&gt;Not Tested")</f>
        <v/>
      </c>
      <c r="G65" s="12">
        <f>COUNTIFS('Acceptance Criteria'!B:B,B65,'Acceptance Criteria'!F:F,"Pass")</f>
        <v/>
      </c>
      <c r="H65" s="12">
        <f>COUNTIFS('Acceptance Criteria'!B:B,B65,'Acceptance Criteria'!F:F,"Fail")</f>
        <v/>
      </c>
      <c r="I65" s="12">
        <f>IF(C65=D65,"Linked","Mismatch")</f>
        <v/>
      </c>
      <c r="J65" s="24">
        <f>IF(C65=0,0,G65/C65)</f>
        <v/>
      </c>
    </row>
    <row r="66">
      <c r="A66" s="12" t="inlineStr">
        <is>
          <t>EP-010</t>
        </is>
      </c>
      <c r="B66" s="12" t="inlineStr">
        <is>
          <t>US-010-005</t>
        </is>
      </c>
      <c r="C66" s="12" t="n">
        <v>4</v>
      </c>
      <c r="D66" s="12">
        <f>COUNTIF('Acceptance Criteria'!B:B,B66)</f>
        <v/>
      </c>
      <c r="E66" s="12">
        <f>VLOOKUP(B66,'User Stories'!A:L,12,FALSE)</f>
        <v/>
      </c>
      <c r="F66" s="12">
        <f>COUNTIFS('Acceptance Criteria'!B:B,B66,'Acceptance Criteria'!F:F,"&lt;&gt;Not Tested")</f>
        <v/>
      </c>
      <c r="G66" s="12">
        <f>COUNTIFS('Acceptance Criteria'!B:B,B66,'Acceptance Criteria'!F:F,"Pass")</f>
        <v/>
      </c>
      <c r="H66" s="12">
        <f>COUNTIFS('Acceptance Criteria'!B:B,B66,'Acceptance Criteria'!F:F,"Fail")</f>
        <v/>
      </c>
      <c r="I66" s="12">
        <f>IF(C66=D66,"Linked","Mismatch")</f>
        <v/>
      </c>
      <c r="J66" s="24">
        <f>IF(C66=0,0,G66/C66)</f>
        <v/>
      </c>
    </row>
    <row r="67">
      <c r="A67" s="12" t="inlineStr">
        <is>
          <t>EP-011</t>
        </is>
      </c>
      <c r="B67" s="12" t="inlineStr">
        <is>
          <t>US-011-001</t>
        </is>
      </c>
      <c r="C67" s="12" t="n">
        <v>4</v>
      </c>
      <c r="D67" s="12">
        <f>COUNTIF('Acceptance Criteria'!B:B,B67)</f>
        <v/>
      </c>
      <c r="E67" s="12">
        <f>VLOOKUP(B67,'User Stories'!A:L,12,FALSE)</f>
        <v/>
      </c>
      <c r="F67" s="12">
        <f>COUNTIFS('Acceptance Criteria'!B:B,B67,'Acceptance Criteria'!F:F,"&lt;&gt;Not Tested")</f>
        <v/>
      </c>
      <c r="G67" s="12">
        <f>COUNTIFS('Acceptance Criteria'!B:B,B67,'Acceptance Criteria'!F:F,"Pass")</f>
        <v/>
      </c>
      <c r="H67" s="12">
        <f>COUNTIFS('Acceptance Criteria'!B:B,B67,'Acceptance Criteria'!F:F,"Fail")</f>
        <v/>
      </c>
      <c r="I67" s="12">
        <f>IF(C67=D67,"Linked","Mismatch")</f>
        <v/>
      </c>
      <c r="J67" s="24">
        <f>IF(C67=0,0,G67/C67)</f>
        <v/>
      </c>
    </row>
    <row r="68">
      <c r="A68" s="12" t="inlineStr">
        <is>
          <t>EP-011</t>
        </is>
      </c>
      <c r="B68" s="12" t="inlineStr">
        <is>
          <t>US-011-002</t>
        </is>
      </c>
      <c r="C68" s="12" t="n">
        <v>4</v>
      </c>
      <c r="D68" s="12">
        <f>COUNTIF('Acceptance Criteria'!B:B,B68)</f>
        <v/>
      </c>
      <c r="E68" s="12">
        <f>VLOOKUP(B68,'User Stories'!A:L,12,FALSE)</f>
        <v/>
      </c>
      <c r="F68" s="12">
        <f>COUNTIFS('Acceptance Criteria'!B:B,B68,'Acceptance Criteria'!F:F,"&lt;&gt;Not Tested")</f>
        <v/>
      </c>
      <c r="G68" s="12">
        <f>COUNTIFS('Acceptance Criteria'!B:B,B68,'Acceptance Criteria'!F:F,"Pass")</f>
        <v/>
      </c>
      <c r="H68" s="12">
        <f>COUNTIFS('Acceptance Criteria'!B:B,B68,'Acceptance Criteria'!F:F,"Fail")</f>
        <v/>
      </c>
      <c r="I68" s="12">
        <f>IF(C68=D68,"Linked","Mismatch")</f>
        <v/>
      </c>
      <c r="J68" s="24">
        <f>IF(C68=0,0,G68/C68)</f>
        <v/>
      </c>
    </row>
    <row r="69">
      <c r="A69" s="12" t="inlineStr">
        <is>
          <t>EP-011</t>
        </is>
      </c>
      <c r="B69" s="12" t="inlineStr">
        <is>
          <t>US-011-003</t>
        </is>
      </c>
      <c r="C69" s="12" t="n">
        <v>4</v>
      </c>
      <c r="D69" s="12">
        <f>COUNTIF('Acceptance Criteria'!B:B,B69)</f>
        <v/>
      </c>
      <c r="E69" s="12">
        <f>VLOOKUP(B69,'User Stories'!A:L,12,FALSE)</f>
        <v/>
      </c>
      <c r="F69" s="12">
        <f>COUNTIFS('Acceptance Criteria'!B:B,B69,'Acceptance Criteria'!F:F,"&lt;&gt;Not Tested")</f>
        <v/>
      </c>
      <c r="G69" s="12">
        <f>COUNTIFS('Acceptance Criteria'!B:B,B69,'Acceptance Criteria'!F:F,"Pass")</f>
        <v/>
      </c>
      <c r="H69" s="12">
        <f>COUNTIFS('Acceptance Criteria'!B:B,B69,'Acceptance Criteria'!F:F,"Fail")</f>
        <v/>
      </c>
      <c r="I69" s="12">
        <f>IF(C69=D69,"Linked","Mismatch")</f>
        <v/>
      </c>
      <c r="J69" s="24">
        <f>IF(C69=0,0,G69/C69)</f>
        <v/>
      </c>
    </row>
    <row r="70">
      <c r="A70" s="12" t="inlineStr">
        <is>
          <t>EP-011</t>
        </is>
      </c>
      <c r="B70" s="12" t="inlineStr">
        <is>
          <t>US-011-004</t>
        </is>
      </c>
      <c r="C70" s="12" t="n">
        <v>4</v>
      </c>
      <c r="D70" s="12">
        <f>COUNTIF('Acceptance Criteria'!B:B,B70)</f>
        <v/>
      </c>
      <c r="E70" s="12">
        <f>VLOOKUP(B70,'User Stories'!A:L,12,FALSE)</f>
        <v/>
      </c>
      <c r="F70" s="12">
        <f>COUNTIFS('Acceptance Criteria'!B:B,B70,'Acceptance Criteria'!F:F,"&lt;&gt;Not Tested")</f>
        <v/>
      </c>
      <c r="G70" s="12">
        <f>COUNTIFS('Acceptance Criteria'!B:B,B70,'Acceptance Criteria'!F:F,"Pass")</f>
        <v/>
      </c>
      <c r="H70" s="12">
        <f>COUNTIFS('Acceptance Criteria'!B:B,B70,'Acceptance Criteria'!F:F,"Fail")</f>
        <v/>
      </c>
      <c r="I70" s="12">
        <f>IF(C70=D70,"Linked","Mismatch")</f>
        <v/>
      </c>
      <c r="J70" s="24">
        <f>IF(C70=0,0,G70/C70)</f>
        <v/>
      </c>
    </row>
    <row r="71">
      <c r="A71" s="12" t="inlineStr">
        <is>
          <t>EP-012</t>
        </is>
      </c>
      <c r="B71" s="12" t="inlineStr">
        <is>
          <t>US-012-001</t>
        </is>
      </c>
      <c r="C71" s="12" t="n">
        <v>4</v>
      </c>
      <c r="D71" s="12">
        <f>COUNTIF('Acceptance Criteria'!B:B,B71)</f>
        <v/>
      </c>
      <c r="E71" s="12">
        <f>VLOOKUP(B71,'User Stories'!A:L,12,FALSE)</f>
        <v/>
      </c>
      <c r="F71" s="12">
        <f>COUNTIFS('Acceptance Criteria'!B:B,B71,'Acceptance Criteria'!F:F,"&lt;&gt;Not Tested")</f>
        <v/>
      </c>
      <c r="G71" s="12">
        <f>COUNTIFS('Acceptance Criteria'!B:B,B71,'Acceptance Criteria'!F:F,"Pass")</f>
        <v/>
      </c>
      <c r="H71" s="12">
        <f>COUNTIFS('Acceptance Criteria'!B:B,B71,'Acceptance Criteria'!F:F,"Fail")</f>
        <v/>
      </c>
      <c r="I71" s="12">
        <f>IF(C71=D71,"Linked","Mismatch")</f>
        <v/>
      </c>
      <c r="J71" s="24">
        <f>IF(C71=0,0,G71/C71)</f>
        <v/>
      </c>
    </row>
    <row r="72">
      <c r="A72" s="12" t="inlineStr">
        <is>
          <t>EP-012</t>
        </is>
      </c>
      <c r="B72" s="12" t="inlineStr">
        <is>
          <t>US-012-002</t>
        </is>
      </c>
      <c r="C72" s="12" t="n">
        <v>4</v>
      </c>
      <c r="D72" s="12">
        <f>COUNTIF('Acceptance Criteria'!B:B,B72)</f>
        <v/>
      </c>
      <c r="E72" s="12">
        <f>VLOOKUP(B72,'User Stories'!A:L,12,FALSE)</f>
        <v/>
      </c>
      <c r="F72" s="12">
        <f>COUNTIFS('Acceptance Criteria'!B:B,B72,'Acceptance Criteria'!F:F,"&lt;&gt;Not Tested")</f>
        <v/>
      </c>
      <c r="G72" s="12">
        <f>COUNTIFS('Acceptance Criteria'!B:B,B72,'Acceptance Criteria'!F:F,"Pass")</f>
        <v/>
      </c>
      <c r="H72" s="12">
        <f>COUNTIFS('Acceptance Criteria'!B:B,B72,'Acceptance Criteria'!F:F,"Fail")</f>
        <v/>
      </c>
      <c r="I72" s="12">
        <f>IF(C72=D72,"Linked","Mismatch")</f>
        <v/>
      </c>
      <c r="J72" s="24">
        <f>IF(C72=0,0,G72/C72)</f>
        <v/>
      </c>
    </row>
    <row r="73">
      <c r="A73" s="12" t="inlineStr">
        <is>
          <t>EP-012</t>
        </is>
      </c>
      <c r="B73" s="12" t="inlineStr">
        <is>
          <t>US-012-003</t>
        </is>
      </c>
      <c r="C73" s="12" t="n">
        <v>4</v>
      </c>
      <c r="D73" s="12">
        <f>COUNTIF('Acceptance Criteria'!B:B,B73)</f>
        <v/>
      </c>
      <c r="E73" s="12">
        <f>VLOOKUP(B73,'User Stories'!A:L,12,FALSE)</f>
        <v/>
      </c>
      <c r="F73" s="12">
        <f>COUNTIFS('Acceptance Criteria'!B:B,B73,'Acceptance Criteria'!F:F,"&lt;&gt;Not Tested")</f>
        <v/>
      </c>
      <c r="G73" s="12">
        <f>COUNTIFS('Acceptance Criteria'!B:B,B73,'Acceptance Criteria'!F:F,"Pass")</f>
        <v/>
      </c>
      <c r="H73" s="12">
        <f>COUNTIFS('Acceptance Criteria'!B:B,B73,'Acceptance Criteria'!F:F,"Fail")</f>
        <v/>
      </c>
      <c r="I73" s="12">
        <f>IF(C73=D73,"Linked","Mismatch")</f>
        <v/>
      </c>
      <c r="J73" s="24">
        <f>IF(C73=0,0,G73/C73)</f>
        <v/>
      </c>
    </row>
    <row r="74">
      <c r="A74" s="12" t="inlineStr">
        <is>
          <t>EP-012</t>
        </is>
      </c>
      <c r="B74" s="12" t="inlineStr">
        <is>
          <t>US-012-004</t>
        </is>
      </c>
      <c r="C74" s="12" t="n">
        <v>4</v>
      </c>
      <c r="D74" s="12">
        <f>COUNTIF('Acceptance Criteria'!B:B,B74)</f>
        <v/>
      </c>
      <c r="E74" s="12">
        <f>VLOOKUP(B74,'User Stories'!A:L,12,FALSE)</f>
        <v/>
      </c>
      <c r="F74" s="12">
        <f>COUNTIFS('Acceptance Criteria'!B:B,B74,'Acceptance Criteria'!F:F,"&lt;&gt;Not Tested")</f>
        <v/>
      </c>
      <c r="G74" s="12">
        <f>COUNTIFS('Acceptance Criteria'!B:B,B74,'Acceptance Criteria'!F:F,"Pass")</f>
        <v/>
      </c>
      <c r="H74" s="12">
        <f>COUNTIFS('Acceptance Criteria'!B:B,B74,'Acceptance Criteria'!F:F,"Fail")</f>
        <v/>
      </c>
      <c r="I74" s="12">
        <f>IF(C74=D74,"Linked","Mismatch")</f>
        <v/>
      </c>
      <c r="J74" s="24">
        <f>IF(C74=0,0,G74/C74)</f>
        <v/>
      </c>
    </row>
    <row r="75">
      <c r="A75" s="12" t="inlineStr">
        <is>
          <t>EP-012</t>
        </is>
      </c>
      <c r="B75" s="12" t="inlineStr">
        <is>
          <t>US-012-005</t>
        </is>
      </c>
      <c r="C75" s="12" t="n">
        <v>4</v>
      </c>
      <c r="D75" s="12">
        <f>COUNTIF('Acceptance Criteria'!B:B,B75)</f>
        <v/>
      </c>
      <c r="E75" s="12">
        <f>VLOOKUP(B75,'User Stories'!A:L,12,FALSE)</f>
        <v/>
      </c>
      <c r="F75" s="12">
        <f>COUNTIFS('Acceptance Criteria'!B:B,B75,'Acceptance Criteria'!F:F,"&lt;&gt;Not Tested")</f>
        <v/>
      </c>
      <c r="G75" s="12">
        <f>COUNTIFS('Acceptance Criteria'!B:B,B75,'Acceptance Criteria'!F:F,"Pass")</f>
        <v/>
      </c>
      <c r="H75" s="12">
        <f>COUNTIFS('Acceptance Criteria'!B:B,B75,'Acceptance Criteria'!F:F,"Fail")</f>
        <v/>
      </c>
      <c r="I75" s="12">
        <f>IF(C75=D75,"Linked","Mismatch")</f>
        <v/>
      </c>
      <c r="J75" s="24">
        <f>IF(C75=0,0,G75/C75)</f>
        <v/>
      </c>
    </row>
    <row r="76">
      <c r="A76" s="12" t="inlineStr">
        <is>
          <t>EP-012</t>
        </is>
      </c>
      <c r="B76" s="12" t="inlineStr">
        <is>
          <t>US-012-006</t>
        </is>
      </c>
      <c r="C76" s="12" t="n">
        <v>4</v>
      </c>
      <c r="D76" s="12">
        <f>COUNTIF('Acceptance Criteria'!B:B,B76)</f>
        <v/>
      </c>
      <c r="E76" s="12">
        <f>VLOOKUP(B76,'User Stories'!A:L,12,FALSE)</f>
        <v/>
      </c>
      <c r="F76" s="12">
        <f>COUNTIFS('Acceptance Criteria'!B:B,B76,'Acceptance Criteria'!F:F,"&lt;&gt;Not Tested")</f>
        <v/>
      </c>
      <c r="G76" s="12">
        <f>COUNTIFS('Acceptance Criteria'!B:B,B76,'Acceptance Criteria'!F:F,"Pass")</f>
        <v/>
      </c>
      <c r="H76" s="12">
        <f>COUNTIFS('Acceptance Criteria'!B:B,B76,'Acceptance Criteria'!F:F,"Fail")</f>
        <v/>
      </c>
      <c r="I76" s="12">
        <f>IF(C76=D76,"Linked","Mismatch")</f>
        <v/>
      </c>
      <c r="J76" s="24">
        <f>IF(C76=0,0,G76/C76)</f>
        <v/>
      </c>
    </row>
  </sheetData>
  <conditionalFormatting sqref="I2:I76">
    <cfRule type="expression" priority="1" dxfId="0">
      <formula>I2="Linked"</formula>
    </cfRule>
    <cfRule type="expression" priority="2" dxfId="1">
      <formula>I2="Mismatch"</formula>
    </cfRule>
  </conditionalFormatting>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4" customWidth="1" min="1" max="1"/>
    <col width="34" customWidth="1" min="2" max="2"/>
    <col width="14" customWidth="1" min="3" max="3"/>
    <col width="14" customWidth="1" min="4" max="4"/>
    <col width="62" customWidth="1" min="5" max="5"/>
    <col width="16" customWidth="1" min="6" max="6"/>
    <col width="16" customWidth="1" min="7" max="7"/>
    <col width="32" customWidth="1" min="8" max="8"/>
    <col width="28" customWidth="1" min="9" max="9"/>
  </cols>
  <sheetData>
    <row r="1" ht="24" customHeight="1">
      <c r="A1" s="5" t="inlineStr">
        <is>
          <t>Risk ID</t>
        </is>
      </c>
      <c r="B1" s="5" t="inlineStr">
        <is>
          <t>Risk</t>
        </is>
      </c>
      <c r="C1" s="5" t="inlineStr">
        <is>
          <t>Impact</t>
        </is>
      </c>
      <c r="D1" s="5" t="inlineStr">
        <is>
          <t>Likelihood</t>
        </is>
      </c>
      <c r="E1" s="5" t="inlineStr">
        <is>
          <t>Mitigation</t>
        </is>
      </c>
      <c r="F1" s="5" t="inlineStr">
        <is>
          <t>Owner</t>
        </is>
      </c>
      <c r="G1" s="5" t="inlineStr">
        <is>
          <t>Status</t>
        </is>
      </c>
      <c r="H1" s="5" t="inlineStr">
        <is>
          <t>Decision / Dependency</t>
        </is>
      </c>
      <c r="I1" s="5" t="inlineStr">
        <is>
          <t>Notes</t>
        </is>
      </c>
    </row>
    <row r="2">
      <c r="A2" s="12" t="inlineStr">
        <is>
          <t>RISK-001</t>
        </is>
      </c>
      <c r="B2" s="12" t="inlineStr">
        <is>
          <t>Timer/attendance race conditions</t>
        </is>
      </c>
      <c r="C2" s="12" t="inlineStr">
        <is>
          <t>High</t>
        </is>
      </c>
      <c r="D2" s="12" t="inlineStr">
        <is>
          <t>Medium</t>
        </is>
      </c>
      <c r="E2" s="12" t="inlineStr">
        <is>
          <t>Use database constraints, transactions and idempotent endpoints for active clock/timer operations.</t>
        </is>
      </c>
      <c r="F2" s="12" t="inlineStr">
        <is>
          <t>Claude (AI Engineer)</t>
        </is>
      </c>
      <c r="G2" s="12" t="inlineStr">
        <is>
          <t>Mitigating</t>
        </is>
      </c>
      <c r="H2" s="12" t="str"/>
      <c r="I2" s="12" t="inlineStr">
        <is>
          <t>Postgres partial unique indexes enforce one active attendance session and one active task timer per user at the DB level, not just in application code; verified by e2e tests.</t>
        </is>
      </c>
    </row>
    <row r="3">
      <c r="A3" s="12" t="inlineStr">
        <is>
          <t>RISK-002</t>
        </is>
      </c>
      <c r="B3" s="12" t="inlineStr">
        <is>
          <t>Users forget to stop timers</t>
        </is>
      </c>
      <c r="C3" s="12" t="inlineStr">
        <is>
          <t>Medium</t>
        </is>
      </c>
      <c r="D3" s="12" t="inlineStr">
        <is>
          <t>High</t>
        </is>
      </c>
      <c r="E3" s="12" t="inlineStr">
        <is>
          <t>Long-running timer reminders, daily reconciliation and correction workflow.</t>
        </is>
      </c>
      <c r="F3" s="12" t="inlineStr">
        <is>
          <t>Claude (AI Engineer)</t>
        </is>
      </c>
      <c r="G3" s="12" t="inlineStr">
        <is>
          <t>Open</t>
        </is>
      </c>
      <c r="H3" s="12" t="str"/>
      <c r="I3" s="12" t="str"/>
    </row>
    <row r="4">
      <c r="A4" s="12" t="inlineStr">
        <is>
          <t>RISK-003</t>
        </is>
      </c>
      <c r="B4" s="12" t="inlineStr">
        <is>
          <t>Browser/client clock manipulation</t>
        </is>
      </c>
      <c r="C4" s="12" t="inlineStr">
        <is>
          <t>High</t>
        </is>
      </c>
      <c r="D4" s="12" t="inlineStr">
        <is>
          <t>Medium</t>
        </is>
      </c>
      <c r="E4" s="12" t="inlineStr">
        <is>
          <t>Use server timestamps for official records; browser only displays derived elapsed time.</t>
        </is>
      </c>
      <c r="F4" s="12" t="inlineStr">
        <is>
          <t>Claude (AI Engineer)</t>
        </is>
      </c>
      <c r="G4" s="12" t="inlineStr">
        <is>
          <t>Mitigating</t>
        </is>
      </c>
      <c r="H4" s="12" t="str"/>
      <c r="I4" s="12" t="inlineStr">
        <is>
          <t>All official clock/timer timestamps are generated server-side; the browser only ever displays a derived elapsed time.</t>
        </is>
      </c>
    </row>
    <row r="5">
      <c r="A5" s="12" t="inlineStr">
        <is>
          <t>RISK-004</t>
        </is>
      </c>
      <c r="B5" s="12" t="inlineStr">
        <is>
          <t>Over-scoping into HR/project management</t>
        </is>
      </c>
      <c r="C5" s="12" t="inlineStr">
        <is>
          <t>High</t>
        </is>
      </c>
      <c r="D5" s="12" t="inlineStr">
        <is>
          <t>Medium</t>
        </is>
      </c>
      <c r="E5" s="12" t="inlineStr">
        <is>
          <t>Keep MVP limited to registration, attendance, breaks, task list, task timer, admin and reporting.</t>
        </is>
      </c>
      <c r="F5" s="12" t="inlineStr">
        <is>
          <t>Claude (AI Engineer)</t>
        </is>
      </c>
      <c r="G5" s="12" t="inlineStr">
        <is>
          <t>Open</t>
        </is>
      </c>
      <c r="H5" s="12" t="str"/>
      <c r="I5" s="12" t="str"/>
    </row>
    <row r="6">
      <c r="A6" s="12" t="inlineStr">
        <is>
          <t>RISK-005</t>
        </is>
      </c>
      <c r="B6" s="12" t="inlineStr">
        <is>
          <t>Audit trail weakened by direct edits</t>
        </is>
      </c>
      <c r="C6" s="12" t="inlineStr">
        <is>
          <t>High</t>
        </is>
      </c>
      <c r="D6" s="12" t="inlineStr">
        <is>
          <t>Low</t>
        </is>
      </c>
      <c r="E6" s="12" t="inlineStr">
        <is>
          <t>Corrections preserve originals and require reason/actor/time.</t>
        </is>
      </c>
      <c r="F6" s="12" t="inlineStr">
        <is>
          <t>Claude (AI Engineer)</t>
        </is>
      </c>
      <c r="G6" s="12" t="inlineStr">
        <is>
          <t>Mitigating</t>
        </is>
      </c>
      <c r="H6" s="12" t="str"/>
      <c r="I6" s="12" t="inlineStr">
        <is>
          <t>Corrections never overwrite the live record until approved, and every correction/direct-edit is captured in the audit log with before/after values.</t>
        </is>
      </c>
    </row>
    <row r="7">
      <c r="A7" s="12" t="inlineStr">
        <is>
          <t>RISK-006</t>
        </is>
      </c>
      <c r="B7" s="12" t="inlineStr">
        <is>
          <t>Sensitive workforce data exposure</t>
        </is>
      </c>
      <c r="C7" s="12" t="inlineStr">
        <is>
          <t>High</t>
        </is>
      </c>
      <c r="D7" s="12" t="inlineStr">
        <is>
          <t>Low</t>
        </is>
      </c>
      <c r="E7" s="12" t="inlineStr">
        <is>
          <t>RBAC, HTTPS, secure sessions, least privilege and privacy-conscious logging.</t>
        </is>
      </c>
      <c r="F7" s="12" t="inlineStr">
        <is>
          <t>Claude (AI Engineer)</t>
        </is>
      </c>
      <c r="G7" s="12" t="inlineStr">
        <is>
          <t>Open</t>
        </is>
      </c>
      <c r="H7" s="12" t="str"/>
      <c r="I7" s="12" t="str"/>
    </row>
    <row r="8">
      <c r="A8" t="inlineStr">
        <is>
          <t>RISK-007</t>
        </is>
      </c>
      <c r="B8" t="inlineStr">
        <is>
          <t>Write-path API latency under a synchronized concurrent burst (e.g. real shift-start rush)</t>
        </is>
      </c>
      <c r="C8" t="inlineStr">
        <is>
          <t>Low</t>
        </is>
      </c>
      <c r="D8" t="inlineStr">
        <is>
          <t>Medium</t>
        </is>
      </c>
      <c r="E8" t="inlineStr">
        <is>
          <t>Increase Container App CPU/memory allocation; move Postgres off Burstable (Standard_B1ms) to a General Purpose tier before onboarding a real multi-employee organisation.</t>
        </is>
      </c>
      <c r="F8" t="inlineStr">
        <is>
          <t>Claude (AI Engineer)</t>
        </is>
      </c>
      <c r="G8" t="inlineStr">
        <is>
          <t>Mitigating</t>
        </is>
      </c>
      <c r="I8" t="inlineStr">
        <is>
          <t>Initial test (2026-09-08) found clock-in and task-creation exceeding p95&lt;500ms under a 12-concurrent lockstep write test; infra bumped (API 1.0 vCPU, Postgres B2s) which helped substantially but did not fully close the gap. A follow-up isolated-endpoint test the same day found all 4 write endpoints actually pass p95&lt;500ms once measured without the lockstep test-harness artifact (all 12 workers hitting clock-in/task-create as their synchronized first two steps). Corrected conclusion: current infra is sufficient for the defined reference load. Kept open at Low/Mitigating rather than closed, since a genuine synchronized shift-start rush is a real scenario worth re-testing once a real organisation is onboarded. Full detail in docs/PERFORMANCE.md.</t>
        </is>
      </c>
    </row>
  </sheetData>
  <dataValidations count="1">
    <dataValidation sqref="G2:G7" showDropDown="0" showInputMessage="0" showErrorMessage="0" allowBlank="0" type="list">
      <formula1>Lists!$E$2:$E$5</formula1>
    </dataValidation>
  </dataValidation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F4"/>
  <sheetViews>
    <sheetView workbookViewId="0">
      <selection activeCell="A1" sqref="A1"/>
    </sheetView>
  </sheetViews>
  <sheetFormatPr baseColWidth="8" defaultRowHeight="15"/>
  <cols>
    <col width="12" customWidth="1" min="1" max="1"/>
    <col width="38" customWidth="1" min="2" max="2"/>
    <col width="52" customWidth="1" min="3" max="3"/>
    <col width="46" customWidth="1" min="4" max="4"/>
    <col width="52" customWidth="1" min="5" max="5"/>
    <col width="16" customWidth="1" min="6" max="6"/>
  </cols>
  <sheetData>
    <row r="1" ht="24" customHeight="1">
      <c r="A1" s="5" t="inlineStr">
        <is>
          <t>Release</t>
        </is>
      </c>
      <c r="B1" s="5" t="inlineStr">
        <is>
          <t>Goal</t>
        </is>
      </c>
      <c r="C1" s="5" t="inlineStr">
        <is>
          <t>Epic Scope</t>
        </is>
      </c>
      <c r="D1" s="5" t="inlineStr">
        <is>
          <t>Entry Gate</t>
        </is>
      </c>
      <c r="E1" s="5" t="inlineStr">
        <is>
          <t>Exit Gate</t>
        </is>
      </c>
      <c r="F1" s="5" t="inlineStr">
        <is>
          <t>Status</t>
        </is>
      </c>
    </row>
    <row r="2">
      <c r="A2" s="12" t="inlineStr">
        <is>
          <t>MVP</t>
        </is>
      </c>
      <c r="B2" s="12" t="inlineStr">
        <is>
          <t>Deliver usable production baseline</t>
        </is>
      </c>
      <c r="C2" s="12" t="inlineStr">
        <is>
          <t>EP-001 to EP-010 and EP-012</t>
        </is>
      </c>
      <c r="D2" s="12" t="inlineStr">
        <is>
          <t>SRS approved; schema/UX/security baseline ready</t>
        </is>
      </c>
      <c r="E2" s="12" t="inlineStr">
        <is>
          <t>MVP stories accepted; security, concurrency, backup and deployment gates passed</t>
        </is>
      </c>
      <c r="F2" s="12" t="inlineStr">
        <is>
          <t>In Progress</t>
        </is>
      </c>
    </row>
    <row r="3">
      <c r="A3" s="12" t="inlineStr">
        <is>
          <t>R1</t>
        </is>
      </c>
      <c r="B3" s="12" t="inlineStr">
        <is>
          <t>Add reminders and production-led refinements</t>
        </is>
      </c>
      <c r="C3" s="12" t="inlineStr">
        <is>
          <t>EP-011 + approved carry-over improvements</t>
        </is>
      </c>
      <c r="D3" s="12" t="inlineStr">
        <is>
          <t>MVP stable with production telemetry</t>
        </is>
      </c>
      <c r="E3" s="12" t="inlineStr">
        <is>
          <t>R1 AC passed and no blocking regression</t>
        </is>
      </c>
      <c r="F3" s="12" t="inlineStr">
        <is>
          <t>Not Started</t>
        </is>
      </c>
    </row>
    <row r="4">
      <c r="A4" s="12" t="inlineStr">
        <is>
          <t>Later</t>
        </is>
      </c>
      <c r="B4" s="12" t="inlineStr">
        <is>
          <t>Evidence-driven expansion only</t>
        </is>
      </c>
      <c r="C4" s="12" t="inlineStr">
        <is>
          <t>Native mobile / SSO / richer live updates / external integrations if justified</t>
        </is>
      </c>
      <c r="D4" s="12" t="inlineStr">
        <is>
          <t>Business case and production evidence</t>
        </is>
      </c>
      <c r="E4" s="12" t="inlineStr">
        <is>
          <t>Feature-specific readiness criteria</t>
        </is>
      </c>
      <c r="F4" s="12" t="inlineStr">
        <is>
          <t>Planned</t>
        </is>
      </c>
    </row>
  </sheetData>
  <dataValidations count="1">
    <dataValidation sqref="F2:F4" showDropDown="0" showInputMessage="0" showErrorMessage="0" allowBlank="0" type="list">
      <formula1>"Planned,In Progress,Ready,Released"</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26" customWidth="1" min="1" max="1"/>
    <col width="15" customWidth="1" min="2" max="2"/>
    <col width="20" customWidth="1" min="4" max="4"/>
    <col width="12" customWidth="1" min="5" max="5"/>
    <col width="14" customWidth="1" min="7" max="7"/>
    <col width="12" customWidth="1" min="8" max="8"/>
  </cols>
  <sheetData>
    <row r="1">
      <c r="A1" s="21" t="inlineStr">
        <is>
          <t>Attendance &amp; Task Management - Delivery Dashboard</t>
        </is>
      </c>
      <c r="B1" s="1" t="n"/>
      <c r="C1" s="1" t="n"/>
      <c r="D1" s="1" t="n"/>
      <c r="E1" s="1" t="n"/>
      <c r="F1" s="1" t="n"/>
      <c r="G1" s="1" t="n"/>
      <c r="H1" s="1" t="n"/>
    </row>
    <row r="3" ht="24" customHeight="1">
      <c r="A3" s="5" t="inlineStr">
        <is>
          <t>Baseline Metric</t>
        </is>
      </c>
      <c r="B3" s="5" t="inlineStr">
        <is>
          <t>Value</t>
        </is>
      </c>
      <c r="D3" s="5" t="inlineStr">
        <is>
          <t>Story Status</t>
        </is>
      </c>
      <c r="E3" s="5" t="inlineStr">
        <is>
          <t>Count</t>
        </is>
      </c>
      <c r="G3" s="5" t="inlineStr">
        <is>
          <t>Release</t>
        </is>
      </c>
      <c r="H3" s="5" t="inlineStr">
        <is>
          <t>Stories</t>
        </is>
      </c>
    </row>
    <row r="4">
      <c r="A4" s="12" t="inlineStr">
        <is>
          <t>Epics</t>
        </is>
      </c>
      <c r="B4" s="12" t="n">
        <v>12</v>
      </c>
      <c r="D4" s="12" t="inlineStr">
        <is>
          <t>Not Started</t>
        </is>
      </c>
      <c r="E4" s="12">
        <f>COUNTIF('User Stories'!L:L,"Not Started")</f>
        <v/>
      </c>
      <c r="G4" s="12" t="inlineStr">
        <is>
          <t>MVP</t>
        </is>
      </c>
      <c r="H4" s="12">
        <f>COUNTIF('User Stories'!J:J,"MVP")</f>
        <v/>
      </c>
    </row>
    <row r="5">
      <c r="A5" s="12" t="inlineStr">
        <is>
          <t>User Stories</t>
        </is>
      </c>
      <c r="B5" s="12" t="n">
        <v>75</v>
      </c>
      <c r="D5" s="12" t="inlineStr">
        <is>
          <t>In Progress</t>
        </is>
      </c>
      <c r="E5" s="12">
        <f>COUNTIF('User Stories'!L:L,"In Progress")</f>
        <v/>
      </c>
      <c r="G5" s="12" t="inlineStr">
        <is>
          <t>R1</t>
        </is>
      </c>
      <c r="H5" s="12">
        <f>COUNTIF('User Stories'!J:J,"R1")</f>
        <v/>
      </c>
    </row>
    <row r="6">
      <c r="A6" s="12" t="inlineStr">
        <is>
          <t>Acceptance Criteria</t>
        </is>
      </c>
      <c r="B6" s="12" t="n">
        <v>300</v>
      </c>
      <c r="D6" s="12" t="inlineStr">
        <is>
          <t>In Review</t>
        </is>
      </c>
      <c r="E6" s="12">
        <f>COUNTIF('User Stories'!L:L,"In Review")</f>
        <v/>
      </c>
      <c r="G6" s="12" t="inlineStr">
        <is>
          <t>Later</t>
        </is>
      </c>
      <c r="H6" s="12">
        <f>COUNTIF('User Stories'!J:J,"Later")</f>
        <v/>
      </c>
    </row>
    <row r="7">
      <c r="A7" s="12" t="inlineStr">
        <is>
          <t>NFRs</t>
        </is>
      </c>
      <c r="B7" s="12" t="n">
        <v>16</v>
      </c>
      <c r="D7" s="12" t="inlineStr">
        <is>
          <t>Blocked</t>
        </is>
      </c>
      <c r="E7" s="12">
        <f>COUNTIF('User Stories'!L:L,"Blocked")</f>
        <v/>
      </c>
    </row>
    <row r="8">
      <c r="A8" s="12" t="inlineStr">
        <is>
          <t>Business Rules</t>
        </is>
      </c>
      <c r="B8" s="12" t="n">
        <v>14</v>
      </c>
      <c r="D8" s="12" t="inlineStr">
        <is>
          <t>Done</t>
        </is>
      </c>
      <c r="E8" s="12">
        <f>COUNTIF('User Stories'!L:L,"Done")</f>
        <v/>
      </c>
    </row>
    <row r="9">
      <c r="A9" s="12" t="inlineStr">
        <is>
          <t>Screens</t>
        </is>
      </c>
      <c r="B9" s="12" t="n">
        <v>20</v>
      </c>
      <c r="D9" s="12" t="inlineStr">
        <is>
          <t>Deferred</t>
        </is>
      </c>
      <c r="E9" s="12">
        <f>COUNTIF('User Stories'!L:L,"Deferred")</f>
        <v/>
      </c>
    </row>
    <row r="12" ht="24" customHeight="1">
      <c r="A12" s="5" t="inlineStr">
        <is>
          <t>Quality / Delivery KPI</t>
        </is>
      </c>
      <c r="B12" s="5" t="inlineStr">
        <is>
          <t>Value</t>
        </is>
      </c>
    </row>
    <row r="13">
      <c r="A13" s="12" t="inlineStr">
        <is>
          <t>Stories Done %</t>
        </is>
      </c>
      <c r="B13" s="25">
        <f>IFERROR(COUNTIF('User Stories'!L:L,"Done")/(COUNTA('User Stories'!A:A)-1),0)</f>
        <v/>
      </c>
    </row>
    <row r="14">
      <c r="A14" s="12" t="inlineStr">
        <is>
          <t>AC Pass %</t>
        </is>
      </c>
      <c r="B14" s="25">
        <f>IFERROR(COUNTIF('Acceptance Criteria'!F:F,"Pass")/(COUNTA('Acceptance Criteria'!A:A)-1),0)</f>
        <v/>
      </c>
    </row>
    <row r="15">
      <c r="A15" s="12" t="inlineStr">
        <is>
          <t>AC Failed</t>
        </is>
      </c>
      <c r="B15" s="12">
        <f>COUNTIF('Acceptance Criteria'!F:F,"Fail")</f>
        <v/>
      </c>
    </row>
    <row r="16">
      <c r="A16" s="12" t="inlineStr">
        <is>
          <t>Blocked Stories</t>
        </is>
      </c>
      <c r="B16" s="12">
        <f>COUNTIF('User Stories'!L:L,"Blocked")</f>
        <v/>
      </c>
    </row>
    <row r="17">
      <c r="A17" s="12" t="inlineStr">
        <is>
          <t>Traceability Coverage</t>
        </is>
      </c>
      <c r="B17" s="25">
        <f>IFERROR(COUNTIF(Traceability!I:I,"Linked")/(COUNTA(Traceability!B:B)-1),0)</f>
        <v/>
      </c>
    </row>
    <row r="18">
      <c r="A18" s="12" t="inlineStr">
        <is>
          <t>Open Risks</t>
        </is>
      </c>
      <c r="B18" s="12">
        <f>COUNTIF('Risks &amp; Decisions'!G:G,"Open")</f>
        <v/>
      </c>
    </row>
  </sheetData>
  <mergeCells count="1">
    <mergeCell ref="A1:H1"/>
  </mergeCells>
  <pageMargins left="0.7" right="0.7" top="0.75" bottom="0.75" header="0.3" footer="0.3"/>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2026-09-07T16:47:18Z</dcterms:created>
  <dcterms:modified xmlns:dcterms="http://purl.org/dc/terms/" xmlns:xsi="http://www.w3.org/2001/XMLSchema-instance" xsi:type="dcterms:W3CDTF">2026-09-09T00:21:06Z</dcterms:modified>
</cp:coreProperties>
</file>