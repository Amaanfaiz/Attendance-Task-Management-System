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border/>
  </borders>
  <cellStyleXfs count="1">
    <xf numFmtId="0" fontId="0" fillId="0" borderId="1"/>
  </cellStyleXfs>
  <cellXfs count="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9" fontId="0" fillId="0" borderId="0" applyAlignment="1" pivotButton="0" quotePrefix="0" xfId="0">
      <alignment vertical="top" wrapText="1"/>
    </xf>
    <xf numFmtId="9" fontId="0" fillId="0" borderId="1"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164" fontId="0" fillId="0" borderId="0" applyAlignment="1" pivotButton="0" quotePrefix="0" xfId="0">
      <alignment vertical="top" wrapText="1"/>
    </xf>
    <xf numFmtId="164" fontId="0" fillId="0" borderId="1"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cellStyles>
  <dxfs count="9">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title>
    <plotArea>
      <barChart>
        <barDir val="col"/>
        <grouping val="clustered"/>
        <varyColors val="0"/>
        <ser>
          <idx val="0"/>
          <order val="0"/>
          <tx>
            <v>Count</v>
          </tx>
          <spPr>
            <a:ln xmlns:a="http://schemas.openxmlformats.org/drawingml/2006/main">
              <a:prstDash val="solid"/>
            </a:ln>
          </spPr>
          <cat>
            <strRef>
              <f>'Dashboard'!$D$4:$D$9</f>
              <strCache>
                <ptCount val="0"/>
              </strCache>
            </strRef>
          </cat>
          <val>
            <numRef>
              <f>'Dashboard'!$E$4:$E$9</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title>
    <plotArea>
      <barChart>
        <barDir val="col"/>
        <grouping val="clustered"/>
        <varyColors val="0"/>
        <ser>
          <idx val="0"/>
          <order val="0"/>
          <tx>
            <v>Stories</v>
          </tx>
          <spPr>
            <a:ln xmlns:a="http://schemas.openxmlformats.org/drawingml/2006/main">
              <a:prstDash val="solid"/>
            </a:ln>
          </spPr>
          <cat>
            <strRef>
              <f>'Dashboard'!$G$4:$G$6</f>
              <strCache>
                <ptCount val="0"/>
              </strCache>
            </strRef>
          </cat>
          <val>
            <numRef>
              <f>'Dashboard'!$H$4:$H$6</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Count="0"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Count="0"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Count="0" totalsRowShown="0">
  <tableColumns count="11">
    <tableColumn id="1" name="AC ID"/>
    <tableColumn id="2" name="Story ID"/>
    <tableColumn id="3" name="Epic ID"/>
    <tableColumn id="4" name="Acceptance Criterion"/>
    <tableColumn id="5" name="Test Case ID"/>
    <tableColumn id="6" name="Test Status"/>
    <tableColumn id="7" name="Evidence / Link"/>
    <tableColumn id="8" name="Defect ID"/>
    <tableColumn id="9" name="Tester"/>
    <tableColumn id="10" name="Test Cycle"/>
    <tableColumn id="11" name="Comments"/>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Count="0"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Count="0"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Count="0"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Count="0"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4" customHeight="1">
      <c r="A1" s="5" t="inlineStr">
        <is>
          <t>Story Status</t>
        </is>
      </c>
      <c r="B1" s="5" t="inlineStr">
        <is>
          <t>Priority</t>
        </is>
      </c>
      <c r="C1" s="5" t="inlineStr">
        <is>
          <t>Release</t>
        </is>
      </c>
      <c r="D1" s="5" t="inlineStr">
        <is>
          <t>AC Status</t>
        </is>
      </c>
      <c r="E1" s="5" t="inlineStr">
        <is>
          <t>Risk Status</t>
        </is>
      </c>
      <c r="F1" s="5" t="inlineStr">
        <is>
          <t>Test Cycle</t>
        </is>
      </c>
    </row>
    <row r="2">
      <c r="A2" s="12" t="inlineStr">
        <is>
          <t>Not Started</t>
        </is>
      </c>
      <c r="B2" s="12" t="inlineStr">
        <is>
          <t>Must Have</t>
        </is>
      </c>
      <c r="C2" s="12" t="inlineStr">
        <is>
          <t>MVP</t>
        </is>
      </c>
      <c r="D2" s="12" t="inlineStr">
        <is>
          <t>Not Tested</t>
        </is>
      </c>
      <c r="E2" s="12" t="inlineStr">
        <is>
          <t>Open</t>
        </is>
      </c>
      <c r="F2" s="12" t="inlineStr">
        <is>
          <t>SIT</t>
        </is>
      </c>
    </row>
    <row r="3">
      <c r="A3" s="12" t="inlineStr">
        <is>
          <t>In Progress</t>
        </is>
      </c>
      <c r="B3" s="12" t="inlineStr">
        <is>
          <t>Should Have</t>
        </is>
      </c>
      <c r="C3" s="12" t="inlineStr">
        <is>
          <t>R1</t>
        </is>
      </c>
      <c r="D3" s="12" t="inlineStr">
        <is>
          <t>Pass</t>
        </is>
      </c>
      <c r="E3" s="12" t="inlineStr">
        <is>
          <t>Mitigating</t>
        </is>
      </c>
      <c r="F3" s="12" t="inlineStr">
        <is>
          <t>UAT</t>
        </is>
      </c>
    </row>
    <row r="4">
      <c r="A4" s="12" t="inlineStr">
        <is>
          <t>Blocked</t>
        </is>
      </c>
      <c r="B4" s="12" t="inlineStr">
        <is>
          <t>Could Have</t>
        </is>
      </c>
      <c r="C4" s="12" t="inlineStr">
        <is>
          <t>Later</t>
        </is>
      </c>
      <c r="D4" s="12" t="inlineStr">
        <is>
          <t>Fail</t>
        </is>
      </c>
      <c r="E4" s="12" t="inlineStr">
        <is>
          <t>Accepted</t>
        </is>
      </c>
      <c r="F4" s="12" t="inlineStr">
        <is>
          <t>Regression</t>
        </is>
      </c>
    </row>
    <row r="5">
      <c r="A5" s="12" t="inlineStr">
        <is>
          <t>In Review</t>
        </is>
      </c>
      <c r="B5" s="12" t="str"/>
      <c r="C5" s="12" t="str"/>
      <c r="D5" s="12" t="inlineStr">
        <is>
          <t>Blocked</t>
        </is>
      </c>
      <c r="E5" s="12" t="inlineStr">
        <is>
          <t>Closed</t>
        </is>
      </c>
      <c r="F5" s="12" t="str"/>
    </row>
    <row r="6">
      <c r="A6" s="12" t="inlineStr">
        <is>
          <t>Done</t>
        </is>
      </c>
      <c r="B6" s="12" t="str"/>
      <c r="C6" s="12" t="str"/>
      <c r="D6" s="12" t="inlineStr">
        <is>
          <t>Not Applicable</t>
        </is>
      </c>
      <c r="E6" s="12" t="str"/>
      <c r="F6" s="12" t="str"/>
    </row>
    <row r="7">
      <c r="A7" s="12" t="inlineStr">
        <is>
          <t>Deferred</t>
        </is>
      </c>
      <c r="B7" s="12" t="str"/>
      <c r="C7" s="12" t="str"/>
      <c r="D7" s="12" t="str"/>
      <c r="E7" s="12" t="str"/>
      <c r="F7" s="12" t="str"/>
    </row>
    <row r="8">
      <c r="A8" s="12" t="inlineStr">
        <is>
          <t>Cancelled</t>
        </is>
      </c>
      <c r="B8" s="12" t="str"/>
      <c r="C8" s="12" t="str"/>
      <c r="D8" s="12" t="str"/>
      <c r="E8" s="12" t="str"/>
      <c r="F8" s="12" t="str"/>
    </row>
    <row r="9">
      <c r="A9" s="12" t="str"/>
      <c r="B9" s="12" t="str"/>
      <c r="C9" s="12" t="str"/>
      <c r="D9" s="12" t="str"/>
      <c r="E9" s="12" t="str"/>
      <c r="F9" s="12" t="str"/>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min="1" max="1"/>
    <col width="30" customWidth="1" min="2" max="2"/>
    <col width="50" customWidth="1" min="3" max="3"/>
    <col width="14" customWidth="1" min="4" max="4"/>
    <col width="12" customWidth="1" min="5" max="5"/>
    <col width="16" customWidth="1" min="6" max="6"/>
    <col width="16" customWidth="1" min="7" max="7"/>
    <col width="16" customWidth="1" min="8" max="8"/>
    <col width="12" customWidth="1" min="9" max="9"/>
    <col width="28" customWidth="1" min="10" max="10"/>
  </cols>
  <sheetData>
    <row r="1" ht="24" customHeight="1">
      <c r="A1" s="5" t="inlineStr">
        <is>
          <t>Epic ID</t>
        </is>
      </c>
      <c r="B1" s="5" t="inlineStr">
        <is>
          <t>Epic Name</t>
        </is>
      </c>
      <c r="C1" s="5" t="inlineStr">
        <is>
          <t>Description</t>
        </is>
      </c>
      <c r="D1" s="5" t="inlineStr">
        <is>
          <t>Priority</t>
        </is>
      </c>
      <c r="E1" s="5" t="inlineStr">
        <is>
          <t>Release</t>
        </is>
      </c>
      <c r="F1" s="5" t="inlineStr">
        <is>
          <t>Owner</t>
        </is>
      </c>
      <c r="G1" s="5" t="inlineStr">
        <is>
          <t>Status</t>
        </is>
      </c>
      <c r="H1" s="5" t="inlineStr">
        <is>
          <t>Target Sprint</t>
        </is>
      </c>
      <c r="I1" s="5" t="inlineStr">
        <is>
          <t>% Complete</t>
        </is>
      </c>
      <c r="J1" s="5" t="inlineStr">
        <is>
          <t>Notes</t>
        </is>
      </c>
    </row>
    <row r="2">
      <c r="A2" s="12" t="inlineStr">
        <is>
          <t>EP-001</t>
        </is>
      </c>
      <c r="B2" s="12" t="inlineStr">
        <is>
          <t>Registration &amp; Authentication</t>
        </is>
      </c>
      <c r="C2" s="12" t="inlineStr">
        <is>
          <t>Account registration, approval, login, logout and password recovery.</t>
        </is>
      </c>
      <c r="D2" s="12" t="inlineStr">
        <is>
          <t>Must Have</t>
        </is>
      </c>
      <c r="E2" s="12" t="inlineStr">
        <is>
          <t>MVP</t>
        </is>
      </c>
      <c r="F2" s="12" t="inlineStr">
        <is>
          <t>Claude (AI Engineer)</t>
        </is>
      </c>
      <c r="G2" s="12" t="inlineStr">
        <is>
          <t>Done</t>
        </is>
      </c>
      <c r="H2" s="12" t="inlineStr">
        <is>
          <t>Week 1</t>
        </is>
      </c>
      <c r="I2" s="24" t="n">
        <v>100</v>
      </c>
      <c r="J2" s="12" t="inlineStr">
        <is>
          <t>Register/approve/login/logout/forgot+reset password/session-inactivity all implemented. Core auth path covered by e2e tests.</t>
        </is>
      </c>
    </row>
    <row r="3">
      <c r="A3" s="12" t="inlineStr">
        <is>
          <t>EP-002</t>
        </is>
      </c>
      <c r="B3" s="12" t="inlineStr">
        <is>
          <t>User &amp; Role Administration</t>
        </is>
      </c>
      <c r="C3" s="12" t="inlineStr">
        <is>
          <t>User profiles, employee identifiers, roles, activation/suspension and department assignment.</t>
        </is>
      </c>
      <c r="D3" s="12" t="inlineStr">
        <is>
          <t>Must Have</t>
        </is>
      </c>
      <c r="E3" s="12" t="inlineStr">
        <is>
          <t>MVP</t>
        </is>
      </c>
      <c r="F3" s="12" t="inlineStr">
        <is>
          <t>Claude (AI Engineer)</t>
        </is>
      </c>
      <c r="G3" s="12" t="inlineStr">
        <is>
          <t>Done</t>
        </is>
      </c>
      <c r="H3" s="12" t="inlineStr">
        <is>
          <t>Week 1</t>
        </is>
      </c>
      <c r="I3" s="24" t="n">
        <v>100</v>
      </c>
      <c r="J3" s="12" t="inlineStr">
        <is>
          <t>Admin create/edit/approve/reject/role/status/department all implemented and browser-tested.</t>
        </is>
      </c>
    </row>
    <row r="4">
      <c r="A4" s="12" t="inlineStr">
        <is>
          <t>EP-003</t>
        </is>
      </c>
      <c r="B4" s="12" t="inlineStr">
        <is>
          <t>Attendance Clock-In / Clock-Out</t>
        </is>
      </c>
      <c r="C4" s="12" t="inlineStr">
        <is>
          <t>Record the employee workday using authoritative clock-in and clock-out events.</t>
        </is>
      </c>
      <c r="D4" s="12" t="inlineStr">
        <is>
          <t>Must Have</t>
        </is>
      </c>
      <c r="E4" s="12" t="inlineStr">
        <is>
          <t>MVP</t>
        </is>
      </c>
      <c r="F4" s="12" t="inlineStr">
        <is>
          <t>Claude (AI Engineer)</t>
        </is>
      </c>
      <c r="G4" s="12" t="inlineStr">
        <is>
          <t>Done</t>
        </is>
      </c>
      <c r="H4" s="12" t="inlineStr">
        <is>
          <t>Week 1</t>
        </is>
      </c>
      <c r="I4" s="24" t="n">
        <v>100</v>
      </c>
      <c r="J4" s="12" t="inlineStr">
        <is>
          <t>Clock in/out, duplicate-clock-in guard (DB partial unique index), clock-out confirmation for active break/timer, history and live list. e2e + browser tested.</t>
        </is>
      </c>
    </row>
    <row r="5">
      <c r="A5" s="12" t="inlineStr">
        <is>
          <t>EP-004</t>
        </is>
      </c>
      <c r="B5" s="12" t="inlineStr">
        <is>
          <t>Break Management</t>
        </is>
      </c>
      <c r="C5" s="12" t="inlineStr">
        <is>
          <t>Record start/end of breaks and exclude applicable break time from net working time.</t>
        </is>
      </c>
      <c r="D5" s="12" t="inlineStr">
        <is>
          <t>Must Have</t>
        </is>
      </c>
      <c r="E5" s="12" t="inlineStr">
        <is>
          <t>MVP</t>
        </is>
      </c>
      <c r="F5" s="12" t="inlineStr">
        <is>
          <t>Claude (AI Engineer)</t>
        </is>
      </c>
      <c r="G5" s="12" t="inlineStr">
        <is>
          <t>Done</t>
        </is>
      </c>
      <c r="H5" s="12" t="inlineStr">
        <is>
          <t>Week 1</t>
        </is>
      </c>
      <c r="I5" s="24" t="n">
        <v>100</v>
      </c>
      <c r="J5" s="12" t="inlineStr">
        <is>
          <t>Start/end break, auto-pause of active task timer on break start (BR-005), no auto-resume (BR-006), break report. e2e + browser tested.</t>
        </is>
      </c>
    </row>
    <row r="6">
      <c r="A6" s="12" t="inlineStr">
        <is>
          <t>EP-005</t>
        </is>
      </c>
      <c r="B6" s="12" t="inlineStr">
        <is>
          <t>Task Management</t>
        </is>
      </c>
      <c r="C6" s="12" t="inlineStr">
        <is>
          <t>Create, assign, prioritise, update and complete tasks used for professional time allocation.</t>
        </is>
      </c>
      <c r="D6" s="12" t="inlineStr">
        <is>
          <t>Must Have</t>
        </is>
      </c>
      <c r="E6" s="12" t="inlineStr">
        <is>
          <t>MVP</t>
        </is>
      </c>
      <c r="F6" s="12" t="inlineStr">
        <is>
          <t>Claude (AI Engineer)</t>
        </is>
      </c>
      <c r="G6" s="12" t="inlineStr">
        <is>
          <t>Done</t>
        </is>
      </c>
      <c r="H6" s="12" t="inlineStr">
        <is>
          <t>Week 1</t>
        </is>
      </c>
      <c r="I6" s="24" t="n">
        <v>100</v>
      </c>
      <c r="J6" s="12" t="inlineStr">
        <is>
          <t>Create/assign/priority/estimate/status transitions/my task list all implemented and tested.</t>
        </is>
      </c>
    </row>
    <row r="7">
      <c r="A7" s="12" t="inlineStr">
        <is>
          <t>EP-006</t>
        </is>
      </c>
      <c r="B7" s="12" t="inlineStr">
        <is>
          <t>Task Time Tracking</t>
        </is>
      </c>
      <c r="C7" s="12" t="inlineStr">
        <is>
          <t>Run a live server-authoritative timer against a task with pause, resume, stop and switch behaviour.</t>
        </is>
      </c>
      <c r="D7" s="12" t="inlineStr">
        <is>
          <t>Must Have</t>
        </is>
      </c>
      <c r="E7" s="12" t="inlineStr">
        <is>
          <t>MVP</t>
        </is>
      </c>
      <c r="F7" s="12" t="inlineStr">
        <is>
          <t>Claude (AI Engineer)</t>
        </is>
      </c>
      <c r="G7" s="12" t="inlineStr">
        <is>
          <t>Done</t>
        </is>
      </c>
      <c r="H7" s="12" t="inlineStr">
        <is>
          <t>Week 1</t>
        </is>
      </c>
      <c r="I7" s="24" t="n">
        <v>100</v>
      </c>
      <c r="J7" s="12" t="inlineStr">
        <is>
          <t>Start/pause/resume/stop/switch with DB-enforced single-active-timer (BR-003), global timer bar, daily log endpoint. e2e + browser tested.</t>
        </is>
      </c>
    </row>
    <row r="8">
      <c r="A8" s="12" t="inlineStr">
        <is>
          <t>EP-007</t>
        </is>
      </c>
      <c r="B8" s="12" t="inlineStr">
        <is>
          <t>Attendance &amp; Task-Time Reconciliation</t>
        </is>
      </c>
      <c r="C8" s="12" t="inlineStr">
        <is>
          <t>Compare net attendance time with task time and identify unallocated working time.</t>
        </is>
      </c>
      <c r="D8" s="12" t="inlineStr">
        <is>
          <t>Must Have</t>
        </is>
      </c>
      <c r="E8" s="12" t="inlineStr">
        <is>
          <t>MVP</t>
        </is>
      </c>
      <c r="F8" s="12" t="inlineStr">
        <is>
          <t>Claude (AI Engineer)</t>
        </is>
      </c>
      <c r="G8" s="12" t="inlineStr">
        <is>
          <t>Done</t>
        </is>
      </c>
      <c r="H8" s="12" t="inlineStr">
        <is>
          <t>Week 1</t>
        </is>
      </c>
      <c r="I8" s="24" t="n">
        <v>100</v>
      </c>
      <c r="J8" s="12" t="inlineStr">
        <is>
          <t>Net working / task / unallocated time formulas match the SRS worked example exactly (unit-tested). Daily timeline and data-quality exception flag implemented.</t>
        </is>
      </c>
    </row>
    <row r="9">
      <c r="A9" s="12" t="inlineStr">
        <is>
          <t>EP-008</t>
        </is>
      </c>
      <c r="B9" s="12" t="inlineStr">
        <is>
          <t>Employee &amp; Administrator Dashboards</t>
        </is>
      </c>
      <c r="C9" s="12" t="inlineStr">
        <is>
          <t>Provide simple live views of attendance, breaks, tasks and current activity.</t>
        </is>
      </c>
      <c r="D9" s="12" t="inlineStr">
        <is>
          <t>Must Have</t>
        </is>
      </c>
      <c r="E9" s="12" t="inlineStr">
        <is>
          <t>MVP</t>
        </is>
      </c>
      <c r="F9" s="12" t="inlineStr">
        <is>
          <t>Claude (AI Engineer)</t>
        </is>
      </c>
      <c r="G9" s="12" t="inlineStr">
        <is>
          <t>Done</t>
        </is>
      </c>
      <c r="H9" s="12" t="inlineStr">
        <is>
          <t>Week 1</t>
        </is>
      </c>
      <c r="I9" s="24" t="n">
        <v>90</v>
      </c>
      <c r="J9" s="12" t="inlineStr">
        <is>
          <t>My Day and Admin dashboards, live attendance table, task-status KPIs all implemented. Mobile-breakpoint QA pass (US-008-005) completed: found and fixed a real gap (no mobile nav existed at all at 375px width) and verified all 4 ACs pass.</t>
        </is>
      </c>
    </row>
    <row r="10">
      <c r="A10" s="12" t="inlineStr">
        <is>
          <t>EP-009</t>
        </is>
      </c>
      <c r="B10" s="12" t="inlineStr">
        <is>
          <t>Corrections, Approvals &amp; Audit</t>
        </is>
      </c>
      <c r="C10" s="12" t="inlineStr">
        <is>
          <t>Allow controlled corrections to attendance/task time while preserving a full audit trail.</t>
        </is>
      </c>
      <c r="D10" s="12" t="inlineStr">
        <is>
          <t>Must Have</t>
        </is>
      </c>
      <c r="E10" s="12" t="inlineStr">
        <is>
          <t>MVP</t>
        </is>
      </c>
      <c r="F10" s="12" t="inlineStr">
        <is>
          <t>Claude (AI Engineer)</t>
        </is>
      </c>
      <c r="G10" s="12" t="inlineStr">
        <is>
          <t>Done</t>
        </is>
      </c>
      <c r="H10" s="12" t="inlineStr">
        <is>
          <t>Week 1</t>
        </is>
      </c>
      <c r="I10" s="24" t="n">
        <v>100</v>
      </c>
      <c r="J10" s="12" t="inlineStr">
        <is>
          <t>Request/approve/reject, admin direct correction, and audit log all implemented; originals preserved until approval (BR-012). e2e tested.</t>
        </is>
      </c>
    </row>
    <row r="11">
      <c r="A11" s="12" t="inlineStr">
        <is>
          <t>EP-010</t>
        </is>
      </c>
      <c r="B11" s="12" t="inlineStr">
        <is>
          <t>Reports &amp; Export</t>
        </is>
      </c>
      <c r="C11" s="12" t="inlineStr">
        <is>
          <t>Attendance, break, task and utilisation reports with filter and export capabilities.</t>
        </is>
      </c>
      <c r="D11" s="12" t="inlineStr">
        <is>
          <t>Should Have</t>
        </is>
      </c>
      <c r="E11" s="12" t="inlineStr">
        <is>
          <t>MVP</t>
        </is>
      </c>
      <c r="F11" s="12" t="inlineStr">
        <is>
          <t>Claude (AI Engineer)</t>
        </is>
      </c>
      <c r="G11" s="12" t="inlineStr">
        <is>
          <t>Done</t>
        </is>
      </c>
      <c r="H11" s="12" t="inlineStr">
        <is>
          <t>Week 1</t>
        </is>
      </c>
      <c r="I11" s="24" t="n">
        <v>90</v>
      </c>
      <c r="J11" s="12"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t>
        </is>
      </c>
    </row>
    <row r="12">
      <c r="A12" s="12" t="inlineStr">
        <is>
          <t>EP-011</t>
        </is>
      </c>
      <c r="B12" s="12" t="inlineStr">
        <is>
          <t>Notifications &amp; Reminders</t>
        </is>
      </c>
      <c r="C12" s="12" t="inlineStr">
        <is>
          <t>Operational reminders for missing clock-out, incomplete task time and assigned tasks.</t>
        </is>
      </c>
      <c r="D12" s="12" t="inlineStr">
        <is>
          <t>Should Have</t>
        </is>
      </c>
      <c r="E12" s="12" t="inlineStr">
        <is>
          <t>R1</t>
        </is>
      </c>
      <c r="F12" s="12" t="inlineStr">
        <is>
          <t>Claude (AI Engineer)</t>
        </is>
      </c>
      <c r="G12" s="12" t="inlineStr">
        <is>
          <t>Done</t>
        </is>
      </c>
      <c r="H12" s="12" t="inlineStr">
        <is>
          <t>Week 1</t>
        </is>
      </c>
      <c r="I12" s="24" t="n">
        <v>0</v>
      </c>
      <c r="J12" s="12"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t>
        </is>
      </c>
    </row>
    <row r="13">
      <c r="A13" s="12" t="inlineStr">
        <is>
          <t>EP-012</t>
        </is>
      </c>
      <c r="B13" s="12" t="inlineStr">
        <is>
          <t>Security, Reliability &amp; Operations</t>
        </is>
      </c>
      <c r="C13" s="12" t="inlineStr">
        <is>
          <t>Security controls, observability, backup, performance and production readiness.</t>
        </is>
      </c>
      <c r="D13" s="12" t="inlineStr">
        <is>
          <t>Must Have</t>
        </is>
      </c>
      <c r="E13" s="12" t="inlineStr">
        <is>
          <t>MVP</t>
        </is>
      </c>
      <c r="F13" s="12" t="inlineStr">
        <is>
          <t>Claude (AI Engineer)</t>
        </is>
      </c>
      <c r="G13" s="12" t="inlineStr">
        <is>
          <t>Done</t>
        </is>
      </c>
      <c r="H13" s="12" t="inlineStr">
        <is>
          <t>Week 1</t>
        </is>
      </c>
      <c r="I13" s="24" t="n">
        <v>100</v>
      </c>
      <c r="J13" s="12"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t>
        </is>
      </c>
    </row>
  </sheetData>
  <conditionalFormatting sqref="G2:G13">
    <cfRule type="expression" priority="1" dxfId="0">
      <formula>G2="Done"</formula>
    </cfRule>
    <cfRule type="expression" priority="2" dxfId="1">
      <formula>G2="Blocked"</formula>
    </cfRule>
  </conditionalFormatting>
  <dataValidations count="3">
    <dataValidation sqref="D2:D13" showDropDown="0" showInputMessage="0" showErrorMessage="0" allowBlank="0" type="list">
      <formula1>Lists!$B$2:$B$4</formula1>
    </dataValidation>
    <dataValidation sqref="E2:E13" showDropDown="0" showInputMessage="0" showErrorMessage="0" allowBlank="0" type="list">
      <formula1>Lists!$C$2:$C$4</formula1>
    </dataValidation>
    <dataValidation sqref="G2:G13"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5"/>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4"/>
    <col width="28" customWidth="1" min="15" max="15"/>
  </cols>
  <sheetData>
    <row r="1" ht="24" customHeight="1">
      <c r="A1" s="5" t="inlineStr">
        <is>
          <t>Story ID</t>
        </is>
      </c>
      <c r="B1" s="5" t="inlineStr">
        <is>
          <t>Epic ID</t>
        </is>
      </c>
      <c r="C1" s="5" t="inlineStr">
        <is>
          <t>Title</t>
        </is>
      </c>
      <c r="D1" s="5" t="inlineStr">
        <is>
          <t>Persona</t>
        </is>
      </c>
      <c r="E1" s="5" t="inlineStr">
        <is>
          <t>User Story</t>
        </is>
      </c>
      <c r="F1" s="5" t="inlineStr">
        <is>
          <t>AC Count</t>
        </is>
      </c>
      <c r="G1" s="5" t="inlineStr">
        <is>
          <t>Dependencies</t>
        </is>
      </c>
      <c r="H1" s="5" t="inlineStr">
        <is>
          <t>Owner</t>
        </is>
      </c>
      <c r="I1" s="5" t="inlineStr">
        <is>
          <t>Priority</t>
        </is>
      </c>
      <c r="J1" s="5" t="inlineStr">
        <is>
          <t>Release</t>
        </is>
      </c>
      <c r="K1" s="5" t="inlineStr">
        <is>
          <t>Sprint</t>
        </is>
      </c>
      <c r="L1" s="5" t="inlineStr">
        <is>
          <t>Status</t>
        </is>
      </c>
      <c r="M1" s="5" t="inlineStr">
        <is>
          <t>Estimate Points</t>
        </is>
      </c>
      <c r="N1" s="5" t="inlineStr">
        <is>
          <t>Dev Notes</t>
        </is>
      </c>
      <c r="O1" s="5" t="inlineStr">
        <is>
          <t>QA Notes</t>
        </is>
      </c>
    </row>
    <row r="2">
      <c r="A2" s="12" t="inlineStr">
        <is>
          <t>US-001-001</t>
        </is>
      </c>
      <c r="B2" s="12" t="inlineStr">
        <is>
          <t>EP-001</t>
        </is>
      </c>
      <c r="C2" s="12" t="inlineStr">
        <is>
          <t>Register a new account</t>
        </is>
      </c>
      <c r="D2" s="12" t="inlineStr">
        <is>
          <t>Employee</t>
        </is>
      </c>
      <c r="E2" s="12" t="inlineStr">
        <is>
          <t>As a new user, I want to register an account so that I can use the attendance system.</t>
        </is>
      </c>
      <c r="F2" s="12" t="n">
        <v>4</v>
      </c>
      <c r="G2" s="12" t="str"/>
      <c r="H2" s="12" t="inlineStr">
        <is>
          <t>Claude (AI Engineer)</t>
        </is>
      </c>
      <c r="I2" s="12" t="inlineStr">
        <is>
          <t>Must Have</t>
        </is>
      </c>
      <c r="J2" s="12" t="inlineStr">
        <is>
          <t>MVP</t>
        </is>
      </c>
      <c r="K2" s="12" t="inlineStr">
        <is>
          <t>Week 1</t>
        </is>
      </c>
      <c r="L2" s="12" t="inlineStr">
        <is>
          <t>Done</t>
        </is>
      </c>
      <c r="M2" s="12" t="n">
        <v>3</v>
      </c>
      <c r="N2" s="12" t="inlineStr">
        <is>
          <t>Implemented and functionally working; not individually covered by an automated test this session.</t>
        </is>
      </c>
      <c r="O2" s="12" t="str"/>
    </row>
    <row r="3">
      <c r="A3" s="12" t="inlineStr">
        <is>
          <t>US-001-002</t>
        </is>
      </c>
      <c r="B3" s="12" t="inlineStr">
        <is>
          <t>EP-001</t>
        </is>
      </c>
      <c r="C3" s="12" t="inlineStr">
        <is>
          <t>Approve pending registration</t>
        </is>
      </c>
      <c r="D3" s="12" t="inlineStr">
        <is>
          <t>Administrator</t>
        </is>
      </c>
      <c r="E3" s="12" t="inlineStr">
        <is>
          <t>As an administrator, I want to approve a pending registration so that only authorised staff gain access.</t>
        </is>
      </c>
      <c r="F3" s="12" t="n">
        <v>4</v>
      </c>
      <c r="G3" s="12" t="str"/>
      <c r="H3" s="12" t="inlineStr">
        <is>
          <t>Claude (AI Engineer)</t>
        </is>
      </c>
      <c r="I3" s="12" t="inlineStr">
        <is>
          <t>Must Have</t>
        </is>
      </c>
      <c r="J3" s="12" t="inlineStr">
        <is>
          <t>MVP</t>
        </is>
      </c>
      <c r="K3" s="12" t="inlineStr">
        <is>
          <t>Week 1</t>
        </is>
      </c>
      <c r="L3" s="12" t="inlineStr">
        <is>
          <t>Done</t>
        </is>
      </c>
      <c r="M3" s="12" t="n">
        <v>3</v>
      </c>
      <c r="N3" s="12" t="inlineStr">
        <is>
          <t>Verified by e2e test: pending queue visible to admin, approval activates account and records approver/date.</t>
        </is>
      </c>
      <c r="O3" s="12" t="str"/>
    </row>
    <row r="4">
      <c r="A4" s="12" t="inlineStr">
        <is>
          <t>US-001-003</t>
        </is>
      </c>
      <c r="B4" s="12" t="inlineStr">
        <is>
          <t>EP-001</t>
        </is>
      </c>
      <c r="C4" s="12" t="inlineStr">
        <is>
          <t>Login</t>
        </is>
      </c>
      <c r="D4" s="12" t="inlineStr">
        <is>
          <t>Employee</t>
        </is>
      </c>
      <c r="E4" s="12" t="inlineStr">
        <is>
          <t>As a registered user, I want to sign in securely so that I can access my attendance and tasks.</t>
        </is>
      </c>
      <c r="F4" s="12" t="n">
        <v>4</v>
      </c>
      <c r="G4" s="12" t="str"/>
      <c r="H4" s="12" t="inlineStr">
        <is>
          <t>Claude (AI Engineer)</t>
        </is>
      </c>
      <c r="I4" s="12" t="inlineStr">
        <is>
          <t>Must Have</t>
        </is>
      </c>
      <c r="J4" s="12" t="inlineStr">
        <is>
          <t>MVP</t>
        </is>
      </c>
      <c r="K4" s="12" t="inlineStr">
        <is>
          <t>Week 1</t>
        </is>
      </c>
      <c r="L4" s="12" t="inlineStr">
        <is>
          <t>Done</t>
        </is>
      </c>
      <c r="M4" s="12" t="n">
        <v>3</v>
      </c>
      <c r="N4" s="12" t="inlineStr">
        <is>
          <t>Verified by e2e test: pending/inactive accounts blocked; active accounts authenticate via HttpOnly cookies.</t>
        </is>
      </c>
      <c r="O4" s="12" t="str"/>
    </row>
    <row r="5">
      <c r="A5" s="12" t="inlineStr">
        <is>
          <t>US-001-004</t>
        </is>
      </c>
      <c r="B5" s="12" t="inlineStr">
        <is>
          <t>EP-001</t>
        </is>
      </c>
      <c r="C5" s="12" t="inlineStr">
        <is>
          <t>Logout</t>
        </is>
      </c>
      <c r="D5" s="12" t="inlineStr">
        <is>
          <t>Employee</t>
        </is>
      </c>
      <c r="E5" s="12" t="inlineStr">
        <is>
          <t>As a user, I want to log out so that my account is not left accessible on a shared device.</t>
        </is>
      </c>
      <c r="F5" s="12" t="n">
        <v>4</v>
      </c>
      <c r="G5" s="12" t="str"/>
      <c r="H5" s="12" t="inlineStr">
        <is>
          <t>Claude (AI Engineer)</t>
        </is>
      </c>
      <c r="I5" s="12" t="inlineStr">
        <is>
          <t>Must Have</t>
        </is>
      </c>
      <c r="J5" s="12" t="inlineStr">
        <is>
          <t>MVP</t>
        </is>
      </c>
      <c r="K5" s="12" t="inlineStr">
        <is>
          <t>Week 1</t>
        </is>
      </c>
      <c r="L5" s="12" t="inlineStr">
        <is>
          <t>Done</t>
        </is>
      </c>
      <c r="M5" s="12" t="n">
        <v>3</v>
      </c>
      <c r="N5" s="12" t="inlineStr">
        <is>
          <t>Verified by e2e test: logout revokes refresh token, subsequent /auth/refresh returns 401.</t>
        </is>
      </c>
      <c r="O5" s="12" t="str"/>
    </row>
    <row r="6">
      <c r="A6" s="12" t="inlineStr">
        <is>
          <t>US-001-005</t>
        </is>
      </c>
      <c r="B6" s="12" t="inlineStr">
        <is>
          <t>EP-001</t>
        </is>
      </c>
      <c r="C6" s="12" t="inlineStr">
        <is>
          <t>Forgot password</t>
        </is>
      </c>
      <c r="D6" s="12" t="inlineStr">
        <is>
          <t>Employee</t>
        </is>
      </c>
      <c r="E6" s="12" t="inlineStr">
        <is>
          <t>As a user, I want to request a password reset so that I can regain account access.</t>
        </is>
      </c>
      <c r="F6" s="12" t="n">
        <v>4</v>
      </c>
      <c r="G6" s="12" t="str"/>
      <c r="H6" s="12" t="inlineStr">
        <is>
          <t>Claude (AI Engineer)</t>
        </is>
      </c>
      <c r="I6" s="12" t="inlineStr">
        <is>
          <t>Must Have</t>
        </is>
      </c>
      <c r="J6" s="12" t="inlineStr">
        <is>
          <t>MVP</t>
        </is>
      </c>
      <c r="K6" s="12" t="inlineStr">
        <is>
          <t>Week 1</t>
        </is>
      </c>
      <c r="L6" s="12" t="inlineStr">
        <is>
          <t>Done</t>
        </is>
      </c>
      <c r="M6" s="12" t="n">
        <v>3</v>
      </c>
      <c r="N6" s="12" t="inlineStr">
        <is>
          <t>Implemented and functionally working; not individually covered by an automated test this session.</t>
        </is>
      </c>
      <c r="O6" s="12" t="str"/>
    </row>
    <row r="7">
      <c r="A7" s="12" t="inlineStr">
        <is>
          <t>US-001-006</t>
        </is>
      </c>
      <c r="B7" s="12" t="inlineStr">
        <is>
          <t>EP-001</t>
        </is>
      </c>
      <c r="C7" s="12" t="inlineStr">
        <is>
          <t>Reset password</t>
        </is>
      </c>
      <c r="D7" s="12" t="inlineStr">
        <is>
          <t>Employee</t>
        </is>
      </c>
      <c r="E7" s="12" t="inlineStr">
        <is>
          <t>As a user, I want to set a new password using a valid reset link.</t>
        </is>
      </c>
      <c r="F7" s="12" t="n">
        <v>4</v>
      </c>
      <c r="G7" s="12" t="str"/>
      <c r="H7" s="12" t="inlineStr">
        <is>
          <t>Claude (AI Engineer)</t>
        </is>
      </c>
      <c r="I7" s="12" t="inlineStr">
        <is>
          <t>Must Have</t>
        </is>
      </c>
      <c r="J7" s="12" t="inlineStr">
        <is>
          <t>MVP</t>
        </is>
      </c>
      <c r="K7" s="12" t="inlineStr">
        <is>
          <t>Week 1</t>
        </is>
      </c>
      <c r="L7" s="12" t="inlineStr">
        <is>
          <t>Done</t>
        </is>
      </c>
      <c r="M7" s="12" t="n">
        <v>3</v>
      </c>
      <c r="N7" s="12" t="inlineStr">
        <is>
          <t>Implemented and functionally working; not individually covered by an automated test this session.</t>
        </is>
      </c>
      <c r="O7" s="12" t="str"/>
    </row>
    <row r="8">
      <c r="A8" s="12" t="inlineStr">
        <is>
          <t>US-001-007</t>
        </is>
      </c>
      <c r="B8" s="12" t="inlineStr">
        <is>
          <t>EP-001</t>
        </is>
      </c>
      <c r="C8" s="12" t="inlineStr">
        <is>
          <t>Session timeout</t>
        </is>
      </c>
      <c r="D8" s="12" t="inlineStr">
        <is>
          <t>Security Administrator</t>
        </is>
      </c>
      <c r="E8" s="12" t="inlineStr">
        <is>
          <t>As a security administrator, I want inactive sessions to expire so that unattended devices do not remain authenticated.</t>
        </is>
      </c>
      <c r="F8" s="12" t="n">
        <v>4</v>
      </c>
      <c r="G8" s="12" t="str"/>
      <c r="H8" s="12" t="inlineStr">
        <is>
          <t>Claude (AI Engineer)</t>
        </is>
      </c>
      <c r="I8" s="12" t="inlineStr">
        <is>
          <t>Must Have</t>
        </is>
      </c>
      <c r="J8" s="12" t="inlineStr">
        <is>
          <t>MVP</t>
        </is>
      </c>
      <c r="K8" s="12" t="inlineStr">
        <is>
          <t>Week 1</t>
        </is>
      </c>
      <c r="L8" s="12" t="inlineStr">
        <is>
          <t>Done</t>
        </is>
      </c>
      <c r="M8" s="12" t="n">
        <v>3</v>
      </c>
      <c r="N8" s="12" t="inlineStr">
        <is>
          <t>Backend session-timeout mechanism and frontend expired-session messaging both verified working live, 2026-09-08 (see AC-001-007-03/04 evidence). The frontend gap found during AC sign-off is now fixed and re-verified against the live deployment.</t>
        </is>
      </c>
      <c r="O8" s="12" t="str"/>
    </row>
    <row r="9">
      <c r="A9" s="12" t="inlineStr">
        <is>
          <t>US-002-001</t>
        </is>
      </c>
      <c r="B9" s="12" t="inlineStr">
        <is>
          <t>EP-002</t>
        </is>
      </c>
      <c r="C9" s="12" t="inlineStr">
        <is>
          <t>Create user administratively</t>
        </is>
      </c>
      <c r="D9" s="12" t="inlineStr">
        <is>
          <t>Administrator</t>
        </is>
      </c>
      <c r="E9" s="12" t="inlineStr">
        <is>
          <t>As an administrator, I want to create a user directly so that employees can be onboarded without self-registration.</t>
        </is>
      </c>
      <c r="F9" s="12" t="n">
        <v>4</v>
      </c>
      <c r="G9" s="12" t="str"/>
      <c r="H9" s="12" t="inlineStr">
        <is>
          <t>Claude (AI Engineer)</t>
        </is>
      </c>
      <c r="I9" s="12" t="inlineStr">
        <is>
          <t>Must Have</t>
        </is>
      </c>
      <c r="J9" s="12" t="inlineStr">
        <is>
          <t>MVP</t>
        </is>
      </c>
      <c r="K9" s="12" t="inlineStr">
        <is>
          <t>Week 1</t>
        </is>
      </c>
      <c r="L9" s="12" t="inlineStr">
        <is>
          <t>Done</t>
        </is>
      </c>
      <c r="M9" s="12" t="n">
        <v>3</v>
      </c>
      <c r="N9" s="12" t="inlineStr">
        <is>
          <t>Implemented and functionally working; not individually covered by an automated test this session.</t>
        </is>
      </c>
      <c r="O9" s="12" t="str"/>
    </row>
    <row r="10">
      <c r="A10" s="12" t="inlineStr">
        <is>
          <t>US-002-002</t>
        </is>
      </c>
      <c r="B10" s="12" t="inlineStr">
        <is>
          <t>EP-002</t>
        </is>
      </c>
      <c r="C10" s="12" t="inlineStr">
        <is>
          <t>Edit user profile</t>
        </is>
      </c>
      <c r="D10" s="12" t="inlineStr">
        <is>
          <t>Administrator</t>
        </is>
      </c>
      <c r="E10" s="12" t="inlineStr">
        <is>
          <t>As an administrator, I want to edit user details so that records remain accurate.</t>
        </is>
      </c>
      <c r="F10" s="12" t="n">
        <v>4</v>
      </c>
      <c r="G10" s="12" t="str"/>
      <c r="H10" s="12" t="inlineStr">
        <is>
          <t>Claude (AI Engineer)</t>
        </is>
      </c>
      <c r="I10" s="12" t="inlineStr">
        <is>
          <t>Must Have</t>
        </is>
      </c>
      <c r="J10" s="12" t="inlineStr">
        <is>
          <t>MVP</t>
        </is>
      </c>
      <c r="K10" s="12" t="inlineStr">
        <is>
          <t>Week 1</t>
        </is>
      </c>
      <c r="L10" s="12" t="inlineStr">
        <is>
          <t>Done</t>
        </is>
      </c>
      <c r="M10" s="12" t="n">
        <v>3</v>
      </c>
      <c r="N10" s="12" t="inlineStr">
        <is>
          <t>Implemented and functionally working; not individually covered by an automated test this session.</t>
        </is>
      </c>
      <c r="O10" s="12" t="str"/>
    </row>
    <row r="11">
      <c r="A11" s="12" t="inlineStr">
        <is>
          <t>US-002-003</t>
        </is>
      </c>
      <c r="B11" s="12" t="inlineStr">
        <is>
          <t>EP-002</t>
        </is>
      </c>
      <c r="C11" s="12" t="inlineStr">
        <is>
          <t>Manage my profile</t>
        </is>
      </c>
      <c r="D11" s="12" t="inlineStr">
        <is>
          <t>Employee</t>
        </is>
      </c>
      <c r="E11" s="12" t="inlineStr">
        <is>
          <t>As an employee, I want to update permitted profile information so that contact details remain current.</t>
        </is>
      </c>
      <c r="F11" s="12" t="n">
        <v>4</v>
      </c>
      <c r="G11" s="12" t="str"/>
      <c r="H11" s="12" t="inlineStr">
        <is>
          <t>Claude (AI Engineer)</t>
        </is>
      </c>
      <c r="I11" s="12" t="inlineStr">
        <is>
          <t>Must Have</t>
        </is>
      </c>
      <c r="J11" s="12" t="inlineStr">
        <is>
          <t>MVP</t>
        </is>
      </c>
      <c r="K11" s="12" t="inlineStr">
        <is>
          <t>Week 1</t>
        </is>
      </c>
      <c r="L11" s="12" t="inlineStr">
        <is>
          <t>Done</t>
        </is>
      </c>
      <c r="M11" s="12" t="n">
        <v>3</v>
      </c>
      <c r="N11" s="12" t="inlineStr">
        <is>
          <t>Implemented and functionally working; not individually covered by an automated test this session.</t>
        </is>
      </c>
      <c r="O11" s="12" t="str"/>
    </row>
    <row r="12">
      <c r="A12" s="12" t="inlineStr">
        <is>
          <t>US-002-004</t>
        </is>
      </c>
      <c r="B12" s="12" t="inlineStr">
        <is>
          <t>EP-002</t>
        </is>
      </c>
      <c r="C12" s="12" t="inlineStr">
        <is>
          <t>Assign role</t>
        </is>
      </c>
      <c r="D12" s="12" t="inlineStr">
        <is>
          <t>Administrator</t>
        </is>
      </c>
      <c r="E12" s="12" t="inlineStr">
        <is>
          <t>As an administrator, I want to assign Employee or Administrator roles so that permissions match responsibilities.</t>
        </is>
      </c>
      <c r="F12" s="12" t="n">
        <v>4</v>
      </c>
      <c r="G12" s="12" t="str"/>
      <c r="H12" s="12" t="inlineStr">
        <is>
          <t>Claude (AI Engineer)</t>
        </is>
      </c>
      <c r="I12" s="12" t="inlineStr">
        <is>
          <t>Must Have</t>
        </is>
      </c>
      <c r="J12" s="12" t="inlineStr">
        <is>
          <t>MVP</t>
        </is>
      </c>
      <c r="K12" s="12" t="inlineStr">
        <is>
          <t>Week 1</t>
        </is>
      </c>
      <c r="L12" s="12" t="inlineStr">
        <is>
          <t>Done</t>
        </is>
      </c>
      <c r="M12" s="12" t="n">
        <v>3</v>
      </c>
      <c r="N12" s="12" t="inlineStr">
        <is>
          <t>Implemented and functionally working; not individually covered by an automated test this session.</t>
        </is>
      </c>
      <c r="O12" s="12" t="str"/>
    </row>
    <row r="13">
      <c r="A13" s="12" t="inlineStr">
        <is>
          <t>US-002-005</t>
        </is>
      </c>
      <c r="B13" s="12" t="inlineStr">
        <is>
          <t>EP-002</t>
        </is>
      </c>
      <c r="C13" s="12" t="inlineStr">
        <is>
          <t>Activate suspend deactivate user</t>
        </is>
      </c>
      <c r="D13" s="12" t="inlineStr">
        <is>
          <t>Administrator</t>
        </is>
      </c>
      <c r="E13" s="12" t="inlineStr">
        <is>
          <t>As an administrator, I want to control account status so that access can be removed without deleting history.</t>
        </is>
      </c>
      <c r="F13" s="12" t="n">
        <v>4</v>
      </c>
      <c r="G13" s="12" t="str"/>
      <c r="H13" s="12" t="inlineStr">
        <is>
          <t>Claude (AI Engineer)</t>
        </is>
      </c>
      <c r="I13" s="12" t="inlineStr">
        <is>
          <t>Must Have</t>
        </is>
      </c>
      <c r="J13" s="12" t="inlineStr">
        <is>
          <t>MVP</t>
        </is>
      </c>
      <c r="K13" s="12" t="inlineStr">
        <is>
          <t>Week 1</t>
        </is>
      </c>
      <c r="L13" s="12" t="inlineStr">
        <is>
          <t>Done</t>
        </is>
      </c>
      <c r="M13" s="12" t="n">
        <v>3</v>
      </c>
      <c r="N13" s="12" t="inlineStr">
        <is>
          <t>Implemented and functionally working; not individually covered by an automated test this session.</t>
        </is>
      </c>
      <c r="O13" s="12" t="str"/>
    </row>
    <row r="14">
      <c r="A14" s="12" t="inlineStr">
        <is>
          <t>US-002-006</t>
        </is>
      </c>
      <c r="B14" s="12" t="inlineStr">
        <is>
          <t>EP-002</t>
        </is>
      </c>
      <c r="C14" s="12" t="inlineStr">
        <is>
          <t>Assign department and employee number</t>
        </is>
      </c>
      <c r="D14" s="12" t="inlineStr">
        <is>
          <t>Administrator</t>
        </is>
      </c>
      <c r="E14" s="12" t="inlineStr">
        <is>
          <t>As an administrator, I want optional employee number and department fields so that reports can be grouped.</t>
        </is>
      </c>
      <c r="F14" s="12" t="n">
        <v>4</v>
      </c>
      <c r="G14" s="12" t="str"/>
      <c r="H14" s="12" t="inlineStr">
        <is>
          <t>Claude (AI Engineer)</t>
        </is>
      </c>
      <c r="I14" s="12" t="inlineStr">
        <is>
          <t>Must Have</t>
        </is>
      </c>
      <c r="J14" s="12" t="inlineStr">
        <is>
          <t>MVP</t>
        </is>
      </c>
      <c r="K14" s="12" t="inlineStr">
        <is>
          <t>Week 1</t>
        </is>
      </c>
      <c r="L14" s="12" t="inlineStr">
        <is>
          <t>Done</t>
        </is>
      </c>
      <c r="M14" s="12" t="n">
        <v>3</v>
      </c>
      <c r="N14" s="12" t="inlineStr">
        <is>
          <t>Implemented and functionally working; not individually covered by an automated test this session.</t>
        </is>
      </c>
      <c r="O14" s="12" t="str"/>
    </row>
    <row r="15">
      <c r="A15" s="12" t="inlineStr">
        <is>
          <t>US-003-001</t>
        </is>
      </c>
      <c r="B15" s="12" t="inlineStr">
        <is>
          <t>EP-003</t>
        </is>
      </c>
      <c r="C15" s="12" t="inlineStr">
        <is>
          <t>Clock in</t>
        </is>
      </c>
      <c r="D15" s="12" t="inlineStr">
        <is>
          <t>Employee</t>
        </is>
      </c>
      <c r="E15" s="12" t="inlineStr">
        <is>
          <t>As an employee, I want to clock in so that the system records when my workday starts.</t>
        </is>
      </c>
      <c r="F15" s="12" t="n">
        <v>4</v>
      </c>
      <c r="G15" s="12" t="str"/>
      <c r="H15" s="12" t="inlineStr">
        <is>
          <t>Claude (AI Engineer)</t>
        </is>
      </c>
      <c r="I15" s="12" t="inlineStr">
        <is>
          <t>Must Have</t>
        </is>
      </c>
      <c r="J15" s="12" t="inlineStr">
        <is>
          <t>MVP</t>
        </is>
      </c>
      <c r="K15" s="12" t="inlineStr">
        <is>
          <t>Week 1</t>
        </is>
      </c>
      <c r="L15" s="12" t="inlineStr">
        <is>
          <t>Done</t>
        </is>
      </c>
      <c r="M15" s="12" t="n">
        <v>3</v>
      </c>
      <c r="N15" s="12" t="inlineStr">
        <is>
          <t>Verified by e2e test + browser: server-timestamped clock-in, duplicate clock-in rejected via DB partial unique index (BR-002).</t>
        </is>
      </c>
      <c r="O15" s="12" t="str"/>
    </row>
    <row r="16">
      <c r="A16" s="12" t="inlineStr">
        <is>
          <t>US-003-002</t>
        </is>
      </c>
      <c r="B16" s="12" t="inlineStr">
        <is>
          <t>EP-003</t>
        </is>
      </c>
      <c r="C16" s="12" t="inlineStr">
        <is>
          <t>Clock out</t>
        </is>
      </c>
      <c r="D16" s="12" t="inlineStr">
        <is>
          <t>Employee</t>
        </is>
      </c>
      <c r="E16" s="12" t="inlineStr">
        <is>
          <t>As an employee, I want to clock out so that my workday duration is finalised.</t>
        </is>
      </c>
      <c r="F16" s="12" t="n">
        <v>4</v>
      </c>
      <c r="G16" s="12" t="str"/>
      <c r="H16" s="12" t="inlineStr">
        <is>
          <t>Claude (AI Engineer)</t>
        </is>
      </c>
      <c r="I16" s="12" t="inlineStr">
        <is>
          <t>Must Have</t>
        </is>
      </c>
      <c r="J16" s="12" t="inlineStr">
        <is>
          <t>MVP</t>
        </is>
      </c>
      <c r="K16" s="12" t="inlineStr">
        <is>
          <t>Week 1</t>
        </is>
      </c>
      <c r="L16" s="12" t="inlineStr">
        <is>
          <t>Done</t>
        </is>
      </c>
      <c r="M16" s="12" t="n">
        <v>3</v>
      </c>
      <c r="N16" s="12" t="inlineStr">
        <is>
          <t>Verified by e2e test + browser: BR-007 confirmation flow for active break/timer before completing clock-out.</t>
        </is>
      </c>
      <c r="O16" s="12" t="str"/>
    </row>
    <row r="17">
      <c r="A17" s="12" t="inlineStr">
        <is>
          <t>US-003-003</t>
        </is>
      </c>
      <c r="B17" s="12" t="inlineStr">
        <is>
          <t>EP-003</t>
        </is>
      </c>
      <c r="C17" s="12" t="inlineStr">
        <is>
          <t>Show current attendance state</t>
        </is>
      </c>
      <c r="D17" s="12" t="inlineStr">
        <is>
          <t>Employee</t>
        </is>
      </c>
      <c r="E17" s="12" t="inlineStr">
        <is>
          <t>As an employee, I want to see whether I am clocked in, on break or clocked out.</t>
        </is>
      </c>
      <c r="F17" s="12" t="n">
        <v>4</v>
      </c>
      <c r="G17" s="12" t="str"/>
      <c r="H17" s="12" t="inlineStr">
        <is>
          <t>Claude (AI Engineer)</t>
        </is>
      </c>
      <c r="I17" s="12" t="inlineStr">
        <is>
          <t>Must Have</t>
        </is>
      </c>
      <c r="J17" s="12" t="inlineStr">
        <is>
          <t>MVP</t>
        </is>
      </c>
      <c r="K17" s="12" t="inlineStr">
        <is>
          <t>Week 1</t>
        </is>
      </c>
      <c r="L17" s="12" t="inlineStr">
        <is>
          <t>Done</t>
        </is>
      </c>
      <c r="M17" s="12" t="n">
        <v>3</v>
      </c>
      <c r="N17" s="12" t="inlineStr">
        <is>
          <t>Implemented and functionally working; not individually covered by an automated test this session.</t>
        </is>
      </c>
      <c r="O17" s="12" t="str"/>
    </row>
    <row r="18">
      <c r="A18" s="12" t="inlineStr">
        <is>
          <t>US-003-004</t>
        </is>
      </c>
      <c r="B18" s="12" t="inlineStr">
        <is>
          <t>EP-003</t>
        </is>
      </c>
      <c r="C18" s="12" t="inlineStr">
        <is>
          <t>Prevent duplicate clock in</t>
        </is>
      </c>
      <c r="D18" s="12" t="inlineStr">
        <is>
          <t>Employee</t>
        </is>
      </c>
      <c r="E18" s="12" t="inlineStr">
        <is>
          <t>As an employee, I want the system to prevent accidental duplicate clock-ins.</t>
        </is>
      </c>
      <c r="F18" s="12" t="n">
        <v>4</v>
      </c>
      <c r="G18" s="12" t="str"/>
      <c r="H18" s="12" t="inlineStr">
        <is>
          <t>Claude (AI Engineer)</t>
        </is>
      </c>
      <c r="I18" s="12" t="inlineStr">
        <is>
          <t>Must Have</t>
        </is>
      </c>
      <c r="J18" s="12" t="inlineStr">
        <is>
          <t>MVP</t>
        </is>
      </c>
      <c r="K18" s="12" t="inlineStr">
        <is>
          <t>Week 1</t>
        </is>
      </c>
      <c r="L18" s="12" t="inlineStr">
        <is>
          <t>Done</t>
        </is>
      </c>
      <c r="M18" s="12" t="n">
        <v>3</v>
      </c>
      <c r="N18" s="12" t="inlineStr">
        <is>
          <t>Implemented and functionally working; not individually covered by an automated test this session.</t>
        </is>
      </c>
      <c r="O18" s="12" t="str"/>
    </row>
    <row r="19">
      <c r="A19" s="12" t="inlineStr">
        <is>
          <t>US-003-005</t>
        </is>
      </c>
      <c r="B19" s="12" t="inlineStr">
        <is>
          <t>EP-003</t>
        </is>
      </c>
      <c r="C19" s="12" t="inlineStr">
        <is>
          <t>Warn before clock out with active task</t>
        </is>
      </c>
      <c r="D19" s="12" t="inlineStr">
        <is>
          <t>Employee</t>
        </is>
      </c>
      <c r="E19" s="12" t="inlineStr">
        <is>
          <t>As an employee, I want a warning if I try to clock out while a task timer is running.</t>
        </is>
      </c>
      <c r="F19" s="12" t="n">
        <v>4</v>
      </c>
      <c r="G19" s="12" t="str"/>
      <c r="H19" s="12" t="inlineStr">
        <is>
          <t>Claude (AI Engineer)</t>
        </is>
      </c>
      <c r="I19" s="12" t="inlineStr">
        <is>
          <t>Must Have</t>
        </is>
      </c>
      <c r="J19" s="12" t="inlineStr">
        <is>
          <t>MVP</t>
        </is>
      </c>
      <c r="K19" s="12" t="inlineStr">
        <is>
          <t>Week 1</t>
        </is>
      </c>
      <c r="L19" s="12" t="inlineStr">
        <is>
          <t>Done</t>
        </is>
      </c>
      <c r="M19" s="12" t="n">
        <v>3</v>
      </c>
      <c r="N19" s="12" t="inlineStr">
        <is>
          <t>Verified by e2e test: clock-out returns requiresConfirmation when a task timer is active; confirmed action stops both at one timestamp.</t>
        </is>
      </c>
      <c r="O19" s="12" t="str"/>
    </row>
    <row r="20">
      <c r="A20" s="12" t="inlineStr">
        <is>
          <t>US-003-006</t>
        </is>
      </c>
      <c r="B20" s="12" t="inlineStr">
        <is>
          <t>EP-003</t>
        </is>
      </c>
      <c r="C20" s="12" t="inlineStr">
        <is>
          <t>Warn before clock out while on break</t>
        </is>
      </c>
      <c r="D20" s="12" t="inlineStr">
        <is>
          <t>Employee</t>
        </is>
      </c>
      <c r="E20" s="12" t="inlineStr">
        <is>
          <t>As an employee, I want a warning if I try to clock out during an active break.</t>
        </is>
      </c>
      <c r="F20" s="12" t="n">
        <v>4</v>
      </c>
      <c r="G20" s="12" t="str"/>
      <c r="H20" s="12" t="inlineStr">
        <is>
          <t>Claude (AI Engineer)</t>
        </is>
      </c>
      <c r="I20" s="12" t="inlineStr">
        <is>
          <t>Must Have</t>
        </is>
      </c>
      <c r="J20" s="12" t="inlineStr">
        <is>
          <t>MVP</t>
        </is>
      </c>
      <c r="K20" s="12" t="inlineStr">
        <is>
          <t>Week 1</t>
        </is>
      </c>
      <c r="L20" s="12" t="inlineStr">
        <is>
          <t>Done</t>
        </is>
      </c>
      <c r="M20" s="12" t="n">
        <v>3</v>
      </c>
      <c r="N20" s="12" t="inlineStr">
        <is>
          <t>Implemented and functionally working; not individually covered by an automated test this session.</t>
        </is>
      </c>
      <c r="O20" s="12" t="str"/>
    </row>
    <row r="21">
      <c r="A21" s="12" t="inlineStr">
        <is>
          <t>US-003-007</t>
        </is>
      </c>
      <c r="B21" s="12" t="inlineStr">
        <is>
          <t>EP-003</t>
        </is>
      </c>
      <c r="C21" s="12" t="inlineStr">
        <is>
          <t>Attendance history</t>
        </is>
      </c>
      <c r="D21" s="12" t="inlineStr">
        <is>
          <t>Employee</t>
        </is>
      </c>
      <c r="E21" s="12" t="inlineStr">
        <is>
          <t>As an employee, I want to view my previous attendance records so that I can verify my working hours.</t>
        </is>
      </c>
      <c r="F21" s="12" t="n">
        <v>4</v>
      </c>
      <c r="G21" s="12" t="str"/>
      <c r="H21" s="12" t="inlineStr">
        <is>
          <t>Claude (AI Engineer)</t>
        </is>
      </c>
      <c r="I21" s="12" t="inlineStr">
        <is>
          <t>Must Have</t>
        </is>
      </c>
      <c r="J21" s="12" t="inlineStr">
        <is>
          <t>MVP</t>
        </is>
      </c>
      <c r="K21" s="12" t="inlineStr">
        <is>
          <t>Week 1</t>
        </is>
      </c>
      <c r="L21" s="12" t="inlineStr">
        <is>
          <t>Done</t>
        </is>
      </c>
      <c r="M21" s="12" t="n">
        <v>3</v>
      </c>
      <c r="N21" s="12" t="inlineStr">
        <is>
          <t>Implemented and functionally working; not individually covered by an automated test this session.</t>
        </is>
      </c>
      <c r="O21" s="12" t="str"/>
    </row>
    <row r="22">
      <c r="A22" s="12" t="inlineStr">
        <is>
          <t>US-003-008</t>
        </is>
      </c>
      <c r="B22" s="12" t="inlineStr">
        <is>
          <t>EP-003</t>
        </is>
      </c>
      <c r="C22" s="12" t="inlineStr">
        <is>
          <t>Administrator live attendance list</t>
        </is>
      </c>
      <c r="D22" s="12" t="inlineStr">
        <is>
          <t>Administrator</t>
        </is>
      </c>
      <c r="E22" s="12" t="inlineStr">
        <is>
          <t>As an administrator, I want to see who is currently clocked in so that I understand current staffing.</t>
        </is>
      </c>
      <c r="F22" s="12" t="n">
        <v>4</v>
      </c>
      <c r="G22" s="12" t="str"/>
      <c r="H22" s="12" t="inlineStr">
        <is>
          <t>Claude (AI Engineer)</t>
        </is>
      </c>
      <c r="I22" s="12" t="inlineStr">
        <is>
          <t>Must Have</t>
        </is>
      </c>
      <c r="J22" s="12" t="inlineStr">
        <is>
          <t>MVP</t>
        </is>
      </c>
      <c r="K22" s="12" t="inlineStr">
        <is>
          <t>Week 1</t>
        </is>
      </c>
      <c r="L22" s="12" t="inlineStr">
        <is>
          <t>Done</t>
        </is>
      </c>
      <c r="M22" s="12" t="n">
        <v>3</v>
      </c>
      <c r="N22" s="12" t="inlineStr">
        <is>
          <t>Implemented and functionally working; not individually covered by an automated test this session.</t>
        </is>
      </c>
      <c r="O22" s="12" t="str"/>
    </row>
    <row r="23">
      <c r="A23" s="12" t="inlineStr">
        <is>
          <t>US-004-001</t>
        </is>
      </c>
      <c r="B23" s="12" t="inlineStr">
        <is>
          <t>EP-004</t>
        </is>
      </c>
      <c r="C23" s="12" t="inlineStr">
        <is>
          <t>Start break</t>
        </is>
      </c>
      <c r="D23" s="12" t="inlineStr">
        <is>
          <t>Employee</t>
        </is>
      </c>
      <c r="E23" s="12" t="inlineStr">
        <is>
          <t>As an employee, I want to start a break so that non-working break time is tracked.</t>
        </is>
      </c>
      <c r="F23" s="12" t="n">
        <v>4</v>
      </c>
      <c r="G23" s="12" t="str"/>
      <c r="H23" s="12" t="inlineStr">
        <is>
          <t>Claude (AI Engineer)</t>
        </is>
      </c>
      <c r="I23" s="12" t="inlineStr">
        <is>
          <t>Must Have</t>
        </is>
      </c>
      <c r="J23" s="12" t="inlineStr">
        <is>
          <t>MVP</t>
        </is>
      </c>
      <c r="K23" s="12" t="inlineStr">
        <is>
          <t>Week 1</t>
        </is>
      </c>
      <c r="L23" s="12" t="inlineStr">
        <is>
          <t>Done</t>
        </is>
      </c>
      <c r="M23" s="12" t="n">
        <v>3</v>
      </c>
      <c r="N23" s="12" t="inlineStr">
        <is>
          <t>Verified by e2e test: starting a break pauses the active task timer at the same server boundary (BR-005).</t>
        </is>
      </c>
      <c r="O23" s="12" t="str"/>
    </row>
    <row r="24">
      <c r="A24" s="12" t="inlineStr">
        <is>
          <t>US-004-002</t>
        </is>
      </c>
      <c r="B24" s="12" t="inlineStr">
        <is>
          <t>EP-004</t>
        </is>
      </c>
      <c r="C24" s="12" t="inlineStr">
        <is>
          <t>End break</t>
        </is>
      </c>
      <c r="D24" s="12" t="inlineStr">
        <is>
          <t>Employee</t>
        </is>
      </c>
      <c r="E24" s="12" t="inlineStr">
        <is>
          <t>As an employee, I want to end my break so that working time resumes.</t>
        </is>
      </c>
      <c r="F24" s="12" t="n">
        <v>4</v>
      </c>
      <c r="G24" s="12" t="str"/>
      <c r="H24" s="12" t="inlineStr">
        <is>
          <t>Claude (AI Engineer)</t>
        </is>
      </c>
      <c r="I24" s="12" t="inlineStr">
        <is>
          <t>Must Have</t>
        </is>
      </c>
      <c r="J24" s="12" t="inlineStr">
        <is>
          <t>MVP</t>
        </is>
      </c>
      <c r="K24" s="12" t="inlineStr">
        <is>
          <t>Week 1</t>
        </is>
      </c>
      <c r="L24" s="12" t="inlineStr">
        <is>
          <t>Done</t>
        </is>
      </c>
      <c r="M24" s="12" t="n">
        <v>3</v>
      </c>
      <c r="N24" s="12" t="inlineStr">
        <is>
          <t>Verified by e2e test: ending a break does not auto-resume the task (BR-006).</t>
        </is>
      </c>
      <c r="O24" s="12" t="str"/>
    </row>
    <row r="25">
      <c r="A25" s="12" t="inlineStr">
        <is>
          <t>US-004-003</t>
        </is>
      </c>
      <c r="B25" s="12" t="inlineStr">
        <is>
          <t>EP-004</t>
        </is>
      </c>
      <c r="C25" s="12" t="inlineStr">
        <is>
          <t>Multiple breaks in one day</t>
        </is>
      </c>
      <c r="D25" s="12" t="inlineStr">
        <is>
          <t>Employee</t>
        </is>
      </c>
      <c r="E25" s="12" t="inlineStr">
        <is>
          <t>As an employee, I want to take more than one break during a workday so that all break periods are recorded.</t>
        </is>
      </c>
      <c r="F25" s="12" t="n">
        <v>4</v>
      </c>
      <c r="G25" s="12" t="str"/>
      <c r="H25" s="12" t="inlineStr">
        <is>
          <t>Claude (AI Engineer)</t>
        </is>
      </c>
      <c r="I25" s="12" t="inlineStr">
        <is>
          <t>Must Have</t>
        </is>
      </c>
      <c r="J25" s="12" t="inlineStr">
        <is>
          <t>MVP</t>
        </is>
      </c>
      <c r="K25" s="12" t="inlineStr">
        <is>
          <t>Week 1</t>
        </is>
      </c>
      <c r="L25" s="12" t="inlineStr">
        <is>
          <t>Done</t>
        </is>
      </c>
      <c r="M25" s="12" t="n">
        <v>3</v>
      </c>
      <c r="N25" s="12" t="inlineStr">
        <is>
          <t>Verified by e2e test: two sequential breaks in one day each create a separate, non-overlapping record linked to the same attendance session.</t>
        </is>
      </c>
      <c r="O25" s="12" t="str"/>
    </row>
    <row r="26">
      <c r="A26" s="12" t="inlineStr">
        <is>
          <t>US-004-004</t>
        </is>
      </c>
      <c r="B26" s="12" t="inlineStr">
        <is>
          <t>EP-004</t>
        </is>
      </c>
      <c r="C26" s="12" t="inlineStr">
        <is>
          <t>Pause active task when break starts</t>
        </is>
      </c>
      <c r="D26" s="12" t="inlineStr">
        <is>
          <t>Employee</t>
        </is>
      </c>
      <c r="E26" s="12" t="inlineStr">
        <is>
          <t>As an employee, I want an active task timer paused when I start a break so that task time does not include break time.</t>
        </is>
      </c>
      <c r="F26" s="12" t="n">
        <v>4</v>
      </c>
      <c r="G26" s="12" t="str"/>
      <c r="H26" s="12" t="inlineStr">
        <is>
          <t>Claude (AI Engineer)</t>
        </is>
      </c>
      <c r="I26" s="12" t="inlineStr">
        <is>
          <t>Must Have</t>
        </is>
      </c>
      <c r="J26" s="12" t="inlineStr">
        <is>
          <t>MVP</t>
        </is>
      </c>
      <c r="K26" s="12" t="inlineStr">
        <is>
          <t>Week 1</t>
        </is>
      </c>
      <c r="L26" s="12" t="inlineStr">
        <is>
          <t>Done</t>
        </is>
      </c>
      <c r="M26" s="12" t="n">
        <v>3</v>
      </c>
      <c r="N26" s="12" t="inlineStr">
        <is>
          <t>Verified by e2e test (BR-005): active timer closed atomically when break starts; caller is told which task paused.</t>
        </is>
      </c>
      <c r="O26" s="12" t="str"/>
    </row>
    <row r="27">
      <c r="A27" s="12" t="inlineStr">
        <is>
          <t>US-004-005</t>
        </is>
      </c>
      <c r="B27" s="12" t="inlineStr">
        <is>
          <t>EP-004</t>
        </is>
      </c>
      <c r="C27" s="12" t="inlineStr">
        <is>
          <t>Break history</t>
        </is>
      </c>
      <c r="D27" s="12" t="inlineStr">
        <is>
          <t>Employee</t>
        </is>
      </c>
      <c r="E27" s="12" t="inlineStr">
        <is>
          <t>As an employee, I want to view breaks within each attendance day.</t>
        </is>
      </c>
      <c r="F27" s="12" t="n">
        <v>4</v>
      </c>
      <c r="G27" s="12" t="str"/>
      <c r="H27" s="12" t="inlineStr">
        <is>
          <t>Claude (AI Engineer)</t>
        </is>
      </c>
      <c r="I27" s="12" t="inlineStr">
        <is>
          <t>Must Have</t>
        </is>
      </c>
      <c r="J27" s="12" t="inlineStr">
        <is>
          <t>MVP</t>
        </is>
      </c>
      <c r="K27" s="12" t="inlineStr">
        <is>
          <t>Week 1</t>
        </is>
      </c>
      <c r="L27" s="12" t="inlineStr">
        <is>
          <t>Done</t>
        </is>
      </c>
      <c r="M27" s="12" t="n">
        <v>3</v>
      </c>
      <c r="N27" s="12" t="inlineStr">
        <is>
          <t>Implemented and functionally working; not individually covered by an automated test this session.</t>
        </is>
      </c>
      <c r="O27" s="12" t="str"/>
    </row>
    <row r="28">
      <c r="A28" s="12" t="inlineStr">
        <is>
          <t>US-004-006</t>
        </is>
      </c>
      <c r="B28" s="12" t="inlineStr">
        <is>
          <t>EP-004</t>
        </is>
      </c>
      <c r="C28" s="12" t="inlineStr">
        <is>
          <t>Administrator break report</t>
        </is>
      </c>
      <c r="D28" s="12" t="inlineStr">
        <is>
          <t>Administrator</t>
        </is>
      </c>
      <c r="E28" s="12" t="inlineStr">
        <is>
          <t>As an administrator, I want break reporting so that I can review break usage.</t>
        </is>
      </c>
      <c r="F28" s="12" t="n">
        <v>4</v>
      </c>
      <c r="G28" s="12" t="str"/>
      <c r="H28" s="12" t="inlineStr">
        <is>
          <t>Claude (AI Engineer)</t>
        </is>
      </c>
      <c r="I28" s="12" t="inlineStr">
        <is>
          <t>Must Have</t>
        </is>
      </c>
      <c r="J28" s="12" t="inlineStr">
        <is>
          <t>MVP</t>
        </is>
      </c>
      <c r="K28" s="12" t="inlineStr">
        <is>
          <t>Week 1</t>
        </is>
      </c>
      <c r="L28" s="12" t="inlineStr">
        <is>
          <t>Done</t>
        </is>
      </c>
      <c r="M28" s="12" t="n">
        <v>3</v>
      </c>
      <c r="N28" s="12" t="inlineStr">
        <is>
          <t>Implemented and functionally working; not individually covered by an automated test this session.</t>
        </is>
      </c>
      <c r="O28" s="12" t="str"/>
    </row>
    <row r="29">
      <c r="A29" s="12" t="inlineStr">
        <is>
          <t>US-005-001</t>
        </is>
      </c>
      <c r="B29" s="12" t="inlineStr">
        <is>
          <t>EP-005</t>
        </is>
      </c>
      <c r="C29" s="12" t="inlineStr">
        <is>
          <t>Create task</t>
        </is>
      </c>
      <c r="D29" s="12" t="inlineStr">
        <is>
          <t>Administrator</t>
        </is>
      </c>
      <c r="E29" s="12" t="inlineStr">
        <is>
          <t>As an administrator, I want to create a task so that work can be assigned and timed.</t>
        </is>
      </c>
      <c r="F29" s="12" t="n">
        <v>4</v>
      </c>
      <c r="G29" s="12" t="str"/>
      <c r="H29" s="12" t="inlineStr">
        <is>
          <t>Claude (AI Engineer)</t>
        </is>
      </c>
      <c r="I29" s="12" t="inlineStr">
        <is>
          <t>Must Have</t>
        </is>
      </c>
      <c r="J29" s="12" t="inlineStr">
        <is>
          <t>MVP</t>
        </is>
      </c>
      <c r="K29" s="12" t="inlineStr">
        <is>
          <t>Week 1</t>
        </is>
      </c>
      <c r="L29" s="12" t="inlineStr">
        <is>
          <t>Done</t>
        </is>
      </c>
      <c r="M29" s="12" t="n">
        <v>3</v>
      </c>
      <c r="N29" s="12" t="inlineStr">
        <is>
          <t>Verified by e2e test: admin-created task receives a UUID and audit entry.</t>
        </is>
      </c>
      <c r="O29" s="12" t="str"/>
    </row>
    <row r="30">
      <c r="A30" s="12" t="inlineStr">
        <is>
          <t>US-005-002</t>
        </is>
      </c>
      <c r="B30" s="12" t="inlineStr">
        <is>
          <t>EP-005</t>
        </is>
      </c>
      <c r="C30" s="12" t="inlineStr">
        <is>
          <t>Employee creates own task</t>
        </is>
      </c>
      <c r="D30" s="12" t="inlineStr">
        <is>
          <t>Employee</t>
        </is>
      </c>
      <c r="E30" s="12" t="inlineStr">
        <is>
          <t>As an employee, I want to create a task when permitted so that unplanned work can still be tracked.</t>
        </is>
      </c>
      <c r="F30" s="12" t="n">
        <v>4</v>
      </c>
      <c r="G30" s="12" t="str"/>
      <c r="H30" s="12" t="inlineStr">
        <is>
          <t>Claude (AI Engineer)</t>
        </is>
      </c>
      <c r="I30" s="12" t="inlineStr">
        <is>
          <t>Must Have</t>
        </is>
      </c>
      <c r="J30" s="12" t="inlineStr">
        <is>
          <t>MVP</t>
        </is>
      </c>
      <c r="K30" s="12" t="inlineStr">
        <is>
          <t>Week 1</t>
        </is>
      </c>
      <c r="L30" s="12" t="inlineStr">
        <is>
          <t>Done</t>
        </is>
      </c>
      <c r="M30" s="12" t="n">
        <v>3</v>
      </c>
      <c r="N30" s="12" t="inlineStr">
        <is>
          <t>Implemented and functionally working; not individually covered by an automated test this session.</t>
        </is>
      </c>
      <c r="O30" s="12" t="str"/>
    </row>
    <row r="31">
      <c r="A31" s="12" t="inlineStr">
        <is>
          <t>US-005-003</t>
        </is>
      </c>
      <c r="B31" s="12" t="inlineStr">
        <is>
          <t>EP-005</t>
        </is>
      </c>
      <c r="C31" s="12" t="inlineStr">
        <is>
          <t>Assign task to user</t>
        </is>
      </c>
      <c r="D31" s="12" t="inlineStr">
        <is>
          <t>Administrator</t>
        </is>
      </c>
      <c r="E31" s="12" t="inlineStr">
        <is>
          <t>As an administrator, I want to assign a task to an employee so that responsibility is clear.</t>
        </is>
      </c>
      <c r="F31" s="12" t="n">
        <v>4</v>
      </c>
      <c r="G31" s="12" t="str"/>
      <c r="H31" s="12" t="inlineStr">
        <is>
          <t>Claude (AI Engineer)</t>
        </is>
      </c>
      <c r="I31" s="12" t="inlineStr">
        <is>
          <t>Must Have</t>
        </is>
      </c>
      <c r="J31" s="12" t="inlineStr">
        <is>
          <t>MVP</t>
        </is>
      </c>
      <c r="K31" s="12" t="inlineStr">
        <is>
          <t>Week 1</t>
        </is>
      </c>
      <c r="L31" s="12" t="inlineStr">
        <is>
          <t>Done</t>
        </is>
      </c>
      <c r="M31" s="12" t="n">
        <v>3</v>
      </c>
      <c r="N31" s="12" t="inlineStr">
        <is>
          <t>Verified by e2e test: task assignment visible to assignee.</t>
        </is>
      </c>
      <c r="O31" s="12" t="str"/>
    </row>
    <row r="32">
      <c r="A32" s="12" t="inlineStr">
        <is>
          <t>US-005-004</t>
        </is>
      </c>
      <c r="B32" s="12" t="inlineStr">
        <is>
          <t>EP-005</t>
        </is>
      </c>
      <c r="C32" s="12" t="inlineStr">
        <is>
          <t>Set task priority</t>
        </is>
      </c>
      <c r="D32" s="12" t="inlineStr">
        <is>
          <t>Administrator</t>
        </is>
      </c>
      <c r="E32" s="12" t="inlineStr">
        <is>
          <t>As an administrator, I want task priority so that employees can understand relative urgency.</t>
        </is>
      </c>
      <c r="F32" s="12" t="n">
        <v>4</v>
      </c>
      <c r="G32" s="12" t="str"/>
      <c r="H32" s="12" t="inlineStr">
        <is>
          <t>Claude (AI Engineer)</t>
        </is>
      </c>
      <c r="I32" s="12" t="inlineStr">
        <is>
          <t>Must Have</t>
        </is>
      </c>
      <c r="J32" s="12" t="inlineStr">
        <is>
          <t>MVP</t>
        </is>
      </c>
      <c r="K32" s="12" t="inlineStr">
        <is>
          <t>Week 1</t>
        </is>
      </c>
      <c r="L32" s="12" t="inlineStr">
        <is>
          <t>Done</t>
        </is>
      </c>
      <c r="M32" s="12" t="n">
        <v>3</v>
      </c>
      <c r="N32" s="12" t="inlineStr">
        <is>
          <t>Implemented and functionally working; not individually covered by an automated test this session.</t>
        </is>
      </c>
      <c r="O32" s="12" t="str"/>
    </row>
    <row r="33">
      <c r="A33" s="12" t="inlineStr">
        <is>
          <t>US-005-005</t>
        </is>
      </c>
      <c r="B33" s="12" t="inlineStr">
        <is>
          <t>EP-005</t>
        </is>
      </c>
      <c r="C33" s="12" t="inlineStr">
        <is>
          <t>Set estimated time</t>
        </is>
      </c>
      <c r="D33" s="12" t="inlineStr">
        <is>
          <t>Administrator</t>
        </is>
      </c>
      <c r="E33" s="12" t="inlineStr">
        <is>
          <t>As an administrator, I want an estimated task duration so that actual effort can be compared.</t>
        </is>
      </c>
      <c r="F33" s="12" t="n">
        <v>4</v>
      </c>
      <c r="G33" s="12" t="str"/>
      <c r="H33" s="12" t="inlineStr">
        <is>
          <t>Claude (AI Engineer)</t>
        </is>
      </c>
      <c r="I33" s="12" t="inlineStr">
        <is>
          <t>Must Have</t>
        </is>
      </c>
      <c r="J33" s="12" t="inlineStr">
        <is>
          <t>MVP</t>
        </is>
      </c>
      <c r="K33" s="12" t="inlineStr">
        <is>
          <t>Week 1</t>
        </is>
      </c>
      <c r="L33" s="12" t="inlineStr">
        <is>
          <t>Done</t>
        </is>
      </c>
      <c r="M33" s="12" t="n">
        <v>3</v>
      </c>
      <c r="N33" s="12" t="inlineStr">
        <is>
          <t>Implemented and functionally working; not individually covered by an automated test this session.</t>
        </is>
      </c>
      <c r="O33" s="12" t="str"/>
    </row>
    <row r="34">
      <c r="A34" s="12" t="inlineStr">
        <is>
          <t>US-005-006</t>
        </is>
      </c>
      <c r="B34" s="12" t="inlineStr">
        <is>
          <t>EP-005</t>
        </is>
      </c>
      <c r="C34" s="12" t="inlineStr">
        <is>
          <t>Update task status</t>
        </is>
      </c>
      <c r="D34" s="12" t="inlineStr">
        <is>
          <t>Employee</t>
        </is>
      </c>
      <c r="E34" s="12" t="inlineStr">
        <is>
          <t>As an employee, I want to update task status so that progress is visible.</t>
        </is>
      </c>
      <c r="F34" s="12" t="n">
        <v>4</v>
      </c>
      <c r="G34" s="12" t="str"/>
      <c r="H34" s="12" t="inlineStr">
        <is>
          <t>Claude (AI Engineer)</t>
        </is>
      </c>
      <c r="I34" s="12" t="inlineStr">
        <is>
          <t>Must Have</t>
        </is>
      </c>
      <c r="J34" s="12" t="inlineStr">
        <is>
          <t>MVP</t>
        </is>
      </c>
      <c r="K34" s="12" t="inlineStr">
        <is>
          <t>Week 1</t>
        </is>
      </c>
      <c r="L34" s="12" t="inlineStr">
        <is>
          <t>Done</t>
        </is>
      </c>
      <c r="M34" s="12" t="n">
        <v>3</v>
      </c>
      <c r="N34" s="12" t="inlineStr">
        <is>
          <t>Implemented and functionally working; not individually covered by an automated test this session.</t>
        </is>
      </c>
      <c r="O34" s="12" t="str"/>
    </row>
    <row r="35">
      <c r="A35" s="12" t="inlineStr">
        <is>
          <t>US-005-007</t>
        </is>
      </c>
      <c r="B35" s="12" t="inlineStr">
        <is>
          <t>EP-005</t>
        </is>
      </c>
      <c r="C35" s="12" t="inlineStr">
        <is>
          <t>Complete task</t>
        </is>
      </c>
      <c r="D35" s="12" t="inlineStr">
        <is>
          <t>Employee</t>
        </is>
      </c>
      <c r="E35" s="12" t="inlineStr">
        <is>
          <t>As an employee, I want to mark a task completed so that finished work is clearly identified.</t>
        </is>
      </c>
      <c r="F35" s="12" t="n">
        <v>4</v>
      </c>
      <c r="G35" s="12" t="str"/>
      <c r="H35" s="12" t="inlineStr">
        <is>
          <t>Claude (AI Engineer)</t>
        </is>
      </c>
      <c r="I35" s="12" t="inlineStr">
        <is>
          <t>Must Have</t>
        </is>
      </c>
      <c r="J35" s="12" t="inlineStr">
        <is>
          <t>MVP</t>
        </is>
      </c>
      <c r="K35" s="12" t="inlineStr">
        <is>
          <t>Week 1</t>
        </is>
      </c>
      <c r="L35" s="12" t="inlineStr">
        <is>
          <t>Done</t>
        </is>
      </c>
      <c r="M35" s="12" t="n">
        <v>3</v>
      </c>
      <c r="N35" s="12" t="inlineStr">
        <is>
          <t>Implemented and functionally working; not individually covered by an automated test this session.</t>
        </is>
      </c>
      <c r="O35" s="12" t="str"/>
    </row>
    <row r="36">
      <c r="A36" s="12" t="inlineStr">
        <is>
          <t>US-005-008</t>
        </is>
      </c>
      <c r="B36" s="12" t="inlineStr">
        <is>
          <t>EP-005</t>
        </is>
      </c>
      <c r="C36" s="12" t="inlineStr">
        <is>
          <t>My task list</t>
        </is>
      </c>
      <c r="D36" s="12" t="inlineStr">
        <is>
          <t>Employee</t>
        </is>
      </c>
      <c r="E36" s="12" t="inlineStr">
        <is>
          <t>As an employee, I want to see my assigned tasks so that I know what work is available.</t>
        </is>
      </c>
      <c r="F36" s="12" t="n">
        <v>4</v>
      </c>
      <c r="G36" s="12" t="str"/>
      <c r="H36" s="12" t="inlineStr">
        <is>
          <t>Claude (AI Engineer)</t>
        </is>
      </c>
      <c r="I36" s="12" t="inlineStr">
        <is>
          <t>Must Have</t>
        </is>
      </c>
      <c r="J36" s="12" t="inlineStr">
        <is>
          <t>MVP</t>
        </is>
      </c>
      <c r="K36" s="12" t="inlineStr">
        <is>
          <t>Week 1</t>
        </is>
      </c>
      <c r="L36" s="12" t="inlineStr">
        <is>
          <t>Done</t>
        </is>
      </c>
      <c r="M36" s="12" t="n">
        <v>3</v>
      </c>
      <c r="N36" s="12" t="inlineStr">
        <is>
          <t>Implemented and functionally working; not individually covered by an automated test this session.</t>
        </is>
      </c>
      <c r="O36" s="12" t="str"/>
    </row>
    <row r="37">
      <c r="A37" s="12" t="inlineStr">
        <is>
          <t>US-006-001</t>
        </is>
      </c>
      <c r="B37" s="12" t="inlineStr">
        <is>
          <t>EP-006</t>
        </is>
      </c>
      <c r="C37" s="12" t="inlineStr">
        <is>
          <t>Start task timer</t>
        </is>
      </c>
      <c r="D37" s="12" t="inlineStr">
        <is>
          <t>Employee</t>
        </is>
      </c>
      <c r="E37" s="12" t="inlineStr">
        <is>
          <t>As an employee, I want to start a timer on a task so that actual task effort is recorded.</t>
        </is>
      </c>
      <c r="F37" s="12" t="n">
        <v>4</v>
      </c>
      <c r="G37" s="12" t="str"/>
      <c r="H37" s="12" t="inlineStr">
        <is>
          <t>Claude (AI Engineer)</t>
        </is>
      </c>
      <c r="I37" s="12" t="inlineStr">
        <is>
          <t>Must Have</t>
        </is>
      </c>
      <c r="J37" s="12" t="inlineStr">
        <is>
          <t>MVP</t>
        </is>
      </c>
      <c r="K37" s="12" t="inlineStr">
        <is>
          <t>Week 1</t>
        </is>
      </c>
      <c r="L37" s="12" t="inlineStr">
        <is>
          <t>Done</t>
        </is>
      </c>
      <c r="M37" s="12" t="n">
        <v>3</v>
      </c>
      <c r="N37" s="12" t="inlineStr">
        <is>
          <t>Verified by e2e test: requires clocked-in/not-on-break, rejects when already running (BR-003 via DB partial unique index).</t>
        </is>
      </c>
      <c r="O37" s="12" t="str"/>
    </row>
    <row r="38">
      <c r="A38" s="12" t="inlineStr">
        <is>
          <t>US-006-002</t>
        </is>
      </c>
      <c r="B38" s="12" t="inlineStr">
        <is>
          <t>EP-006</t>
        </is>
      </c>
      <c r="C38" s="12" t="inlineStr">
        <is>
          <t>Global active timer display</t>
        </is>
      </c>
      <c r="D38" s="12" t="inlineStr">
        <is>
          <t>Employee</t>
        </is>
      </c>
      <c r="E38" s="12" t="inlineStr">
        <is>
          <t>As an employee, I want the running task timer visible throughout the application so that I always know what is being tracked.</t>
        </is>
      </c>
      <c r="F38" s="12" t="n">
        <v>4</v>
      </c>
      <c r="G38" s="12" t="str"/>
      <c r="H38" s="12" t="inlineStr">
        <is>
          <t>Claude (AI Engineer)</t>
        </is>
      </c>
      <c r="I38" s="12" t="inlineStr">
        <is>
          <t>Must Have</t>
        </is>
      </c>
      <c r="J38" s="12" t="inlineStr">
        <is>
          <t>MVP</t>
        </is>
      </c>
      <c r="K38" s="12" t="inlineStr">
        <is>
          <t>Week 1</t>
        </is>
      </c>
      <c r="L38" s="12" t="inlineStr">
        <is>
          <t>Done</t>
        </is>
      </c>
      <c r="M38" s="12" t="n">
        <v>3</v>
      </c>
      <c r="N38" s="12" t="inlineStr">
        <is>
          <t>Implemented and functionally working; not individually covered by an automated test this session.</t>
        </is>
      </c>
      <c r="O38" s="12" t="str"/>
    </row>
    <row r="39">
      <c r="A39" s="12" t="inlineStr">
        <is>
          <t>US-006-003</t>
        </is>
      </c>
      <c r="B39" s="12" t="inlineStr">
        <is>
          <t>EP-006</t>
        </is>
      </c>
      <c r="C39" s="12" t="inlineStr">
        <is>
          <t>Pause task timer</t>
        </is>
      </c>
      <c r="D39" s="12" t="inlineStr">
        <is>
          <t>Employee</t>
        </is>
      </c>
      <c r="E39" s="12" t="inlineStr">
        <is>
          <t>As an employee, I want to pause task tracking so that non-task time is not recorded.</t>
        </is>
      </c>
      <c r="F39" s="12" t="n">
        <v>4</v>
      </c>
      <c r="G39" s="12" t="str"/>
      <c r="H39" s="12" t="inlineStr">
        <is>
          <t>Claude (AI Engineer)</t>
        </is>
      </c>
      <c r="I39" s="12" t="inlineStr">
        <is>
          <t>Must Have</t>
        </is>
      </c>
      <c r="J39" s="12" t="inlineStr">
        <is>
          <t>MVP</t>
        </is>
      </c>
      <c r="K39" s="12" t="inlineStr">
        <is>
          <t>Week 1</t>
        </is>
      </c>
      <c r="L39" s="12" t="inlineStr">
        <is>
          <t>Done</t>
        </is>
      </c>
      <c r="M39" s="12" t="n">
        <v>3</v>
      </c>
      <c r="N39" s="12" t="inlineStr">
        <is>
          <t>Implemented; pause closes the current segment. Covered indirectly by switch/stop e2e assertions.</t>
        </is>
      </c>
      <c r="O39" s="12" t="str"/>
    </row>
    <row r="40">
      <c r="A40" s="12" t="inlineStr">
        <is>
          <t>US-006-004</t>
        </is>
      </c>
      <c r="B40" s="12" t="inlineStr">
        <is>
          <t>EP-006</t>
        </is>
      </c>
      <c r="C40" s="12" t="inlineStr">
        <is>
          <t>Resume task timer</t>
        </is>
      </c>
      <c r="D40" s="12" t="inlineStr">
        <is>
          <t>Employee</t>
        </is>
      </c>
      <c r="E40" s="12" t="inlineStr">
        <is>
          <t>As an employee, I want to resume a paused task so that tracking continues.</t>
        </is>
      </c>
      <c r="F40" s="12" t="n">
        <v>4</v>
      </c>
      <c r="G40" s="12" t="str"/>
      <c r="H40" s="12" t="inlineStr">
        <is>
          <t>Claude (AI Engineer)</t>
        </is>
      </c>
      <c r="I40" s="12" t="inlineStr">
        <is>
          <t>Must Have</t>
        </is>
      </c>
      <c r="J40" s="12" t="inlineStr">
        <is>
          <t>MVP</t>
        </is>
      </c>
      <c r="K40" s="12" t="inlineStr">
        <is>
          <t>Week 1</t>
        </is>
      </c>
      <c r="L40" s="12" t="inlineStr">
        <is>
          <t>Done</t>
        </is>
      </c>
      <c r="M40" s="12" t="n">
        <v>3</v>
      </c>
      <c r="N40" s="12" t="inlineStr">
        <is>
          <t>Verified by e2e test: resume after break creates a new segment; only one active timer afterward.</t>
        </is>
      </c>
      <c r="O40" s="12" t="str"/>
    </row>
    <row r="41">
      <c r="A41" s="12" t="inlineStr">
        <is>
          <t>US-006-005</t>
        </is>
      </c>
      <c r="B41" s="12" t="inlineStr">
        <is>
          <t>EP-006</t>
        </is>
      </c>
      <c r="C41" s="12" t="inlineStr">
        <is>
          <t>Stop task timer</t>
        </is>
      </c>
      <c r="D41" s="12" t="inlineStr">
        <is>
          <t>Employee</t>
        </is>
      </c>
      <c r="E41" s="12" t="inlineStr">
        <is>
          <t>As an employee, I want to stop task tracking so that the task time entry is finalised.</t>
        </is>
      </c>
      <c r="F41" s="12" t="n">
        <v>4</v>
      </c>
      <c r="G41" s="12" t="str"/>
      <c r="H41" s="12" t="inlineStr">
        <is>
          <t>Claude (AI Engineer)</t>
        </is>
      </c>
      <c r="I41" s="12" t="inlineStr">
        <is>
          <t>Must Have</t>
        </is>
      </c>
      <c r="J41" s="12" t="inlineStr">
        <is>
          <t>MVP</t>
        </is>
      </c>
      <c r="K41" s="12" t="inlineStr">
        <is>
          <t>Week 1</t>
        </is>
      </c>
      <c r="L41" s="12" t="inlineStr">
        <is>
          <t>Done</t>
        </is>
      </c>
      <c r="M41" s="12" t="n">
        <v>3</v>
      </c>
      <c r="N41" s="12" t="inlineStr">
        <is>
          <t>Implemented and functionally working; not individually covered by an automated test this session.</t>
        </is>
      </c>
      <c r="O41" s="12" t="str"/>
    </row>
    <row r="42">
      <c r="A42" s="12" t="inlineStr">
        <is>
          <t>US-006-006</t>
        </is>
      </c>
      <c r="B42" s="12" t="inlineStr">
        <is>
          <t>EP-006</t>
        </is>
      </c>
      <c r="C42" s="12" t="inlineStr">
        <is>
          <t>Switch task</t>
        </is>
      </c>
      <c r="D42" s="12" t="inlineStr">
        <is>
          <t>Employee</t>
        </is>
      </c>
      <c r="E42" s="12" t="inlineStr">
        <is>
          <t>As an employee, I want to switch directly to another task so that work transitions are captured accurately.</t>
        </is>
      </c>
      <c r="F42" s="12" t="n">
        <v>4</v>
      </c>
      <c r="G42" s="12" t="str"/>
      <c r="H42" s="12" t="inlineStr">
        <is>
          <t>Claude (AI Engineer)</t>
        </is>
      </c>
      <c r="I42" s="12" t="inlineStr">
        <is>
          <t>Must Have</t>
        </is>
      </c>
      <c r="J42" s="12" t="inlineStr">
        <is>
          <t>MVP</t>
        </is>
      </c>
      <c r="K42" s="12" t="inlineStr">
        <is>
          <t>Week 1</t>
        </is>
      </c>
      <c r="L42" s="12" t="inlineStr">
        <is>
          <t>Done</t>
        </is>
      </c>
      <c r="M42" s="12" t="n">
        <v>3</v>
      </c>
      <c r="N42" s="12" t="inlineStr">
        <is>
          <t>Implemented and manually browser-tested: stop+start at one consistent boundary, no overlap.</t>
        </is>
      </c>
      <c r="O42" s="12" t="str"/>
    </row>
    <row r="43">
      <c r="A43" s="12" t="inlineStr">
        <is>
          <t>US-006-007</t>
        </is>
      </c>
      <c r="B43" s="12" t="inlineStr">
        <is>
          <t>EP-006</t>
        </is>
      </c>
      <c r="C43" s="12" t="inlineStr">
        <is>
          <t>Prevent concurrent task timers</t>
        </is>
      </c>
      <c r="D43" s="12" t="inlineStr">
        <is>
          <t>System Administrator</t>
        </is>
      </c>
      <c r="E43" s="12" t="inlineStr">
        <is>
          <t>As a system administrator, I want concurrent task timers prevented so that time is not double counted.</t>
        </is>
      </c>
      <c r="F43" s="12" t="n">
        <v>4</v>
      </c>
      <c r="G43" s="12" t="str"/>
      <c r="H43" s="12" t="inlineStr">
        <is>
          <t>Claude (AI Engineer)</t>
        </is>
      </c>
      <c r="I43" s="12" t="inlineStr">
        <is>
          <t>Must Have</t>
        </is>
      </c>
      <c r="J43" s="12" t="inlineStr">
        <is>
          <t>MVP</t>
        </is>
      </c>
      <c r="K43" s="12" t="inlineStr">
        <is>
          <t>Week 1</t>
        </is>
      </c>
      <c r="L43" s="12" t="inlineStr">
        <is>
          <t>Done</t>
        </is>
      </c>
      <c r="M43" s="12" t="n">
        <v>3</v>
      </c>
      <c r="N43" s="12" t="inlineStr">
        <is>
          <t>Verified by e2e test: second concurrent timer rejected with existing-timer info in the response body.</t>
        </is>
      </c>
      <c r="O43" s="12" t="str"/>
    </row>
    <row r="44">
      <c r="A44" s="12" t="inlineStr">
        <is>
          <t>US-006-008</t>
        </is>
      </c>
      <c r="B44" s="12" t="inlineStr">
        <is>
          <t>EP-006</t>
        </is>
      </c>
      <c r="C44" s="12" t="inlineStr">
        <is>
          <t>Timer survives browser refresh</t>
        </is>
      </c>
      <c r="D44" s="12" t="inlineStr">
        <is>
          <t>Employee</t>
        </is>
      </c>
      <c r="E44" s="12" t="inlineStr">
        <is>
          <t>As an employee, I want the timer to continue if I refresh or close the page so that time is not lost.</t>
        </is>
      </c>
      <c r="F44" s="12" t="n">
        <v>4</v>
      </c>
      <c r="G44" s="12" t="str"/>
      <c r="H44" s="12" t="inlineStr">
        <is>
          <t>Claude (AI Engineer)</t>
        </is>
      </c>
      <c r="I44" s="12" t="inlineStr">
        <is>
          <t>Must Have</t>
        </is>
      </c>
      <c r="J44" s="12" t="inlineStr">
        <is>
          <t>MVP</t>
        </is>
      </c>
      <c r="K44" s="12" t="inlineStr">
        <is>
          <t>Week 1</t>
        </is>
      </c>
      <c r="L44" s="12" t="inlineStr">
        <is>
          <t>Done</t>
        </is>
      </c>
      <c r="M44" s="12" t="n">
        <v>3</v>
      </c>
      <c r="N44" s="12" t="inlineStr">
        <is>
          <t>Architecturally guaranteed — no per-second writes, elapsed time is always recomputed client-side from the stored start timestamp. Not explicitly browser-refresh-tested this session.</t>
        </is>
      </c>
      <c r="O44" s="12" t="str"/>
    </row>
    <row r="45">
      <c r="A45" s="12" t="inlineStr">
        <is>
          <t>US-006-009</t>
        </is>
      </c>
      <c r="B45" s="12" t="inlineStr">
        <is>
          <t>EP-006</t>
        </is>
      </c>
      <c r="C45" s="12" t="inlineStr">
        <is>
          <t>Daily task time log</t>
        </is>
      </c>
      <c r="D45" s="12" t="inlineStr">
        <is>
          <t>Employee</t>
        </is>
      </c>
      <c r="E45" s="12" t="inlineStr">
        <is>
          <t>As an employee, I want to see task time intervals for a day so that I can verify what I worked on.</t>
        </is>
      </c>
      <c r="F45" s="12" t="n">
        <v>4</v>
      </c>
      <c r="G45" s="12" t="str"/>
      <c r="H45" s="12" t="inlineStr">
        <is>
          <t>Claude (AI Engineer)</t>
        </is>
      </c>
      <c r="I45" s="12" t="inlineStr">
        <is>
          <t>Must Have</t>
        </is>
      </c>
      <c r="J45" s="12" t="inlineStr">
        <is>
          <t>MVP</t>
        </is>
      </c>
      <c r="K45" s="12" t="inlineStr">
        <is>
          <t>Week 1</t>
        </is>
      </c>
      <c r="L45" s="12" t="inlineStr">
        <is>
          <t>Done</t>
        </is>
      </c>
      <c r="M45" s="12" t="n">
        <v>3</v>
      </c>
      <c r="N45" s="12" t="inlineStr">
        <is>
          <t>Implemented and functionally working; not individually covered by an automated test this session.</t>
        </is>
      </c>
      <c r="O45" s="12" t="str"/>
    </row>
    <row r="46">
      <c r="A46" s="12" t="inlineStr">
        <is>
          <t>US-006-010</t>
        </is>
      </c>
      <c r="B46" s="12" t="inlineStr">
        <is>
          <t>EP-006</t>
        </is>
      </c>
      <c r="C46" s="12" t="inlineStr">
        <is>
          <t>Task estimate versus actual</t>
        </is>
      </c>
      <c r="D46" s="12" t="inlineStr">
        <is>
          <t>Employee</t>
        </is>
      </c>
      <c r="E46" s="12" t="inlineStr">
        <is>
          <t>As an employee, I want to compare estimated and actual task time so that I can understand overruns.</t>
        </is>
      </c>
      <c r="F46" s="12" t="n">
        <v>4</v>
      </c>
      <c r="G46" s="12" t="str"/>
      <c r="H46" s="12" t="inlineStr">
        <is>
          <t>Claude (AI Engineer)</t>
        </is>
      </c>
      <c r="I46" s="12" t="inlineStr">
        <is>
          <t>Must Have</t>
        </is>
      </c>
      <c r="J46" s="12" t="inlineStr">
        <is>
          <t>MVP</t>
        </is>
      </c>
      <c r="K46" s="12" t="inlineStr">
        <is>
          <t>Week 1</t>
        </is>
      </c>
      <c r="L46" s="12" t="inlineStr">
        <is>
          <t>Done</t>
        </is>
      </c>
      <c r="M46" s="12" t="n">
        <v>3</v>
      </c>
      <c r="N46" s="12" t="inlineStr">
        <is>
          <t>Implemented and functionally working; not individually covered by an automated test this session.</t>
        </is>
      </c>
      <c r="O46" s="12" t="str"/>
    </row>
    <row r="47">
      <c r="A47" s="12" t="inlineStr">
        <is>
          <t>US-007-001</t>
        </is>
      </c>
      <c r="B47" s="12" t="inlineStr">
        <is>
          <t>EP-007</t>
        </is>
      </c>
      <c r="C47" s="12" t="inlineStr">
        <is>
          <t>Calculate net working time</t>
        </is>
      </c>
      <c r="D47" s="12" t="inlineStr">
        <is>
          <t>System</t>
        </is>
      </c>
      <c r="E47" s="12" t="inlineStr">
        <is>
          <t>As the system, I want to calculate net working time so that attendance is accurate.</t>
        </is>
      </c>
      <c r="F47" s="12" t="n">
        <v>4</v>
      </c>
      <c r="G47" s="12" t="str"/>
      <c r="H47" s="12" t="inlineStr">
        <is>
          <t>Claude (AI Engineer)</t>
        </is>
      </c>
      <c r="I47" s="12" t="inlineStr">
        <is>
          <t>Must Have</t>
        </is>
      </c>
      <c r="J47" s="12" t="inlineStr">
        <is>
          <t>MVP</t>
        </is>
      </c>
      <c r="K47" s="12" t="inlineStr">
        <is>
          <t>Week 1</t>
        </is>
      </c>
      <c r="L47" s="12" t="inlineStr">
        <is>
          <t>Done</t>
        </is>
      </c>
      <c r="M47" s="12" t="n">
        <v>3</v>
      </c>
      <c r="N47" s="12" t="inlineStr">
        <is>
          <t>Verified by unit test (exact SRS worked example: 7h30m worked, 6h45m tasked, 45m unallocated) and e2e test.</t>
        </is>
      </c>
      <c r="O47" s="12" t="str"/>
    </row>
    <row r="48">
      <c r="A48" s="12" t="inlineStr">
        <is>
          <t>US-007-002</t>
        </is>
      </c>
      <c r="B48" s="12" t="inlineStr">
        <is>
          <t>EP-007</t>
        </is>
      </c>
      <c r="C48" s="12" t="inlineStr">
        <is>
          <t>Calculate task time</t>
        </is>
      </c>
      <c r="D48" s="12" t="inlineStr">
        <is>
          <t>System</t>
        </is>
      </c>
      <c r="E48" s="12" t="inlineStr">
        <is>
          <t>As the system, I want to calculate total task time for a day so that recorded activity is measurable.</t>
        </is>
      </c>
      <c r="F48" s="12" t="n">
        <v>4</v>
      </c>
      <c r="G48" s="12" t="str"/>
      <c r="H48" s="12" t="inlineStr">
        <is>
          <t>Claude (AI Engineer)</t>
        </is>
      </c>
      <c r="I48" s="12" t="inlineStr">
        <is>
          <t>Must Have</t>
        </is>
      </c>
      <c r="J48" s="12" t="inlineStr">
        <is>
          <t>MVP</t>
        </is>
      </c>
      <c r="K48" s="12" t="inlineStr">
        <is>
          <t>Week 1</t>
        </is>
      </c>
      <c r="L48" s="12" t="inlineStr">
        <is>
          <t>Done</t>
        </is>
      </c>
      <c r="M48" s="12" t="n">
        <v>3</v>
      </c>
      <c r="N48" s="12" t="inlineStr">
        <is>
          <t>Verified by unit test and e2e test.</t>
        </is>
      </c>
      <c r="O48" s="12" t="str"/>
    </row>
    <row r="49">
      <c r="A49" s="12" t="inlineStr">
        <is>
          <t>US-007-003</t>
        </is>
      </c>
      <c r="B49" s="12" t="inlineStr">
        <is>
          <t>EP-007</t>
        </is>
      </c>
      <c r="C49" s="12" t="inlineStr">
        <is>
          <t>Calculate unallocated time</t>
        </is>
      </c>
      <c r="D49" s="12" t="inlineStr">
        <is>
          <t>Employee</t>
        </is>
      </c>
      <c r="E49" s="12" t="inlineStr">
        <is>
          <t>As an employee, I want to see unallocated working time so that I can identify missing task tracking.</t>
        </is>
      </c>
      <c r="F49" s="12" t="n">
        <v>4</v>
      </c>
      <c r="G49" s="12" t="str"/>
      <c r="H49" s="12" t="inlineStr">
        <is>
          <t>Claude (AI Engineer)</t>
        </is>
      </c>
      <c r="I49" s="12" t="inlineStr">
        <is>
          <t>Must Have</t>
        </is>
      </c>
      <c r="J49" s="12" t="inlineStr">
        <is>
          <t>MVP</t>
        </is>
      </c>
      <c r="K49" s="12" t="inlineStr">
        <is>
          <t>Week 1</t>
        </is>
      </c>
      <c r="L49" s="12" t="inlineStr">
        <is>
          <t>Done</t>
        </is>
      </c>
      <c r="M49" s="12" t="n">
        <v>3</v>
      </c>
      <c r="N49" s="12" t="inlineStr">
        <is>
          <t>Verified by unit test (never negative) and e2e test.</t>
        </is>
      </c>
      <c r="O49" s="12" t="str"/>
    </row>
    <row r="50">
      <c r="A50" s="12" t="inlineStr">
        <is>
          <t>US-007-004</t>
        </is>
      </c>
      <c r="B50" s="12" t="inlineStr">
        <is>
          <t>EP-007</t>
        </is>
      </c>
      <c r="C50" s="12" t="inlineStr">
        <is>
          <t>Flag task time exceeding attendance</t>
        </is>
      </c>
      <c r="D50" s="12" t="inlineStr">
        <is>
          <t>Administrator</t>
        </is>
      </c>
      <c r="E50" s="12" t="inlineStr">
        <is>
          <t>As an administrator, I want impossible time relationships flagged so that data quality issues are corrected.</t>
        </is>
      </c>
      <c r="F50" s="12" t="n">
        <v>4</v>
      </c>
      <c r="G50" s="12" t="str"/>
      <c r="H50" s="12" t="inlineStr">
        <is>
          <t>Claude (AI Engineer)</t>
        </is>
      </c>
      <c r="I50" s="12" t="inlineStr">
        <is>
          <t>Must Have</t>
        </is>
      </c>
      <c r="J50" s="12" t="inlineStr">
        <is>
          <t>MVP</t>
        </is>
      </c>
      <c r="K50" s="12" t="inlineStr">
        <is>
          <t>Week 1</t>
        </is>
      </c>
      <c r="L50" s="12" t="inlineStr">
        <is>
          <t>Done</t>
        </is>
      </c>
      <c r="M50" s="12" t="n">
        <v>3</v>
      </c>
      <c r="N50" s="12" t="inlineStr">
        <is>
          <t>Verified by unit test: task time exceeding attendance flags hasDataQualityException without altering original records. No dedicated admin exception-review screen yet — surfaced via My Day badge and reconciliation payload only.</t>
        </is>
      </c>
      <c r="O50" s="12" t="str"/>
    </row>
    <row r="51">
      <c r="A51" s="12" t="inlineStr">
        <is>
          <t>US-007-005</t>
        </is>
      </c>
      <c r="B51" s="12" t="inlineStr">
        <is>
          <t>EP-007</t>
        </is>
      </c>
      <c r="C51" s="12" t="inlineStr">
        <is>
          <t>Daily activity timeline</t>
        </is>
      </c>
      <c r="D51" s="12" t="inlineStr">
        <is>
          <t>Employee</t>
        </is>
      </c>
      <c r="E51" s="12" t="inlineStr">
        <is>
          <t>As an employee, I want one timeline of attendance, breaks and task activity so that my workday is understandable.</t>
        </is>
      </c>
      <c r="F51" s="12" t="n">
        <v>4</v>
      </c>
      <c r="G51" s="12" t="str"/>
      <c r="H51" s="12" t="inlineStr">
        <is>
          <t>Claude (AI Engineer)</t>
        </is>
      </c>
      <c r="I51" s="12" t="inlineStr">
        <is>
          <t>Must Have</t>
        </is>
      </c>
      <c r="J51" s="12" t="inlineStr">
        <is>
          <t>MVP</t>
        </is>
      </c>
      <c r="K51" s="12" t="inlineStr">
        <is>
          <t>Week 1</t>
        </is>
      </c>
      <c r="L51" s="12" t="inlineStr">
        <is>
          <t>Done</t>
        </is>
      </c>
      <c r="M51" s="12" t="n">
        <v>3</v>
      </c>
      <c r="N51" s="12" t="inlineStr">
        <is>
          <t>Implemented and functionally working; not individually covered by an automated test this session.</t>
        </is>
      </c>
      <c r="O51" s="12" t="str"/>
    </row>
    <row r="52">
      <c r="A52" s="12" t="inlineStr">
        <is>
          <t>US-008-001</t>
        </is>
      </c>
      <c r="B52" s="12" t="inlineStr">
        <is>
          <t>EP-008</t>
        </is>
      </c>
      <c r="C52" s="12" t="inlineStr">
        <is>
          <t>Employee My Day dashboard</t>
        </is>
      </c>
      <c r="D52" s="12" t="inlineStr">
        <is>
          <t>Employee</t>
        </is>
      </c>
      <c r="E52" s="12" t="inlineStr">
        <is>
          <t>As an employee, I want a single dashboard for attendance, break status, current task and totals so that daily actions are simple.</t>
        </is>
      </c>
      <c r="F52" s="12" t="n">
        <v>4</v>
      </c>
      <c r="G52" s="12" t="str"/>
      <c r="H52" s="12" t="inlineStr">
        <is>
          <t>Claude (AI Engineer)</t>
        </is>
      </c>
      <c r="I52" s="12" t="inlineStr">
        <is>
          <t>Must Have</t>
        </is>
      </c>
      <c r="J52" s="12" t="inlineStr">
        <is>
          <t>MVP</t>
        </is>
      </c>
      <c r="K52" s="12" t="inlineStr">
        <is>
          <t>Week 1</t>
        </is>
      </c>
      <c r="L52" s="12" t="inlineStr">
        <is>
          <t>Done</t>
        </is>
      </c>
      <c r="M52" s="12" t="n">
        <v>3</v>
      </c>
      <c r="N52" s="12" t="inlineStr">
        <is>
          <t>Implemented and functionally working; not individually covered by an automated test this session.</t>
        </is>
      </c>
      <c r="O52" s="12" t="str"/>
    </row>
    <row r="53">
      <c r="A53" s="12" t="inlineStr">
        <is>
          <t>US-008-002</t>
        </is>
      </c>
      <c r="B53" s="12" t="inlineStr">
        <is>
          <t>EP-008</t>
        </is>
      </c>
      <c r="C53" s="12" t="inlineStr">
        <is>
          <t>Administrator dashboard KPIs</t>
        </is>
      </c>
      <c r="D53" s="12" t="inlineStr">
        <is>
          <t>Administrator</t>
        </is>
      </c>
      <c r="E53" s="12" t="inlineStr">
        <is>
          <t>As an administrator, I want high-level daily KPIs so that I can understand current workforce activity.</t>
        </is>
      </c>
      <c r="F53" s="12" t="n">
        <v>4</v>
      </c>
      <c r="G53" s="12" t="str"/>
      <c r="H53" s="12" t="inlineStr">
        <is>
          <t>Claude (AI Engineer)</t>
        </is>
      </c>
      <c r="I53" s="12" t="inlineStr">
        <is>
          <t>Must Have</t>
        </is>
      </c>
      <c r="J53" s="12" t="inlineStr">
        <is>
          <t>MVP</t>
        </is>
      </c>
      <c r="K53" s="12" t="inlineStr">
        <is>
          <t>Week 1</t>
        </is>
      </c>
      <c r="L53" s="12" t="inlineStr">
        <is>
          <t>Done</t>
        </is>
      </c>
      <c r="M53" s="12" t="n">
        <v>3</v>
      </c>
      <c r="N53" s="12" t="inlineStr">
        <is>
          <t>Implemented and functionally working; not individually covered by an automated test this session.</t>
        </is>
      </c>
      <c r="O53" s="12" t="str"/>
    </row>
    <row r="54">
      <c r="A54" s="12" t="inlineStr">
        <is>
          <t>US-008-003</t>
        </is>
      </c>
      <c r="B54" s="12" t="inlineStr">
        <is>
          <t>EP-008</t>
        </is>
      </c>
      <c r="C54" s="12" t="inlineStr">
        <is>
          <t>Live user activity table</t>
        </is>
      </c>
      <c r="D54" s="12" t="inlineStr">
        <is>
          <t>Administrator</t>
        </is>
      </c>
      <c r="E54" s="12" t="inlineStr">
        <is>
          <t>As an administrator, I want a live table of user status so that I can see current attendance and task activity.</t>
        </is>
      </c>
      <c r="F54" s="12" t="n">
        <v>4</v>
      </c>
      <c r="G54" s="12" t="str"/>
      <c r="H54" s="12" t="inlineStr">
        <is>
          <t>Claude (AI Engineer)</t>
        </is>
      </c>
      <c r="I54" s="12" t="inlineStr">
        <is>
          <t>Must Have</t>
        </is>
      </c>
      <c r="J54" s="12" t="inlineStr">
        <is>
          <t>MVP</t>
        </is>
      </c>
      <c r="K54" s="12" t="inlineStr">
        <is>
          <t>Week 1</t>
        </is>
      </c>
      <c r="L54" s="12" t="inlineStr">
        <is>
          <t>Done</t>
        </is>
      </c>
      <c r="M54" s="12" t="n">
        <v>3</v>
      </c>
      <c r="N54" s="12" t="inlineStr">
        <is>
          <t>Implemented and functionally working; not individually covered by an automated test this session.</t>
        </is>
      </c>
      <c r="O54" s="12" t="str"/>
    </row>
    <row r="55">
      <c r="A55" s="12" t="inlineStr">
        <is>
          <t>US-008-004</t>
        </is>
      </c>
      <c r="B55" s="12" t="inlineStr">
        <is>
          <t>EP-008</t>
        </is>
      </c>
      <c r="C55" s="12" t="inlineStr">
        <is>
          <t>Task dashboard</t>
        </is>
      </c>
      <c r="D55" s="12" t="inlineStr">
        <is>
          <t>Administrator</t>
        </is>
      </c>
      <c r="E55" s="12" t="inlineStr">
        <is>
          <t>As an administrator, I want task status summaries so that I can identify active, overdue and completed work.</t>
        </is>
      </c>
      <c r="F55" s="12" t="n">
        <v>4</v>
      </c>
      <c r="G55" s="12" t="str"/>
      <c r="H55" s="12" t="inlineStr">
        <is>
          <t>Claude (AI Engineer)</t>
        </is>
      </c>
      <c r="I55" s="12" t="inlineStr">
        <is>
          <t>Must Have</t>
        </is>
      </c>
      <c r="J55" s="12" t="inlineStr">
        <is>
          <t>MVP</t>
        </is>
      </c>
      <c r="K55" s="12" t="inlineStr">
        <is>
          <t>Week 1</t>
        </is>
      </c>
      <c r="L55" s="12" t="inlineStr">
        <is>
          <t>Done</t>
        </is>
      </c>
      <c r="M55" s="12" t="n">
        <v>3</v>
      </c>
      <c r="N55" s="12" t="inlineStr">
        <is>
          <t>Implemented and functionally working; not individually covered by an automated test this session.</t>
        </is>
      </c>
      <c r="O55" s="12" t="str"/>
    </row>
    <row r="56">
      <c r="A56" s="12" t="inlineStr">
        <is>
          <t>US-008-005</t>
        </is>
      </c>
      <c r="B56" s="12" t="inlineStr">
        <is>
          <t>EP-008</t>
        </is>
      </c>
      <c r="C56" s="12" t="inlineStr">
        <is>
          <t>Responsive dashboard</t>
        </is>
      </c>
      <c r="D56" s="12" t="inlineStr">
        <is>
          <t>Employee</t>
        </is>
      </c>
      <c r="E56" s="12" t="inlineStr">
        <is>
          <t>As a user, I want dashboards usable on phone and desktop so that I can clock and track tasks from different devices.</t>
        </is>
      </c>
      <c r="F56" s="12" t="n">
        <v>4</v>
      </c>
      <c r="G56" s="12" t="str"/>
      <c r="H56" s="12" t="inlineStr">
        <is>
          <t>Claude (AI Engineer)</t>
        </is>
      </c>
      <c r="I56" s="12" t="inlineStr">
        <is>
          <t>Must Have</t>
        </is>
      </c>
      <c r="J56" s="12" t="inlineStr">
        <is>
          <t>MVP</t>
        </is>
      </c>
      <c r="K56" s="12" t="inlineStr">
        <is>
          <t>Week 1</t>
        </is>
      </c>
      <c r="L56" s="12" t="inlineStr">
        <is>
          <t>Done</t>
        </is>
      </c>
      <c r="M56" s="12" t="n">
        <v>3</v>
      </c>
      <c r="N56" s="12"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12" t="str"/>
    </row>
    <row r="57">
      <c r="A57" s="12" t="inlineStr">
        <is>
          <t>US-009-001</t>
        </is>
      </c>
      <c r="B57" s="12" t="inlineStr">
        <is>
          <t>EP-009</t>
        </is>
      </c>
      <c r="C57" s="12" t="inlineStr">
        <is>
          <t>Request attendance correction</t>
        </is>
      </c>
      <c r="D57" s="12" t="inlineStr">
        <is>
          <t>Employee</t>
        </is>
      </c>
      <c r="E57" s="12" t="inlineStr">
        <is>
          <t>As an employee, I want to request correction of an attendance mistake so that records can be fixed without hidden edits.</t>
        </is>
      </c>
      <c r="F57" s="12" t="n">
        <v>4</v>
      </c>
      <c r="G57" s="12" t="str"/>
      <c r="H57" s="12" t="inlineStr">
        <is>
          <t>Claude (AI Engineer)</t>
        </is>
      </c>
      <c r="I57" s="12" t="inlineStr">
        <is>
          <t>Must Have</t>
        </is>
      </c>
      <c r="J57" s="12" t="inlineStr">
        <is>
          <t>MVP</t>
        </is>
      </c>
      <c r="K57" s="12" t="inlineStr">
        <is>
          <t>Week 1</t>
        </is>
      </c>
      <c r="L57" s="12" t="inlineStr">
        <is>
          <t>Done</t>
        </is>
      </c>
      <c r="M57" s="12" t="n">
        <v>3</v>
      </c>
      <c r="N57" s="12" t="inlineStr">
        <is>
          <t>Verified by e2e test: request does not overwrite the original record; visible to the requester.</t>
        </is>
      </c>
      <c r="O57" s="12" t="str"/>
    </row>
    <row r="58">
      <c r="A58" s="12" t="inlineStr">
        <is>
          <t>US-009-002</t>
        </is>
      </c>
      <c r="B58" s="12" t="inlineStr">
        <is>
          <t>EP-009</t>
        </is>
      </c>
      <c r="C58" s="12" t="inlineStr">
        <is>
          <t>Approve attendance correction</t>
        </is>
      </c>
      <c r="D58" s="12" t="inlineStr">
        <is>
          <t>Administrator</t>
        </is>
      </c>
      <c r="E58" s="12" t="inlineStr">
        <is>
          <t>As an administrator, I want to approve or reject attendance corrections so that changes are controlled.</t>
        </is>
      </c>
      <c r="F58" s="12" t="n">
        <v>4</v>
      </c>
      <c r="G58" s="12" t="str"/>
      <c r="H58" s="12" t="inlineStr">
        <is>
          <t>Claude (AI Engineer)</t>
        </is>
      </c>
      <c r="I58" s="12" t="inlineStr">
        <is>
          <t>Must Have</t>
        </is>
      </c>
      <c r="J58" s="12" t="inlineStr">
        <is>
          <t>MVP</t>
        </is>
      </c>
      <c r="K58" s="12" t="inlineStr">
        <is>
          <t>Week 1</t>
        </is>
      </c>
      <c r="L58" s="12" t="inlineStr">
        <is>
          <t>Done</t>
        </is>
      </c>
      <c r="M58" s="12" t="n">
        <v>3</v>
      </c>
      <c r="N58" s="12" t="inlineStr">
        <is>
          <t>Verified by e2e test: approval applies the corrected values and preserves the original in the audit log (before/after).</t>
        </is>
      </c>
      <c r="O58" s="12" t="str"/>
    </row>
    <row r="59">
      <c r="A59" s="12" t="inlineStr">
        <is>
          <t>US-009-003</t>
        </is>
      </c>
      <c r="B59" s="12" t="inlineStr">
        <is>
          <t>EP-009</t>
        </is>
      </c>
      <c r="C59" s="12" t="inlineStr">
        <is>
          <t>Request task time correction</t>
        </is>
      </c>
      <c r="D59" s="12" t="inlineStr">
        <is>
          <t>Employee</t>
        </is>
      </c>
      <c r="E59" s="12" t="inlineStr">
        <is>
          <t>As an employee, I want to request correction of task time so that forgotten/incorrect timer events can be resolved.</t>
        </is>
      </c>
      <c r="F59" s="12" t="n">
        <v>4</v>
      </c>
      <c r="G59" s="12" t="str"/>
      <c r="H59" s="12" t="inlineStr">
        <is>
          <t>Claude (AI Engineer)</t>
        </is>
      </c>
      <c r="I59" s="12" t="inlineStr">
        <is>
          <t>Must Have</t>
        </is>
      </c>
      <c r="J59" s="12" t="inlineStr">
        <is>
          <t>MVP</t>
        </is>
      </c>
      <c r="K59" s="12" t="inlineStr">
        <is>
          <t>Week 1</t>
        </is>
      </c>
      <c r="L59" s="12" t="inlineStr">
        <is>
          <t>Done</t>
        </is>
      </c>
      <c r="M59" s="12" t="n">
        <v>3</v>
      </c>
      <c r="N59" s="12" t="inlineStr">
        <is>
          <t>Implemented and functionally working; not individually covered by an automated test this session.</t>
        </is>
      </c>
      <c r="O59" s="12" t="str"/>
    </row>
    <row r="60">
      <c r="A60" s="12" t="inlineStr">
        <is>
          <t>US-009-004</t>
        </is>
      </c>
      <c r="B60" s="12" t="inlineStr">
        <is>
          <t>EP-009</t>
        </is>
      </c>
      <c r="C60" s="12" t="inlineStr">
        <is>
          <t>Administrator direct correction</t>
        </is>
      </c>
      <c r="D60" s="12" t="inlineStr">
        <is>
          <t>Administrator</t>
        </is>
      </c>
      <c r="E60" s="12" t="inlineStr">
        <is>
          <t>As an administrator, I want to correct authorised records directly so that operational errors can be resolved quickly.</t>
        </is>
      </c>
      <c r="F60" s="12" t="n">
        <v>4</v>
      </c>
      <c r="G60" s="12" t="str"/>
      <c r="H60" s="12" t="inlineStr">
        <is>
          <t>Claude (AI Engineer)</t>
        </is>
      </c>
      <c r="I60" s="12" t="inlineStr">
        <is>
          <t>Must Have</t>
        </is>
      </c>
      <c r="J60" s="12" t="inlineStr">
        <is>
          <t>MVP</t>
        </is>
      </c>
      <c r="K60" s="12" t="inlineStr">
        <is>
          <t>Week 1</t>
        </is>
      </c>
      <c r="L60" s="12" t="inlineStr">
        <is>
          <t>Done</t>
        </is>
      </c>
      <c r="M60" s="12" t="n">
        <v>3</v>
      </c>
      <c r="N60" s="12" t="inlineStr">
        <is>
          <t>Implemented and functionally working; not individually covered by an automated test this session.</t>
        </is>
      </c>
      <c r="O60" s="12" t="str"/>
    </row>
    <row r="61">
      <c r="A61" s="12" t="inlineStr">
        <is>
          <t>US-009-005</t>
        </is>
      </c>
      <c r="B61" s="12" t="inlineStr">
        <is>
          <t>EP-009</t>
        </is>
      </c>
      <c r="C61" s="12" t="inlineStr">
        <is>
          <t>Audit log</t>
        </is>
      </c>
      <c r="D61" s="12" t="inlineStr">
        <is>
          <t>Auditor</t>
        </is>
      </c>
      <c r="E61" s="12" t="inlineStr">
        <is>
          <t>As an auditor, I want a tamper-resistant audit view so that sensitive changes are traceable.</t>
        </is>
      </c>
      <c r="F61" s="12" t="n">
        <v>4</v>
      </c>
      <c r="G61" s="12" t="str"/>
      <c r="H61" s="12" t="inlineStr">
        <is>
          <t>Claude (AI Engineer)</t>
        </is>
      </c>
      <c r="I61" s="12" t="inlineStr">
        <is>
          <t>Must Have</t>
        </is>
      </c>
      <c r="J61" s="12" t="inlineStr">
        <is>
          <t>MVP</t>
        </is>
      </c>
      <c r="K61" s="12" t="inlineStr">
        <is>
          <t>Week 1</t>
        </is>
      </c>
      <c r="L61" s="12" t="inlineStr">
        <is>
          <t>Done</t>
        </is>
      </c>
      <c r="M61" s="12" t="n">
        <v>3</v>
      </c>
      <c r="N61" s="12" t="inlineStr">
        <is>
          <t>Verified by e2e test: audit entries carry actor/action/target/before/after and are filterable by action.</t>
        </is>
      </c>
      <c r="O61" s="12" t="str"/>
    </row>
    <row r="62">
      <c r="A62" s="12" t="inlineStr">
        <is>
          <t>US-010-001</t>
        </is>
      </c>
      <c r="B62" s="12" t="inlineStr">
        <is>
          <t>EP-010</t>
        </is>
      </c>
      <c r="C62" s="12" t="inlineStr">
        <is>
          <t>Daily attendance report</t>
        </is>
      </c>
      <c r="D62" s="12" t="inlineStr">
        <is>
          <t>Administrator</t>
        </is>
      </c>
      <c r="E62" s="12" t="inlineStr">
        <is>
          <t>As an administrator, I want a daily attendance report so that I can review who worked and for how long.</t>
        </is>
      </c>
      <c r="F62" s="12" t="n">
        <v>4</v>
      </c>
      <c r="G62" s="12" t="str"/>
      <c r="H62" s="12" t="inlineStr">
        <is>
          <t>Claude (AI Engineer)</t>
        </is>
      </c>
      <c r="I62" s="12" t="inlineStr">
        <is>
          <t>Must Have</t>
        </is>
      </c>
      <c r="J62" s="12" t="inlineStr">
        <is>
          <t>MVP</t>
        </is>
      </c>
      <c r="K62" s="12" t="inlineStr">
        <is>
          <t>Week 1</t>
        </is>
      </c>
      <c r="L62" s="12" t="inlineStr">
        <is>
          <t>Done</t>
        </is>
      </c>
      <c r="M62" s="12" t="n">
        <v>3</v>
      </c>
      <c r="N62" s="12" t="inlineStr">
        <is>
          <t>Implemented and functionally working; not individually covered by an automated test this session.</t>
        </is>
      </c>
      <c r="O62" s="12" t="str"/>
    </row>
    <row r="63">
      <c r="A63" s="12" t="inlineStr">
        <is>
          <t>US-010-002</t>
        </is>
      </c>
      <c r="B63" s="12" t="inlineStr">
        <is>
          <t>EP-010</t>
        </is>
      </c>
      <c r="C63" s="12" t="inlineStr">
        <is>
          <t>Weekly monthly attendance report</t>
        </is>
      </c>
      <c r="D63" s="12" t="inlineStr">
        <is>
          <t>Administrator</t>
        </is>
      </c>
      <c r="E63" s="12" t="inlineStr">
        <is>
          <t>As an administrator, I want weekly/monthly attendance summaries so that working patterns are visible.</t>
        </is>
      </c>
      <c r="F63" s="12" t="n">
        <v>4</v>
      </c>
      <c r="G63" s="12" t="str"/>
      <c r="H63" s="12" t="inlineStr">
        <is>
          <t>Claude (AI Engineer)</t>
        </is>
      </c>
      <c r="I63" s="12" t="inlineStr">
        <is>
          <t>Must Have</t>
        </is>
      </c>
      <c r="J63" s="12" t="inlineStr">
        <is>
          <t>MVP</t>
        </is>
      </c>
      <c r="K63" s="12" t="inlineStr">
        <is>
          <t>Week 1</t>
        </is>
      </c>
      <c r="L63" s="12" t="inlineStr">
        <is>
          <t>Done</t>
        </is>
      </c>
      <c r="M63" s="12" t="n">
        <v>3</v>
      </c>
      <c r="N63" s="12" t="inlineStr">
        <is>
          <t>Implemented and functionally working; not individually covered by an automated test this session.</t>
        </is>
      </c>
      <c r="O63" s="12" t="str"/>
    </row>
    <row r="64">
      <c r="A64" s="12" t="inlineStr">
        <is>
          <t>US-010-003</t>
        </is>
      </c>
      <c r="B64" s="12" t="inlineStr">
        <is>
          <t>EP-010</t>
        </is>
      </c>
      <c r="C64" s="12" t="inlineStr">
        <is>
          <t>Task time report</t>
        </is>
      </c>
      <c r="D64" s="12" t="inlineStr">
        <is>
          <t>Administrator</t>
        </is>
      </c>
      <c r="E64" s="12" t="inlineStr">
        <is>
          <t>As an administrator, I want task-time reporting so that I can see actual time spent on work.</t>
        </is>
      </c>
      <c r="F64" s="12" t="n">
        <v>4</v>
      </c>
      <c r="G64" s="12" t="str"/>
      <c r="H64" s="12" t="inlineStr">
        <is>
          <t>Claude (AI Engineer)</t>
        </is>
      </c>
      <c r="I64" s="12" t="inlineStr">
        <is>
          <t>Must Have</t>
        </is>
      </c>
      <c r="J64" s="12" t="inlineStr">
        <is>
          <t>MVP</t>
        </is>
      </c>
      <c r="K64" s="12" t="inlineStr">
        <is>
          <t>Week 1</t>
        </is>
      </c>
      <c r="L64" s="12" t="inlineStr">
        <is>
          <t>Done</t>
        </is>
      </c>
      <c r="M64" s="12" t="n">
        <v>3</v>
      </c>
      <c r="N64" s="12" t="inlineStr">
        <is>
          <t>Implemented and functionally working; not individually covered by an automated test this session.</t>
        </is>
      </c>
      <c r="O64" s="12" t="str"/>
    </row>
    <row r="65">
      <c r="A65" s="12" t="inlineStr">
        <is>
          <t>US-010-004</t>
        </is>
      </c>
      <c r="B65" s="12" t="inlineStr">
        <is>
          <t>EP-010</t>
        </is>
      </c>
      <c r="C65" s="12" t="inlineStr">
        <is>
          <t>Unallocated time report</t>
        </is>
      </c>
      <c r="D65" s="12" t="inlineStr">
        <is>
          <t>Administrator</t>
        </is>
      </c>
      <c r="E65" s="12" t="inlineStr">
        <is>
          <t>As an administrator, I want unallocated-time reporting so that missing task tracking can be identified.</t>
        </is>
      </c>
      <c r="F65" s="12" t="n">
        <v>4</v>
      </c>
      <c r="G65" s="12" t="str"/>
      <c r="H65" s="12" t="inlineStr">
        <is>
          <t>Claude (AI Engineer)</t>
        </is>
      </c>
      <c r="I65" s="12" t="inlineStr">
        <is>
          <t>Must Have</t>
        </is>
      </c>
      <c r="J65" s="12" t="inlineStr">
        <is>
          <t>MVP</t>
        </is>
      </c>
      <c r="K65" s="12" t="inlineStr">
        <is>
          <t>Week 1</t>
        </is>
      </c>
      <c r="L65" s="12" t="inlineStr">
        <is>
          <t>Done</t>
        </is>
      </c>
      <c r="M65" s="12" t="n">
        <v>3</v>
      </c>
      <c r="N65" s="12" t="inlineStr">
        <is>
          <t>Implemented and functionally working; not individually covered by an automated test this session.</t>
        </is>
      </c>
      <c r="O65" s="12" t="str"/>
    </row>
    <row r="66">
      <c r="A66" s="12" t="inlineStr">
        <is>
          <t>US-010-005</t>
        </is>
      </c>
      <c r="B66" s="12" t="inlineStr">
        <is>
          <t>EP-010</t>
        </is>
      </c>
      <c r="C66" s="12" t="inlineStr">
        <is>
          <t>Export report</t>
        </is>
      </c>
      <c r="D66" s="12" t="inlineStr">
        <is>
          <t>Administrator</t>
        </is>
      </c>
      <c r="E66" s="12" t="inlineStr">
        <is>
          <t>As an administrator, I want to export filtered reports so that data can be used outside the application.</t>
        </is>
      </c>
      <c r="F66" s="12" t="n">
        <v>4</v>
      </c>
      <c r="G66" s="12" t="str"/>
      <c r="H66" s="12" t="inlineStr">
        <is>
          <t>Claude (AI Engineer)</t>
        </is>
      </c>
      <c r="I66" s="12" t="inlineStr">
        <is>
          <t>Must Have</t>
        </is>
      </c>
      <c r="J66" s="12" t="inlineStr">
        <is>
          <t>MVP</t>
        </is>
      </c>
      <c r="K66" s="12" t="inlineStr">
        <is>
          <t>Week 1</t>
        </is>
      </c>
      <c r="L66" s="12" t="inlineStr">
        <is>
          <t>Done</t>
        </is>
      </c>
      <c r="M66" s="12" t="n">
        <v>3</v>
      </c>
      <c r="N66" s="12" t="inlineStr">
        <is>
          <t>Implemented and functionally working; not individually covered by an automated test this session.</t>
        </is>
      </c>
      <c r="O66" s="12" t="str"/>
    </row>
    <row r="67">
      <c r="A67" s="12" t="inlineStr">
        <is>
          <t>US-011-001</t>
        </is>
      </c>
      <c r="B67" s="12" t="inlineStr">
        <is>
          <t>EP-011</t>
        </is>
      </c>
      <c r="C67" s="12" t="inlineStr">
        <is>
          <t>Task assignment notification</t>
        </is>
      </c>
      <c r="D67" s="12" t="inlineStr">
        <is>
          <t>Employee</t>
        </is>
      </c>
      <c r="E67" s="12" t="inlineStr">
        <is>
          <t>As an employee, I want to be notified when a task is assigned so that I know new work exists.</t>
        </is>
      </c>
      <c r="F67" s="12" t="n">
        <v>4</v>
      </c>
      <c r="G67" s="12" t="str"/>
      <c r="H67" s="12" t="inlineStr">
        <is>
          <t>Claude (AI Engineer)</t>
        </is>
      </c>
      <c r="I67" s="12" t="inlineStr">
        <is>
          <t>Should Have</t>
        </is>
      </c>
      <c r="J67" s="12" t="inlineStr">
        <is>
          <t>R1</t>
        </is>
      </c>
      <c r="K67" s="12" t="inlineStr">
        <is>
          <t>Week 1</t>
        </is>
      </c>
      <c r="L67" s="12" t="inlineStr">
        <is>
          <t>Done</t>
        </is>
      </c>
      <c r="M67" s="12" t="n">
        <v>3</v>
      </c>
      <c r="N67" s="12" t="inlineStr">
        <is>
          <t>All 4 ACs verified live against the deployed Azure app, including waiting for the real production cron to fire on seeded data.</t>
        </is>
      </c>
      <c r="O67" s="12" t="str"/>
    </row>
    <row r="68">
      <c r="A68" s="12" t="inlineStr">
        <is>
          <t>US-011-002</t>
        </is>
      </c>
      <c r="B68" s="12" t="inlineStr">
        <is>
          <t>EP-011</t>
        </is>
      </c>
      <c r="C68" s="12" t="inlineStr">
        <is>
          <t>Missing clock-out reminder</t>
        </is>
      </c>
      <c r="D68" s="12" t="inlineStr">
        <is>
          <t>Employee</t>
        </is>
      </c>
      <c r="E68" s="12" t="inlineStr">
        <is>
          <t>As an employee, I want a reminder if I appear to have forgotten to clock out so that incomplete attendance is reduced.</t>
        </is>
      </c>
      <c r="F68" s="12" t="n">
        <v>4</v>
      </c>
      <c r="G68" s="12" t="str"/>
      <c r="H68" s="12" t="inlineStr">
        <is>
          <t>Claude (AI Engineer)</t>
        </is>
      </c>
      <c r="I68" s="12" t="inlineStr">
        <is>
          <t>Should Have</t>
        </is>
      </c>
      <c r="J68" s="12" t="inlineStr">
        <is>
          <t>R1</t>
        </is>
      </c>
      <c r="K68" s="12" t="inlineStr">
        <is>
          <t>Week 1</t>
        </is>
      </c>
      <c r="L68" s="12" t="inlineStr">
        <is>
          <t>Done</t>
        </is>
      </c>
      <c r="M68" s="12" t="n">
        <v>3</v>
      </c>
      <c r="N68" s="12" t="inlineStr">
        <is>
          <t>All 4 ACs verified live against the deployed Azure app, including waiting for the real production cron to fire on seeded data.</t>
        </is>
      </c>
      <c r="O68" s="12" t="str"/>
    </row>
    <row r="69">
      <c r="A69" s="12" t="inlineStr">
        <is>
          <t>US-011-003</t>
        </is>
      </c>
      <c r="B69" s="12" t="inlineStr">
        <is>
          <t>EP-011</t>
        </is>
      </c>
      <c r="C69" s="12" t="inlineStr">
        <is>
          <t>Long-running task timer reminder</t>
        </is>
      </c>
      <c r="D69" s="12" t="inlineStr">
        <is>
          <t>Employee</t>
        </is>
      </c>
      <c r="E69" s="12" t="inlineStr">
        <is>
          <t>As an employee, I want a reminder when a task timer has been running unusually long so that accidental over-recording can be corrected.</t>
        </is>
      </c>
      <c r="F69" s="12" t="n">
        <v>4</v>
      </c>
      <c r="G69" s="12" t="str"/>
      <c r="H69" s="12" t="inlineStr">
        <is>
          <t>Claude (AI Engineer)</t>
        </is>
      </c>
      <c r="I69" s="12" t="inlineStr">
        <is>
          <t>Should Have</t>
        </is>
      </c>
      <c r="J69" s="12" t="inlineStr">
        <is>
          <t>R1</t>
        </is>
      </c>
      <c r="K69" s="12" t="inlineStr">
        <is>
          <t>Week 1</t>
        </is>
      </c>
      <c r="L69" s="12" t="inlineStr">
        <is>
          <t>Done</t>
        </is>
      </c>
      <c r="M69" s="12" t="n">
        <v>3</v>
      </c>
      <c r="N69" s="12" t="inlineStr">
        <is>
          <t>All 4 ACs verified live against the deployed Azure app, including waiting for the real production cron to fire on seeded data.</t>
        </is>
      </c>
      <c r="O69" s="12" t="str"/>
    </row>
    <row r="70">
      <c r="A70" s="12" t="inlineStr">
        <is>
          <t>US-011-004</t>
        </is>
      </c>
      <c r="B70" s="12" t="inlineStr">
        <is>
          <t>EP-011</t>
        </is>
      </c>
      <c r="C70" s="12" t="inlineStr">
        <is>
          <t>Unallocated time reminder</t>
        </is>
      </c>
      <c r="D70" s="12" t="inlineStr">
        <is>
          <t>Employee</t>
        </is>
      </c>
      <c r="E70" s="12" t="inlineStr">
        <is>
          <t>As an employee, I want a reminder when my completed workday has unallocated time so that missing task tracking can be reviewed.</t>
        </is>
      </c>
      <c r="F70" s="12" t="n">
        <v>4</v>
      </c>
      <c r="G70" s="12" t="str"/>
      <c r="H70" s="12" t="inlineStr">
        <is>
          <t>Claude (AI Engineer)</t>
        </is>
      </c>
      <c r="I70" s="12" t="inlineStr">
        <is>
          <t>Should Have</t>
        </is>
      </c>
      <c r="J70" s="12" t="inlineStr">
        <is>
          <t>R1</t>
        </is>
      </c>
      <c r="K70" s="12" t="inlineStr">
        <is>
          <t>Week 1</t>
        </is>
      </c>
      <c r="L70" s="12" t="inlineStr">
        <is>
          <t>Done</t>
        </is>
      </c>
      <c r="M70" s="12" t="n">
        <v>3</v>
      </c>
      <c r="N70" s="12" t="inlineStr">
        <is>
          <t>All 4 ACs verified live against the deployed Azure app, including waiting for the real production cron to fire on seeded data.</t>
        </is>
      </c>
      <c r="O70" s="12" t="str"/>
    </row>
    <row r="71">
      <c r="A71" s="12" t="inlineStr">
        <is>
          <t>US-012-001</t>
        </is>
      </c>
      <c r="B71" s="12" t="inlineStr">
        <is>
          <t>EP-012</t>
        </is>
      </c>
      <c r="C71" s="12" t="inlineStr">
        <is>
          <t>Secure password storage</t>
        </is>
      </c>
      <c r="D71" s="12" t="inlineStr">
        <is>
          <t>Security Administrator</t>
        </is>
      </c>
      <c r="E71" s="12" t="inlineStr">
        <is>
          <t>As a security administrator, I want passwords securely hashed so that credential exposure risk is minimised.</t>
        </is>
      </c>
      <c r="F71" s="12" t="n">
        <v>4</v>
      </c>
      <c r="G71" s="12" t="str"/>
      <c r="H71" s="12" t="inlineStr">
        <is>
          <t>Claude (AI Engineer)</t>
        </is>
      </c>
      <c r="I71" s="12" t="inlineStr">
        <is>
          <t>Must Have</t>
        </is>
      </c>
      <c r="J71" s="12" t="inlineStr">
        <is>
          <t>MVP</t>
        </is>
      </c>
      <c r="K71" s="12" t="inlineStr">
        <is>
          <t>Week 1</t>
        </is>
      </c>
      <c r="L71" s="12" t="inlineStr">
        <is>
          <t>Done</t>
        </is>
      </c>
      <c r="M71" s="12" t="n">
        <v>3</v>
      </c>
      <c r="N71" s="12" t="inlineStr">
        <is>
          <t>Argon2id via the `argon2` package; verified indirectly by every e2e login.</t>
        </is>
      </c>
      <c r="O71" s="12" t="str"/>
    </row>
    <row r="72">
      <c r="A72" s="12" t="inlineStr">
        <is>
          <t>US-012-002</t>
        </is>
      </c>
      <c r="B72" s="12" t="inlineStr">
        <is>
          <t>EP-012</t>
        </is>
      </c>
      <c r="C72" s="12" t="inlineStr">
        <is>
          <t>Authorisation enforcement</t>
        </is>
      </c>
      <c r="D72" s="12" t="inlineStr">
        <is>
          <t>Security Administrator</t>
        </is>
      </c>
      <c r="E72" s="12" t="inlineStr">
        <is>
          <t>As a security administrator, I want server-side role checks so that employees cannot access administrator functions.</t>
        </is>
      </c>
      <c r="F72" s="12" t="n">
        <v>4</v>
      </c>
      <c r="G72" s="12" t="str"/>
      <c r="H72" s="12" t="inlineStr">
        <is>
          <t>Claude (AI Engineer)</t>
        </is>
      </c>
      <c r="I72" s="12" t="inlineStr">
        <is>
          <t>Must Have</t>
        </is>
      </c>
      <c r="J72" s="12" t="inlineStr">
        <is>
          <t>MVP</t>
        </is>
      </c>
      <c r="K72" s="12" t="inlineStr">
        <is>
          <t>Week 1</t>
        </is>
      </c>
      <c r="L72" s="12" t="inlineStr">
        <is>
          <t>Done</t>
        </is>
      </c>
      <c r="M72" s="12" t="n">
        <v>3</v>
      </c>
      <c r="N72" s="12" t="inlineStr">
        <is>
          <t>Verified by e2e test: employee blocked (403) from an admin-only endpoint; unauthenticated requests blocked (401).</t>
        </is>
      </c>
      <c r="O72" s="12" t="str"/>
    </row>
    <row r="73">
      <c r="A73" s="12" t="inlineStr">
        <is>
          <t>US-012-003</t>
        </is>
      </c>
      <c r="B73" s="12" t="inlineStr">
        <is>
          <t>EP-012</t>
        </is>
      </c>
      <c r="C73" s="12" t="inlineStr">
        <is>
          <t>Time integrity</t>
        </is>
      </c>
      <c r="D73" s="12" t="inlineStr">
        <is>
          <t>System Administrator</t>
        </is>
      </c>
      <c r="E73" s="12" t="inlineStr">
        <is>
          <t>As a system administrator, I want server-authoritative time and concurrency safeguards so that attendance/task duration is trustworthy.</t>
        </is>
      </c>
      <c r="F73" s="12" t="n">
        <v>4</v>
      </c>
      <c r="G73" s="12" t="str"/>
      <c r="H73" s="12" t="inlineStr">
        <is>
          <t>Claude (AI Engineer)</t>
        </is>
      </c>
      <c r="I73" s="12" t="inlineStr">
        <is>
          <t>Must Have</t>
        </is>
      </c>
      <c r="J73" s="12" t="inlineStr">
        <is>
          <t>MVP</t>
        </is>
      </c>
      <c r="K73" s="12" t="inlineStr">
        <is>
          <t>Week 1</t>
        </is>
      </c>
      <c r="L73" s="12" t="inlineStr">
        <is>
          <t>Done</t>
        </is>
      </c>
      <c r="M73" s="12" t="n">
        <v>3</v>
      </c>
      <c r="N73" s="12" t="inlineStr">
        <is>
          <t>Verified by e2e test: all official timestamps are server-generated; BR-002/BR-003 enforced by Postgres partial unique indexes, not just application logic.</t>
        </is>
      </c>
      <c r="O73" s="12" t="str"/>
    </row>
    <row r="74">
      <c r="A74" s="12" t="inlineStr">
        <is>
          <t>US-012-004</t>
        </is>
      </c>
      <c r="B74" s="12" t="inlineStr">
        <is>
          <t>EP-012</t>
        </is>
      </c>
      <c r="C74" s="12" t="inlineStr">
        <is>
          <t>Application logging and monitoring</t>
        </is>
      </c>
      <c r="D74" s="12" t="inlineStr">
        <is>
          <t>Operations Engineer</t>
        </is>
      </c>
      <c r="E74" s="12" t="inlineStr">
        <is>
          <t>As an operations engineer, I want structured logs and health monitoring so that incidents can be diagnosed.</t>
        </is>
      </c>
      <c r="F74" s="12" t="n">
        <v>4</v>
      </c>
      <c r="G74" s="12" t="str"/>
      <c r="H74" s="12" t="inlineStr">
        <is>
          <t>Claude (AI Engineer)</t>
        </is>
      </c>
      <c r="I74" s="12" t="inlineStr">
        <is>
          <t>Must Have</t>
        </is>
      </c>
      <c r="J74" s="12" t="inlineStr">
        <is>
          <t>MVP</t>
        </is>
      </c>
      <c r="K74" s="12" t="inlineStr">
        <is>
          <t>Week 1</t>
        </is>
      </c>
      <c r="L74" s="12" t="inlineStr">
        <is>
          <t>Done</t>
        </is>
      </c>
      <c r="M74" s="12" t="n">
        <v>3</v>
      </c>
      <c r="N74" s="12" t="inlineStr">
        <is>
          <t>Structured JSON request logging (pino-http) with correlation IDs wired in and manually verified: id round-trips via x-request-id header, passwords/cookies never appear in logs, /health and /ready produce zero log noise.</t>
        </is>
      </c>
      <c r="O74" s="12" t="str"/>
    </row>
    <row r="75">
      <c r="A75" s="12" t="inlineStr">
        <is>
          <t>US-012-005</t>
        </is>
      </c>
      <c r="B75" s="12" t="inlineStr">
        <is>
          <t>EP-012</t>
        </is>
      </c>
      <c r="C75" s="12" t="inlineStr">
        <is>
          <t>Backup and restore</t>
        </is>
      </c>
      <c r="D75" s="12" t="inlineStr">
        <is>
          <t>Operations Engineer</t>
        </is>
      </c>
      <c r="E75" s="12" t="inlineStr">
        <is>
          <t>As an operations engineer, I want database backups and a tested restore process so that data can be recovered.</t>
        </is>
      </c>
      <c r="F75" s="12" t="n">
        <v>4</v>
      </c>
      <c r="G75" s="12" t="str"/>
      <c r="H75" s="12" t="inlineStr">
        <is>
          <t>Claude (AI Engineer)</t>
        </is>
      </c>
      <c r="I75" s="12" t="inlineStr">
        <is>
          <t>Must Have</t>
        </is>
      </c>
      <c r="J75" s="12" t="inlineStr">
        <is>
          <t>MVP</t>
        </is>
      </c>
      <c r="K75" s="12" t="inlineStr">
        <is>
          <t>Week 1</t>
        </is>
      </c>
      <c r="L75" s="12" t="inlineStr">
        <is>
          <t>Done</t>
        </is>
      </c>
      <c r="M75" s="12" t="n">
        <v>3</v>
      </c>
      <c r="N75" s="12"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12" t="str"/>
    </row>
    <row r="76">
      <c r="A76" s="12" t="inlineStr">
        <is>
          <t>US-012-006</t>
        </is>
      </c>
      <c r="B76" s="12" t="inlineStr">
        <is>
          <t>EP-012</t>
        </is>
      </c>
      <c r="C76" s="12" t="inlineStr">
        <is>
          <t>CI/CD quality gates</t>
        </is>
      </c>
      <c r="D76" s="12" t="inlineStr">
        <is>
          <t>Release Manager</t>
        </is>
      </c>
      <c r="E76" s="12" t="inlineStr">
        <is>
          <t>As a release manager, I want automated build, test and security gates so that defective releases are less likely to reach production.</t>
        </is>
      </c>
      <c r="F76" s="12" t="n">
        <v>4</v>
      </c>
      <c r="G76" s="12" t="str"/>
      <c r="H76" s="12" t="inlineStr">
        <is>
          <t>Claude (AI Engineer)</t>
        </is>
      </c>
      <c r="I76" s="12" t="inlineStr">
        <is>
          <t>Must Have</t>
        </is>
      </c>
      <c r="J76" s="12" t="inlineStr">
        <is>
          <t>MVP</t>
        </is>
      </c>
      <c r="K76" s="12" t="inlineStr">
        <is>
          <t>Week 1</t>
        </is>
      </c>
      <c r="L76" s="12" t="inlineStr">
        <is>
          <t>Done</t>
        </is>
      </c>
      <c r="M76" s="12" t="n">
        <v>3</v>
      </c>
      <c r="N76" s="12" t="inlineStr">
        <is>
          <t>GitHub Actions CI (lint, unit, e2e, both builds, both Docker images) is green on every push. A separate manual-trigger deploy workflow builds/pushes images and updates Azure Container Apps once repo secrets are configured (see DEPLOYMENT.md).</t>
        </is>
      </c>
      <c r="O76" s="12" t="str"/>
    </row>
  </sheetData>
  <conditionalFormatting sqref="L2:L76">
    <cfRule type="expression" priority="1" dxfId="0">
      <formula>L2="Done"</formula>
    </cfRule>
    <cfRule type="expression" priority="2" dxfId="1">
      <formula>L2="Blocked"</formula>
    </cfRule>
    <cfRule type="expression" priority="3" dxfId="4">
      <formula>L2="In Progress"</formula>
    </cfRule>
  </conditionalFormatting>
  <dataValidations count="3">
    <dataValidation sqref="I2:I76" showDropDown="0" showInputMessage="0" showErrorMessage="0" allowBlank="0" type="list">
      <formula1>Lists!$B$2:$B$4</formula1>
    </dataValidation>
    <dataValidation sqref="J2:J76" showDropDown="0" showInputMessage="0" showErrorMessage="0" allowBlank="0" type="list">
      <formula1>Lists!$C$2:$C$4</formula1>
    </dataValidation>
    <dataValidation sqref="L2:L76"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workbookViewId="0">
      <selection activeCell="A1" sqref="A1"/>
    </sheetView>
  </sheetViews>
  <sheetFormatPr baseColWidth="8" defaultRowHeight="15"/>
  <cols>
    <col width="17" customWidth="1" min="1" max="1"/>
    <col width="15" customWidth="1" min="2" max="2"/>
    <col width="12" customWidth="1" min="3" max="3"/>
    <col width="70" customWidth="1" min="4" max="4"/>
    <col width="16" customWidth="1" min="5" max="5"/>
    <col width="16" customWidth="1" min="6" max="6"/>
    <col width="30" customWidth="1" min="7" max="7"/>
    <col width="14" customWidth="1" min="8" max="8"/>
    <col width="16" customWidth="1" min="9" max="9"/>
    <col width="16" customWidth="1" min="10" max="10"/>
    <col width="28" customWidth="1" min="11" max="11"/>
  </cols>
  <sheetData>
    <row r="1" ht="24" customHeight="1">
      <c r="A1" s="5" t="inlineStr">
        <is>
          <t>AC ID</t>
        </is>
      </c>
      <c r="B1" s="5" t="inlineStr">
        <is>
          <t>Story ID</t>
        </is>
      </c>
      <c r="C1" s="5" t="inlineStr">
        <is>
          <t>Epic ID</t>
        </is>
      </c>
      <c r="D1" s="5" t="inlineStr">
        <is>
          <t>Acceptance Criterion</t>
        </is>
      </c>
      <c r="E1" s="5" t="inlineStr">
        <is>
          <t>Test Case ID</t>
        </is>
      </c>
      <c r="F1" s="5" t="inlineStr">
        <is>
          <t>Test Status</t>
        </is>
      </c>
      <c r="G1" s="5" t="inlineStr">
        <is>
          <t>Evidence / Link</t>
        </is>
      </c>
      <c r="H1" s="5" t="inlineStr">
        <is>
          <t>Defect ID</t>
        </is>
      </c>
      <c r="I1" s="5" t="inlineStr">
        <is>
          <t>Tester</t>
        </is>
      </c>
      <c r="J1" s="5" t="inlineStr">
        <is>
          <t>Test Cycle</t>
        </is>
      </c>
      <c r="K1" s="5" t="inlineStr">
        <is>
          <t>Comments</t>
        </is>
      </c>
    </row>
    <row r="2">
      <c r="A2" s="12" t="inlineStr">
        <is>
          <t>AC-001-001-01</t>
        </is>
      </c>
      <c r="B2" s="12" t="inlineStr">
        <is>
          <t>US-001-001</t>
        </is>
      </c>
      <c r="C2" s="12" t="inlineStr">
        <is>
          <t>EP-001</t>
        </is>
      </c>
      <c r="D2" s="12" t="inlineStr">
        <is>
          <t>Registration captures first name, surname, email, phone number and password.</t>
        </is>
      </c>
      <c r="E2" s="12" t="str"/>
      <c r="F2" s="12" t="inlineStr">
        <is>
          <t>Pass</t>
        </is>
      </c>
      <c r="G2" s="12" t="str"/>
      <c r="H2" s="12" t="str"/>
      <c r="I2" s="12" t="inlineStr">
        <is>
          <t>Claude (AI Engineer)</t>
        </is>
      </c>
      <c r="J2" s="12" t="inlineStr">
        <is>
          <t>SIT</t>
        </is>
      </c>
      <c r="K2" s="12"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t>
        </is>
      </c>
    </row>
    <row r="3">
      <c r="A3" s="12" t="inlineStr">
        <is>
          <t>AC-001-001-02</t>
        </is>
      </c>
      <c r="B3" s="12" t="inlineStr">
        <is>
          <t>US-001-001</t>
        </is>
      </c>
      <c r="C3" s="12" t="inlineStr">
        <is>
          <t>EP-001</t>
        </is>
      </c>
      <c r="D3" s="12" t="inlineStr">
        <is>
          <t>Email address must be unique and valid.</t>
        </is>
      </c>
      <c r="E3" s="12" t="str"/>
      <c r="F3" s="12" t="inlineStr">
        <is>
          <t>Pass</t>
        </is>
      </c>
      <c r="G3" s="12" t="str"/>
      <c r="H3" s="12" t="str"/>
      <c r="I3" s="12" t="inlineStr">
        <is>
          <t>Claude (AI Engineer)</t>
        </is>
      </c>
      <c r="J3" s="12" t="inlineStr">
        <is>
          <t>SIT</t>
        </is>
      </c>
      <c r="K3" s="12" t="inlineStr">
        <is>
          <t>Live test 2026-09-08: invalid email format (not-an-email) -&gt; 400 field error; duplicate email -&gt; 409 (existing e2e test).</t>
        </is>
      </c>
    </row>
    <row r="4">
      <c r="A4" s="12" t="inlineStr">
        <is>
          <t>AC-001-001-03</t>
        </is>
      </c>
      <c r="B4" s="12" t="inlineStr">
        <is>
          <t>US-001-001</t>
        </is>
      </c>
      <c r="C4" s="12" t="inlineStr">
        <is>
          <t>EP-001</t>
        </is>
      </c>
      <c r="D4" s="12" t="inlineStr">
        <is>
          <t>Password must meet configured password policy.</t>
        </is>
      </c>
      <c r="E4" s="12" t="str"/>
      <c r="F4" s="12" t="inlineStr">
        <is>
          <t>Pass</t>
        </is>
      </c>
      <c r="G4" s="12" t="str"/>
      <c r="H4" s="12" t="str"/>
      <c r="I4" s="12" t="inlineStr">
        <is>
          <t>Claude (AI Engineer)</t>
        </is>
      </c>
      <c r="J4" s="12" t="inlineStr">
        <is>
          <t>SIT</t>
        </is>
      </c>
      <c r="K4" s="12" t="inlineStr">
        <is>
          <t>Live test 2026-09-08: POST /auth/register with password "weak" -&gt; 400, field errors listing the unmet policy rules.</t>
        </is>
      </c>
    </row>
    <row r="5">
      <c r="A5" s="12" t="inlineStr">
        <is>
          <t>AC-001-001-04</t>
        </is>
      </c>
      <c r="B5" s="12" t="inlineStr">
        <is>
          <t>US-001-001</t>
        </is>
      </c>
      <c r="C5" s="12" t="inlineStr">
        <is>
          <t>EP-001</t>
        </is>
      </c>
      <c r="D5" s="12" t="inlineStr">
        <is>
          <t>Successful registration creates a user with the configured initial status (Pending or Active).</t>
        </is>
      </c>
      <c r="E5" s="12" t="str"/>
      <c r="F5" s="12" t="inlineStr">
        <is>
          <t>Pass</t>
        </is>
      </c>
      <c r="G5" s="12" t="str"/>
      <c r="H5" s="12" t="str"/>
      <c r="I5" s="12" t="inlineStr">
        <is>
          <t>Claude (AI Engineer)</t>
        </is>
      </c>
      <c r="J5" s="12" t="inlineStr">
        <is>
          <t>SIT</t>
        </is>
      </c>
      <c r="K5" s="12" t="inlineStr">
        <is>
          <t>Live test 2026-09-08: default register -&gt; PENDING. Code-confirmed (auth.service.ts): status = settings.requireRegistrationApproval ? PENDING : ACTIVE, so the ACTIVE branch is a real, reachable code path, not just PENDING.</t>
        </is>
      </c>
    </row>
    <row r="6">
      <c r="A6" s="12" t="inlineStr">
        <is>
          <t>AC-001-002-01</t>
        </is>
      </c>
      <c r="B6" s="12" t="inlineStr">
        <is>
          <t>US-001-002</t>
        </is>
      </c>
      <c r="C6" s="12" t="inlineStr">
        <is>
          <t>EP-001</t>
        </is>
      </c>
      <c r="D6" s="12" t="inlineStr">
        <is>
          <t>Pending users are visible in an administrator queue.</t>
        </is>
      </c>
      <c r="E6" s="12" t="str"/>
      <c r="F6" s="12" t="inlineStr">
        <is>
          <t>Pass</t>
        </is>
      </c>
      <c r="G6" s="12" t="str"/>
      <c r="H6" s="12" t="str"/>
      <c r="I6" s="12" t="inlineStr">
        <is>
          <t>Claude (AI Engineer)</t>
        </is>
      </c>
      <c r="J6" s="12" t="inlineStr">
        <is>
          <t>SIT</t>
        </is>
      </c>
      <c r="K6" s="12" t="inlineStr">
        <is>
          <t>Existing e2e test: GET /users?status=PENDING returns exactly the newly-registered pending user.</t>
        </is>
      </c>
    </row>
    <row r="7">
      <c r="A7" s="12" t="inlineStr">
        <is>
          <t>AC-001-002-02</t>
        </is>
      </c>
      <c r="B7" s="12" t="inlineStr">
        <is>
          <t>US-001-002</t>
        </is>
      </c>
      <c r="C7" s="12" t="inlineStr">
        <is>
          <t>EP-001</t>
        </is>
      </c>
      <c r="D7" s="12" t="inlineStr">
        <is>
          <t>Only authorised administrators can approve or reject.</t>
        </is>
      </c>
      <c r="E7" s="12" t="str"/>
      <c r="F7" s="12" t="inlineStr">
        <is>
          <t>Pass</t>
        </is>
      </c>
      <c r="G7" s="12" t="str"/>
      <c r="H7" s="12" t="str"/>
      <c r="I7" s="12" t="inlineStr">
        <is>
          <t>Claude (AI Engineer)</t>
        </is>
      </c>
      <c r="J7" s="12" t="inlineStr">
        <is>
          <t>SIT</t>
        </is>
      </c>
      <c r="K7" s="12" t="inlineStr">
        <is>
          <t>Live test 2026-09-08: unauthenticated attempt to POST /users/:id/approve -&gt; 401. Endpoint also carries @Roles(ADMINISTRATOR) guard, same mechanism directly proven by the existing RBAC e2e tests on other admin routes.</t>
        </is>
      </c>
    </row>
    <row r="8">
      <c r="A8" s="12" t="inlineStr">
        <is>
          <t>AC-001-002-03</t>
        </is>
      </c>
      <c r="B8" s="12" t="inlineStr">
        <is>
          <t>US-001-002</t>
        </is>
      </c>
      <c r="C8" s="12" t="inlineStr">
        <is>
          <t>EP-001</t>
        </is>
      </c>
      <c r="D8" s="12" t="inlineStr">
        <is>
          <t>Approval activates the user and records approver/date.</t>
        </is>
      </c>
      <c r="E8" s="12" t="str"/>
      <c r="F8" s="12" t="inlineStr">
        <is>
          <t>Pass</t>
        </is>
      </c>
      <c r="G8" s="12" t="str"/>
      <c r="H8" s="12" t="str"/>
      <c r="I8" s="12" t="inlineStr">
        <is>
          <t>Claude (AI Engineer)</t>
        </is>
      </c>
      <c r="J8" s="12" t="inlineStr">
        <is>
          <t>SIT</t>
        </is>
      </c>
      <c r="K8" s="12" t="inlineStr">
        <is>
          <t>Live test 2026-09-08: admin approve response includes status=ACTIVE, approvedById=&lt;admin user id&gt;, approvedAt=&lt;real timestamp&gt;.</t>
        </is>
      </c>
    </row>
    <row r="9">
      <c r="A9" s="12" t="inlineStr">
        <is>
          <t>AC-001-002-04</t>
        </is>
      </c>
      <c r="B9" s="12" t="inlineStr">
        <is>
          <t>US-001-002</t>
        </is>
      </c>
      <c r="C9" s="12" t="inlineStr">
        <is>
          <t>EP-001</t>
        </is>
      </c>
      <c r="D9" s="12" t="inlineStr">
        <is>
          <t>Rejected users cannot sign in unless later reactivated.</t>
        </is>
      </c>
      <c r="E9" s="12" t="str"/>
      <c r="F9" s="12" t="inlineStr">
        <is>
          <t>Pass</t>
        </is>
      </c>
      <c r="G9" s="12" t="str"/>
      <c r="H9" s="12" t="str"/>
      <c r="I9" s="12" t="inlineStr">
        <is>
          <t>Claude (AI Engineer)</t>
        </is>
      </c>
      <c r="J9" s="12" t="inlineStr">
        <is>
          <t>SIT</t>
        </is>
      </c>
      <c r="K9" s="12" t="inlineStr">
        <is>
          <t>Live test 2026-09-08: rejected user login -&gt; 401; after admin reactivation (status=ACTIVE) -&gt; 200.</t>
        </is>
      </c>
    </row>
    <row r="10">
      <c r="A10" s="12" t="inlineStr">
        <is>
          <t>AC-001-003-01</t>
        </is>
      </c>
      <c r="B10" s="12" t="inlineStr">
        <is>
          <t>US-001-003</t>
        </is>
      </c>
      <c r="C10" s="12" t="inlineStr">
        <is>
          <t>EP-001</t>
        </is>
      </c>
      <c r="D10" s="12" t="inlineStr">
        <is>
          <t>Login accepts email and password.</t>
        </is>
      </c>
      <c r="E10" s="12" t="str"/>
      <c r="F10" s="12" t="inlineStr">
        <is>
          <t>Pass</t>
        </is>
      </c>
      <c r="G10" s="12" t="str"/>
      <c r="H10" s="12" t="str"/>
      <c r="I10" s="12" t="inlineStr">
        <is>
          <t>Claude (AI Engineer)</t>
        </is>
      </c>
      <c r="J10" s="12" t="inlineStr">
        <is>
          <t>SIT</t>
        </is>
      </c>
      <c r="K10" s="12" t="inlineStr">
        <is>
          <t>Live test 2026-09-08: POST /auth/login with email+password -&gt; 200 (also existing e2e coverage).</t>
        </is>
      </c>
    </row>
    <row r="11">
      <c r="A11" s="12" t="inlineStr">
        <is>
          <t>AC-001-003-02</t>
        </is>
      </c>
      <c r="B11" s="12" t="inlineStr">
        <is>
          <t>US-001-003</t>
        </is>
      </c>
      <c r="C11" s="12" t="inlineStr">
        <is>
          <t>EP-001</t>
        </is>
      </c>
      <c r="D11" s="12" t="inlineStr">
        <is>
          <t>Invalid credentials return a generic error.</t>
        </is>
      </c>
      <c r="E11" s="12" t="str"/>
      <c r="F11" s="12" t="inlineStr">
        <is>
          <t>Pass</t>
        </is>
      </c>
      <c r="G11" s="12" t="str"/>
      <c r="H11" s="12" t="str"/>
      <c r="I11" s="12" t="inlineStr">
        <is>
          <t>Claude (AI Engineer)</t>
        </is>
      </c>
      <c r="J11" s="12" t="inlineStr">
        <is>
          <t>SIT</t>
        </is>
      </c>
      <c r="K11" s="12" t="inlineStr">
        <is>
          <t>Live test 2026-09-08: wrong-password and nonexistent-email logins return identical 401 "Invalid email or password" - no account-existence leak.</t>
        </is>
      </c>
    </row>
    <row r="12">
      <c r="A12" s="12" t="inlineStr">
        <is>
          <t>AC-001-003-03</t>
        </is>
      </c>
      <c r="B12" s="12" t="inlineStr">
        <is>
          <t>US-001-003</t>
        </is>
      </c>
      <c r="C12" s="12" t="inlineStr">
        <is>
          <t>EP-001</t>
        </is>
      </c>
      <c r="D12" s="12" t="inlineStr">
        <is>
          <t>Successful login creates an authenticated session using secure cookies/tokens.</t>
        </is>
      </c>
      <c r="E12" s="12" t="str"/>
      <c r="F12" s="12" t="inlineStr">
        <is>
          <t>Pass</t>
        </is>
      </c>
      <c r="G12" s="12" t="str"/>
      <c r="H12" s="12" t="str"/>
      <c r="I12" s="12" t="inlineStr">
        <is>
          <t>Claude (AI Engineer)</t>
        </is>
      </c>
      <c r="J12" s="12" t="inlineStr">
        <is>
          <t>SIT</t>
        </is>
      </c>
      <c r="K12" s="12" t="inlineStr">
        <is>
          <t>Live test 2026-09-08: login Set-Cookie headers confirmed atms_access and atms_refresh both HttpOnly; Secure; SameSite=None.</t>
        </is>
      </c>
    </row>
    <row r="13">
      <c r="A13" s="12" t="inlineStr">
        <is>
          <t>AC-001-003-04</t>
        </is>
      </c>
      <c r="B13" s="12" t="inlineStr">
        <is>
          <t>US-001-003</t>
        </is>
      </c>
      <c r="C13" s="12" t="inlineStr">
        <is>
          <t>EP-001</t>
        </is>
      </c>
      <c r="D13" s="12" t="inlineStr">
        <is>
          <t>Inactive, suspended or rejected accounts cannot access protected screens.</t>
        </is>
      </c>
      <c r="E13" s="12" t="str"/>
      <c r="F13" s="12" t="inlineStr">
        <is>
          <t>Pass</t>
        </is>
      </c>
      <c r="G13" s="12" t="str"/>
      <c r="H13" s="12" t="str"/>
      <c r="I13" s="12" t="inlineStr">
        <is>
          <t>Claude (AI Engineer)</t>
        </is>
      </c>
      <c r="J13" s="12" t="inlineStr">
        <is>
          <t>SIT</t>
        </is>
      </c>
      <c r="K13" s="12" t="inlineStr">
        <is>
          <t>Live test 2026-09-08: login attempt against a SUSPENDED account -&gt; 401 "Account is suspended" (existing e2e test covers PENDING specifically; this covers SUSPENDED).</t>
        </is>
      </c>
    </row>
    <row r="14">
      <c r="A14" s="12" t="inlineStr">
        <is>
          <t>AC-001-004-01</t>
        </is>
      </c>
      <c r="B14" s="12" t="inlineStr">
        <is>
          <t>US-001-004</t>
        </is>
      </c>
      <c r="C14" s="12" t="inlineStr">
        <is>
          <t>EP-001</t>
        </is>
      </c>
      <c r="D14" s="12" t="inlineStr">
        <is>
          <t>Logout invalidates the active application session.</t>
        </is>
      </c>
      <c r="E14" s="12" t="str"/>
      <c r="F14" s="12" t="inlineStr">
        <is>
          <t>Pass</t>
        </is>
      </c>
      <c r="G14" s="12" t="str"/>
      <c r="H14" s="12" t="str"/>
      <c r="I14" s="12" t="inlineStr">
        <is>
          <t>Claude (AI Engineer)</t>
        </is>
      </c>
      <c r="J14" s="12" t="inlineStr">
        <is>
          <t>SIT</t>
        </is>
      </c>
      <c r="K14" s="12" t="inlineStr">
        <is>
          <t>Live test 2026-09-08: GET /users/me succeeds (200) before logout; the exact same cookies replayed after logout -&gt; 401. Stronger than the existing e2e test, which only checked that /auth/refresh fails post-logout, not a protected GET with the still-held access token.</t>
        </is>
      </c>
    </row>
    <row r="15">
      <c r="A15" s="12" t="inlineStr">
        <is>
          <t>AC-001-004-02</t>
        </is>
      </c>
      <c r="B15" s="12" t="inlineStr">
        <is>
          <t>US-001-004</t>
        </is>
      </c>
      <c r="C15" s="12" t="inlineStr">
        <is>
          <t>EP-001</t>
        </is>
      </c>
      <c r="D15" s="12" t="inlineStr">
        <is>
          <t>Protected pages cannot be accessed after logout without re-authentication.</t>
        </is>
      </c>
      <c r="E15" s="12" t="str"/>
      <c r="F15" s="12" t="inlineStr">
        <is>
          <t>Pass</t>
        </is>
      </c>
      <c r="G15" s="12" t="str"/>
      <c r="H15" s="12" t="str"/>
      <c r="I15" s="12" t="inlineStr">
        <is>
          <t>Claude (AI Engineer)</t>
        </is>
      </c>
      <c r="J15" s="12" t="inlineStr">
        <is>
          <t>SIT</t>
        </is>
      </c>
      <c r="K15" s="12" t="inlineStr">
        <is>
          <t>Same evidence as AC-001-004-01 - a protected endpoint (GET /users/me) is unreachable immediately after logout, not just eventually once the access token naturally expires.</t>
        </is>
      </c>
    </row>
    <row r="16">
      <c r="A16" s="12" t="inlineStr">
        <is>
          <t>AC-001-004-03</t>
        </is>
      </c>
      <c r="B16" s="12" t="inlineStr">
        <is>
          <t>US-001-004</t>
        </is>
      </c>
      <c r="C16" s="12" t="inlineStr">
        <is>
          <t>EP-001</t>
        </is>
      </c>
      <c r="D16" s="12" t="inlineStr">
        <is>
          <t>Logout is available from the main navigation.</t>
        </is>
      </c>
      <c r="E16" s="12" t="str"/>
      <c r="F16" s="12" t="inlineStr">
        <is>
          <t>Pass</t>
        </is>
      </c>
      <c r="G16" s="12" t="str"/>
      <c r="H16" s="12" t="str"/>
      <c r="I16" s="12" t="inlineStr">
        <is>
          <t>Claude (AI Engineer)</t>
        </is>
      </c>
      <c r="J16" s="12" t="inlineStr">
        <is>
          <t>SIT</t>
        </is>
      </c>
      <c r="K16" s="12" t="inlineStr">
        <is>
          <t>Confirmed live: "Log out" button present in both desktop sidebar and mobile nav on every authenticated page.</t>
        </is>
      </c>
    </row>
    <row r="17">
      <c r="A17" s="12" t="inlineStr">
        <is>
          <t>AC-001-004-04</t>
        </is>
      </c>
      <c r="B17" s="12" t="inlineStr">
        <is>
          <t>US-001-004</t>
        </is>
      </c>
      <c r="C17" s="12" t="inlineStr">
        <is>
          <t>EP-001</t>
        </is>
      </c>
      <c r="D17" s="12" t="inlineStr">
        <is>
          <t>Logout does not alter attendance or task timer records.</t>
        </is>
      </c>
      <c r="E17" s="12" t="str"/>
      <c r="F17" s="12" t="inlineStr">
        <is>
          <t>Pass</t>
        </is>
      </c>
      <c r="G17" s="12" t="str"/>
      <c r="H17" s="12" t="str"/>
      <c r="I17" s="12" t="inlineStr">
        <is>
          <t>Claude (AI Engineer)</t>
        </is>
      </c>
      <c r="J17" s="12" t="inlineStr">
        <is>
          <t>SIT</t>
        </is>
      </c>
      <c r="K17" s="12" t="inlineStr">
        <is>
          <t>Live test 2026-09-08: attendance session id, active timer id, and state identical before logout and after re-login.</t>
        </is>
      </c>
    </row>
    <row r="18">
      <c r="A18" s="12" t="inlineStr">
        <is>
          <t>AC-001-005-01</t>
        </is>
      </c>
      <c r="B18" s="12" t="inlineStr">
        <is>
          <t>US-001-005</t>
        </is>
      </c>
      <c r="C18" s="12" t="inlineStr">
        <is>
          <t>EP-001</t>
        </is>
      </c>
      <c r="D18" s="12" t="inlineStr">
        <is>
          <t>User can submit an email address for reset.</t>
        </is>
      </c>
      <c r="E18" s="12" t="str"/>
      <c r="F18" s="12" t="inlineStr">
        <is>
          <t>Pass</t>
        </is>
      </c>
      <c r="G18" s="12" t="str"/>
      <c r="H18" s="12" t="str"/>
      <c r="I18" s="12" t="inlineStr">
        <is>
          <t>Claude (AI Engineer)</t>
        </is>
      </c>
      <c r="J18" s="12" t="inlineStr">
        <is>
          <t>SIT</t>
        </is>
      </c>
      <c r="K18" s="12" t="inlineStr">
        <is>
          <t>Live test 2026-09-08: POST /auth/forgot-password with a real registered email -&gt; 200.</t>
        </is>
      </c>
    </row>
    <row r="19">
      <c r="A19" s="12" t="inlineStr">
        <is>
          <t>AC-001-005-02</t>
        </is>
      </c>
      <c r="B19" s="12" t="inlineStr">
        <is>
          <t>US-001-005</t>
        </is>
      </c>
      <c r="C19" s="12" t="inlineStr">
        <is>
          <t>EP-001</t>
        </is>
      </c>
      <c r="D19" s="12" t="inlineStr">
        <is>
          <t>Response does not reveal whether an account exists.</t>
        </is>
      </c>
      <c r="E19" s="12" t="str"/>
      <c r="F19" s="12" t="inlineStr">
        <is>
          <t>Pass</t>
        </is>
      </c>
      <c r="G19" s="12" t="str"/>
      <c r="H19" s="12" t="str"/>
      <c r="I19" s="12" t="inlineStr">
        <is>
          <t>Claude (AI Engineer)</t>
        </is>
      </c>
      <c r="J19" s="12" t="inlineStr">
        <is>
          <t>SIT</t>
        </is>
      </c>
      <c r="K19" s="12" t="inlineStr">
        <is>
          <t>Live test 2026-09-08: response body identical (status + message) for a real vs a nonexistent email.</t>
        </is>
      </c>
    </row>
    <row r="20">
      <c r="A20" s="12" t="inlineStr">
        <is>
          <t>AC-001-005-03</t>
        </is>
      </c>
      <c r="B20" s="12" t="inlineStr">
        <is>
          <t>US-001-005</t>
        </is>
      </c>
      <c r="C20" s="12" t="inlineStr">
        <is>
          <t>EP-001</t>
        </is>
      </c>
      <c r="D20" s="12" t="inlineStr">
        <is>
          <t>Reset link/token expires after a configured period.</t>
        </is>
      </c>
      <c r="E20" s="12" t="str"/>
      <c r="F20" s="12" t="inlineStr">
        <is>
          <t>Pass</t>
        </is>
      </c>
      <c r="G20" s="12" t="str"/>
      <c r="H20" s="12" t="str"/>
      <c r="I20" s="12" t="inlineStr">
        <is>
          <t>Claude (AI Engineer)</t>
        </is>
      </c>
      <c r="J20" s="12" t="inlineStr">
        <is>
          <t>SIT</t>
        </is>
      </c>
      <c r="K20" s="12" t="inlineStr">
        <is>
          <t>Live test 2026-09-08: a token seeded with expiresAt in the past is rejected with "Reset link is invalid or has expired". TTL is 1 hour (RESET_TOKEN_TTL_MS, auth.service.ts).</t>
        </is>
      </c>
    </row>
    <row r="21">
      <c r="A21" s="12" t="inlineStr">
        <is>
          <t>AC-001-005-04</t>
        </is>
      </c>
      <c r="B21" s="12" t="inlineStr">
        <is>
          <t>US-001-005</t>
        </is>
      </c>
      <c r="C21" s="12" t="inlineStr">
        <is>
          <t>EP-001</t>
        </is>
      </c>
      <c r="D21" s="12" t="inlineStr">
        <is>
          <t>A used or expired reset token cannot be reused.</t>
        </is>
      </c>
      <c r="E21" s="12" t="str"/>
      <c r="F21" s="12" t="inlineStr">
        <is>
          <t>Pass</t>
        </is>
      </c>
      <c r="G21" s="12" t="str"/>
      <c r="H21" s="12" t="str"/>
      <c r="I21" s="12" t="inlineStr">
        <is>
          <t>Claude (AI Engineer)</t>
        </is>
      </c>
      <c r="J21" s="12" t="inlineStr">
        <is>
          <t>SIT</t>
        </is>
      </c>
      <c r="K21" s="12" t="inlineStr">
        <is>
          <t>Live test 2026-09-08: same token used successfully once (200), reused immediately after -&gt; 400 invalid/expired.</t>
        </is>
      </c>
    </row>
    <row r="22">
      <c r="A22" s="12" t="inlineStr">
        <is>
          <t>AC-001-006-01</t>
        </is>
      </c>
      <c r="B22" s="12" t="inlineStr">
        <is>
          <t>US-001-006</t>
        </is>
      </c>
      <c r="C22" s="12" t="inlineStr">
        <is>
          <t>EP-001</t>
        </is>
      </c>
      <c r="D22" s="12" t="inlineStr">
        <is>
          <t>New password must satisfy password policy.</t>
        </is>
      </c>
      <c r="E22" s="12" t="str"/>
      <c r="F22" s="12" t="inlineStr">
        <is>
          <t>Pass</t>
        </is>
      </c>
      <c r="G22" s="12" t="str"/>
      <c r="H22" s="12" t="str"/>
      <c r="I22" s="12" t="inlineStr">
        <is>
          <t>Claude (AI Engineer)</t>
        </is>
      </c>
      <c r="J22" s="12" t="inlineStr">
        <is>
          <t>SIT</t>
        </is>
      </c>
      <c r="K22" s="12" t="inlineStr">
        <is>
          <t>Live test 2026-09-08: reset with a weak new password -&gt; 400 with the specific unmet policy rules.</t>
        </is>
      </c>
    </row>
    <row r="23">
      <c r="A23" s="12" t="inlineStr">
        <is>
          <t>AC-001-006-02</t>
        </is>
      </c>
      <c r="B23" s="12" t="inlineStr">
        <is>
          <t>US-001-006</t>
        </is>
      </c>
      <c r="C23" s="12" t="inlineStr">
        <is>
          <t>EP-001</t>
        </is>
      </c>
      <c r="D23" s="12" t="inlineStr">
        <is>
          <t>New and confirmation passwords must match.</t>
        </is>
      </c>
      <c r="E23" s="12" t="str"/>
      <c r="F23" s="12" t="inlineStr">
        <is>
          <t>Pass</t>
        </is>
      </c>
      <c r="G23" s="12" t="str"/>
      <c r="H23" s="12" t="str"/>
      <c r="I23" s="12" t="inlineStr">
        <is>
          <t>Claude (AI Engineer)</t>
        </is>
      </c>
      <c r="J23" s="12" t="inlineStr">
        <is>
          <t>SIT</t>
        </is>
      </c>
      <c r="K23" s="12" t="inlineStr">
        <is>
          <t>Live test 2026-09-08: reset with mismatched confirmPassword -&gt; 400 "Passwords do not match".</t>
        </is>
      </c>
    </row>
    <row r="24">
      <c r="A24" s="12" t="inlineStr">
        <is>
          <t>AC-001-006-03</t>
        </is>
      </c>
      <c r="B24" s="12" t="inlineStr">
        <is>
          <t>US-001-006</t>
        </is>
      </c>
      <c r="C24" s="12" t="inlineStr">
        <is>
          <t>EP-001</t>
        </is>
      </c>
      <c r="D24" s="12" t="inlineStr">
        <is>
          <t>Successful reset invalidates the reset token.</t>
        </is>
      </c>
      <c r="E24" s="12" t="str"/>
      <c r="F24" s="12" t="inlineStr">
        <is>
          <t>Pass</t>
        </is>
      </c>
      <c r="G24" s="12" t="str"/>
      <c r="H24" s="12" t="str"/>
      <c r="I24" s="12" t="inlineStr">
        <is>
          <t>Claude (AI Engineer)</t>
        </is>
      </c>
      <c r="J24" s="12" t="inlineStr">
        <is>
          <t>SIT</t>
        </is>
      </c>
      <c r="K24" s="12" t="inlineStr">
        <is>
          <t>Live test 2026-09-08: same evidence as AC-001-005-04 - a successful reset immediately invalidates its own token.</t>
        </is>
      </c>
    </row>
    <row r="25">
      <c r="A25" s="12" t="inlineStr">
        <is>
          <t>AC-001-006-04</t>
        </is>
      </c>
      <c r="B25" s="12" t="inlineStr">
        <is>
          <t>US-001-006</t>
        </is>
      </c>
      <c r="C25" s="12" t="inlineStr">
        <is>
          <t>EP-001</t>
        </is>
      </c>
      <c r="D25" s="12" t="inlineStr">
        <is>
          <t>Existing sessions may be revoked according to security policy.</t>
        </is>
      </c>
      <c r="E25" s="12" t="str"/>
      <c r="F25" s="12" t="inlineStr">
        <is>
          <t>Pass</t>
        </is>
      </c>
      <c r="G25" s="12" t="str"/>
      <c r="H25" s="12" t="str"/>
      <c r="I25" s="12" t="inlineStr">
        <is>
          <t>Claude (AI Engineer)</t>
        </is>
      </c>
      <c r="J25" s="12" t="inlineStr">
        <is>
          <t>SIT</t>
        </is>
      </c>
      <c r="K25" s="12" t="inlineStr">
        <is>
          <t>Live test 2026-09-08: a refresh token captured before a password reset is rejected (401 "Session expired") when used after the reset.</t>
        </is>
      </c>
    </row>
    <row r="26">
      <c r="A26" s="12" t="inlineStr">
        <is>
          <t>AC-001-007-01</t>
        </is>
      </c>
      <c r="B26" s="12" t="inlineStr">
        <is>
          <t>US-001-007</t>
        </is>
      </c>
      <c r="C26" s="12" t="inlineStr">
        <is>
          <t>EP-001</t>
        </is>
      </c>
      <c r="D26" s="12" t="inlineStr">
        <is>
          <t>Inactivity timeout is configurable.</t>
        </is>
      </c>
      <c r="E26" s="12" t="str"/>
      <c r="F26" s="12" t="inlineStr">
        <is>
          <t>Pass</t>
        </is>
      </c>
      <c r="G26" s="12" t="str"/>
      <c r="H26" s="12" t="str"/>
      <c r="I26" s="12" t="inlineStr">
        <is>
          <t>Claude (AI Engineer)</t>
        </is>
      </c>
      <c r="J26" s="12" t="inlineStr">
        <is>
          <t>SIT</t>
        </is>
      </c>
      <c r="K26" s="12" t="inlineStr">
        <is>
          <t>Verified by e2e test: threshold is read from AppSettings.sessionInactivityTimeoutMinutes, confirmed configurable.</t>
        </is>
      </c>
    </row>
    <row r="27">
      <c r="A27" s="12" t="inlineStr">
        <is>
          <t>AC-001-007-02</t>
        </is>
      </c>
      <c r="B27" s="12" t="inlineStr">
        <is>
          <t>US-001-007</t>
        </is>
      </c>
      <c r="C27" s="12" t="inlineStr">
        <is>
          <t>EP-001</t>
        </is>
      </c>
      <c r="D27" s="12" t="inlineStr">
        <is>
          <t>Expired sessions require login again.</t>
        </is>
      </c>
      <c r="E27" s="12" t="str"/>
      <c r="F27" s="12" t="inlineStr">
        <is>
          <t>Pass</t>
        </is>
      </c>
      <c r="G27" s="12" t="str"/>
      <c r="H27" s="12" t="str"/>
      <c r="I27" s="12" t="inlineStr">
        <is>
          <t>Claude (AI Engineer)</t>
        </is>
      </c>
      <c r="J27" s="12" t="inlineStr">
        <is>
          <t>SIT</t>
        </is>
      </c>
      <c r="K27" s="12" t="inlineStr">
        <is>
          <t>Verified by e2e test: expired-by-inactivity refresh token is rejected with 401.</t>
        </is>
      </c>
    </row>
    <row r="28">
      <c r="A28" s="12" t="inlineStr">
        <is>
          <t>AC-001-007-03</t>
        </is>
      </c>
      <c r="B28" s="12" t="inlineStr">
        <is>
          <t>US-001-007</t>
        </is>
      </c>
      <c r="C28" s="12" t="inlineStr">
        <is>
          <t>EP-001</t>
        </is>
      </c>
      <c r="D28" s="12" t="inlineStr">
        <is>
          <t>Session expiry does not stop or modify authoritative attendance/task records.</t>
        </is>
      </c>
      <c r="E28" s="12" t="str"/>
      <c r="F28" s="12" t="inlineStr">
        <is>
          <t>Pass</t>
        </is>
      </c>
      <c r="G28" s="12" t="str"/>
      <c r="H28" s="12" t="str"/>
      <c r="I28" s="12" t="inlineStr">
        <is>
          <t>Claude (AI Engineer)</t>
        </is>
      </c>
      <c r="J28" s="12" t="inlineStr">
        <is>
          <t>SIT</t>
        </is>
      </c>
      <c r="K28" s="12" t="inlineStr">
        <is>
          <t>Live test 2026-09-08: refresh token backdated 31 minutes past the 30-minute inactivity window is rejected, and the underlying attendance record is unchanged (checked via admin, a separate unaffected session).</t>
        </is>
      </c>
    </row>
    <row r="29">
      <c r="A29" s="12" t="inlineStr">
        <is>
          <t>AC-001-007-04</t>
        </is>
      </c>
      <c r="B29" s="12" t="inlineStr">
        <is>
          <t>US-001-007</t>
        </is>
      </c>
      <c r="C29" s="12" t="inlineStr">
        <is>
          <t>EP-001</t>
        </is>
      </c>
      <c r="D29" s="12" t="inlineStr">
        <is>
          <t>User receives a clear expired-session message.</t>
        </is>
      </c>
      <c r="E29" s="12" t="str"/>
      <c r="F29" s="12" t="inlineStr">
        <is>
          <t>Pass</t>
        </is>
      </c>
      <c r="G29" s="12" t="str"/>
      <c r="H29" s="12" t="str"/>
      <c r="I29" s="12" t="inlineStr">
        <is>
          <t>Claude (AI Engineer)</t>
        </is>
      </c>
      <c r="J29" s="12" t="inlineStr">
        <is>
          <t>SIT</t>
        </is>
      </c>
      <c r="K29" s="12"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t>
        </is>
      </c>
    </row>
    <row r="30">
      <c r="A30" s="12" t="inlineStr">
        <is>
          <t>AC-002-001-01</t>
        </is>
      </c>
      <c r="B30" s="12" t="inlineStr">
        <is>
          <t>US-002-001</t>
        </is>
      </c>
      <c r="C30" s="12" t="inlineStr">
        <is>
          <t>EP-002</t>
        </is>
      </c>
      <c r="D30" s="12" t="inlineStr">
        <is>
          <t>Administrator can enter required identity/contact fields.</t>
        </is>
      </c>
      <c r="E30" s="12" t="str"/>
      <c r="F30" s="12" t="inlineStr">
        <is>
          <t>Pass</t>
        </is>
      </c>
      <c r="G30" s="12" t="str"/>
      <c r="H30" s="12" t="str"/>
      <c r="I30" s="12" t="inlineStr">
        <is>
          <t>Claude (AI Engineer)</t>
        </is>
      </c>
      <c r="J30" s="12" t="inlineStr">
        <is>
          <t>SIT</t>
        </is>
      </c>
      <c r="K30" s="12" t="inlineStr">
        <is>
          <t>Live test 2026-09-08: admin POST /users with full identity/contact fields -&gt; 201, all fields persisted exactly as submitted.</t>
        </is>
      </c>
    </row>
    <row r="31">
      <c r="A31" s="12" t="inlineStr">
        <is>
          <t>AC-002-001-02</t>
        </is>
      </c>
      <c r="B31" s="12" t="inlineStr">
        <is>
          <t>US-002-001</t>
        </is>
      </c>
      <c r="C31" s="12" t="inlineStr">
        <is>
          <t>EP-002</t>
        </is>
      </c>
      <c r="D31" s="12" t="inlineStr">
        <is>
          <t>Email uniqueness is enforced.</t>
        </is>
      </c>
      <c r="E31" s="12" t="str"/>
      <c r="F31" s="12" t="inlineStr">
        <is>
          <t>Pass</t>
        </is>
      </c>
      <c r="G31" s="12" t="str"/>
      <c r="H31" s="12" t="str"/>
      <c r="I31" s="12" t="inlineStr">
        <is>
          <t>Claude (AI Engineer)</t>
        </is>
      </c>
      <c r="J31" s="12" t="inlineStr">
        <is>
          <t>SIT</t>
        </is>
      </c>
      <c r="K31" s="12" t="inlineStr">
        <is>
          <t>Live test 2026-09-08: POST /users with a duplicate email -&gt; 409.</t>
        </is>
      </c>
    </row>
    <row r="32">
      <c r="A32" s="12" t="inlineStr">
        <is>
          <t>AC-002-001-03</t>
        </is>
      </c>
      <c r="B32" s="12" t="inlineStr">
        <is>
          <t>US-002-001</t>
        </is>
      </c>
      <c r="C32" s="12" t="inlineStr">
        <is>
          <t>EP-002</t>
        </is>
      </c>
      <c r="D32" s="12" t="inlineStr">
        <is>
          <t>Role and department can be assigned.</t>
        </is>
      </c>
      <c r="E32" s="12" t="str"/>
      <c r="F32" s="12" t="inlineStr">
        <is>
          <t>Pass</t>
        </is>
      </c>
      <c r="G32" s="12" t="str"/>
      <c r="H32" s="12" t="str"/>
      <c r="I32" s="12" t="inlineStr">
        <is>
          <t>Claude (AI Engineer)</t>
        </is>
      </c>
      <c r="J32" s="12" t="inlineStr">
        <is>
          <t>SIT</t>
        </is>
      </c>
      <c r="K32" s="12" t="inlineStr">
        <is>
          <t>Live test 2026-09-08: created user has role=ADMINISTRATOR and departmentId matching what was submitted.</t>
        </is>
      </c>
    </row>
    <row r="33">
      <c r="A33" s="12" t="inlineStr">
        <is>
          <t>AC-002-001-04</t>
        </is>
      </c>
      <c r="B33" s="12" t="inlineStr">
        <is>
          <t>US-002-001</t>
        </is>
      </c>
      <c r="C33" s="12" t="inlineStr">
        <is>
          <t>EP-002</t>
        </is>
      </c>
      <c r="D33" s="12" t="inlineStr">
        <is>
          <t>Creation is audited.</t>
        </is>
      </c>
      <c r="E33" s="12" t="str"/>
      <c r="F33" s="12" t="inlineStr">
        <is>
          <t>Pass</t>
        </is>
      </c>
      <c r="G33" s="12" t="str"/>
      <c r="H33" s="12" t="str"/>
      <c r="I33" s="12" t="inlineStr">
        <is>
          <t>Claude (AI Engineer)</t>
        </is>
      </c>
      <c r="J33" s="12" t="inlineStr">
        <is>
          <t>SIT</t>
        </is>
      </c>
      <c r="K33" s="12" t="inlineStr">
        <is>
          <t>Live test 2026-09-08: GET /audit contains a USER_CREATED entry with the new user's id as targetId.</t>
        </is>
      </c>
    </row>
    <row r="34">
      <c r="A34" s="12" t="inlineStr">
        <is>
          <t>AC-002-002-01</t>
        </is>
      </c>
      <c r="B34" s="12" t="inlineStr">
        <is>
          <t>US-002-002</t>
        </is>
      </c>
      <c r="C34" s="12" t="inlineStr">
        <is>
          <t>EP-002</t>
        </is>
      </c>
      <c r="D34" s="12" t="inlineStr">
        <is>
          <t>Administrator can edit permitted profile fields.</t>
        </is>
      </c>
      <c r="E34" s="12" t="str"/>
      <c r="F34" s="12" t="inlineStr">
        <is>
          <t>Pass</t>
        </is>
      </c>
      <c r="G34" s="12" t="str"/>
      <c r="H34" s="12" t="str"/>
      <c r="I34" s="12" t="inlineStr">
        <is>
          <t>Claude (AI Engineer)</t>
        </is>
      </c>
      <c r="J34" s="12" t="inlineStr">
        <is>
          <t>SIT</t>
        </is>
      </c>
      <c r="K34" s="12" t="inlineStr">
        <is>
          <t>Live test 2026-09-08: admin PATCH /users/:id {firstName, phoneNumber} -&gt; 200, both fields updated.</t>
        </is>
      </c>
    </row>
    <row r="35">
      <c r="A35" s="12" t="inlineStr">
        <is>
          <t>AC-002-002-02</t>
        </is>
      </c>
      <c r="B35" s="12" t="inlineStr">
        <is>
          <t>US-002-002</t>
        </is>
      </c>
      <c r="C35" s="12" t="inlineStr">
        <is>
          <t>EP-002</t>
        </is>
      </c>
      <c r="D35" s="12" t="inlineStr">
        <is>
          <t>Email change is validated for uniqueness.</t>
        </is>
      </c>
      <c r="E35" s="12" t="str"/>
      <c r="F35" s="12" t="inlineStr">
        <is>
          <t>Pass</t>
        </is>
      </c>
      <c r="G35" s="12" t="str"/>
      <c r="H35" s="12" t="str"/>
      <c r="I35" s="12" t="inlineStr">
        <is>
          <t>Claude (AI Engineer)</t>
        </is>
      </c>
      <c r="J35" s="12" t="inlineStr">
        <is>
          <t>SIT</t>
        </is>
      </c>
      <c r="K35" s="12" t="inlineStr">
        <is>
          <t>Live test 2026-09-08: PATCH email to one already in use by another user -&gt; 409.</t>
        </is>
      </c>
    </row>
    <row r="36">
      <c r="A36" s="12" t="inlineStr">
        <is>
          <t>AC-002-002-03</t>
        </is>
      </c>
      <c r="B36" s="12" t="inlineStr">
        <is>
          <t>US-002-002</t>
        </is>
      </c>
      <c r="C36" s="12" t="inlineStr">
        <is>
          <t>EP-002</t>
        </is>
      </c>
      <c r="D36" s="12" t="inlineStr">
        <is>
          <t>Changes do not rewrite historical attendance ownership.</t>
        </is>
      </c>
      <c r="E36" s="12" t="str"/>
      <c r="F36" s="12" t="inlineStr">
        <is>
          <t>Pass</t>
        </is>
      </c>
      <c r="G36" s="12" t="str"/>
      <c r="H36" s="12" t="str"/>
      <c r="I36" s="12" t="inlineStr">
        <is>
          <t>Claude (AI Engineer)</t>
        </is>
      </c>
      <c r="J36" s="12" t="inlineStr">
        <is>
          <t>SIT</t>
        </is>
      </c>
      <c r="K36" s="12" t="inlineStr">
        <is>
          <t>Code-verified: adminUpdate() (users.service.ts) only ever writes to the users table; attendance_sessions.userId is a stable FK never touched by a profile edit.</t>
        </is>
      </c>
    </row>
    <row r="37">
      <c r="A37" s="12" t="inlineStr">
        <is>
          <t>AC-002-002-04</t>
        </is>
      </c>
      <c r="B37" s="12" t="inlineStr">
        <is>
          <t>US-002-002</t>
        </is>
      </c>
      <c r="C37" s="12" t="inlineStr">
        <is>
          <t>EP-002</t>
        </is>
      </c>
      <c r="D37" s="12" t="inlineStr">
        <is>
          <t>Material changes are audited.</t>
        </is>
      </c>
      <c r="E37" s="12" t="str"/>
      <c r="F37" s="12" t="inlineStr">
        <is>
          <t>Pass</t>
        </is>
      </c>
      <c r="G37" s="12" t="str"/>
      <c r="H37" s="12" t="str"/>
      <c r="I37" s="12" t="inlineStr">
        <is>
          <t>Claude (AI Engineer)</t>
        </is>
      </c>
      <c r="J37" s="12" t="inlineStr">
        <is>
          <t>SIT</t>
        </is>
      </c>
      <c r="K37" s="12" t="inlineStr">
        <is>
          <t>Live test 2026-09-08: GET /audit contains a USER_UPDATED entry for the edited user.</t>
        </is>
      </c>
    </row>
    <row r="38">
      <c r="A38" s="12" t="inlineStr">
        <is>
          <t>AC-002-003-01</t>
        </is>
      </c>
      <c r="B38" s="12" t="inlineStr">
        <is>
          <t>US-002-003</t>
        </is>
      </c>
      <c r="C38" s="12" t="inlineStr">
        <is>
          <t>EP-002</t>
        </is>
      </c>
      <c r="D38" s="12" t="inlineStr">
        <is>
          <t>User can edit permitted fields such as phone number.</t>
        </is>
      </c>
      <c r="E38" s="12" t="str"/>
      <c r="F38" s="12" t="inlineStr">
        <is>
          <t>Pass</t>
        </is>
      </c>
      <c r="G38" s="12" t="str"/>
      <c r="H38" s="12" t="str"/>
      <c r="I38" s="12" t="inlineStr">
        <is>
          <t>Claude (AI Engineer)</t>
        </is>
      </c>
      <c r="J38" s="12" t="inlineStr">
        <is>
          <t>SIT</t>
        </is>
      </c>
      <c r="K38" s="12" t="inlineStr">
        <is>
          <t>Live test 2026-09-08: self PATCH /users/me {phoneNumber} -&gt; 200, updated.</t>
        </is>
      </c>
    </row>
    <row r="39">
      <c r="A39" s="12" t="inlineStr">
        <is>
          <t>AC-002-003-02</t>
        </is>
      </c>
      <c r="B39" s="12" t="inlineStr">
        <is>
          <t>US-002-003</t>
        </is>
      </c>
      <c r="C39" s="12" t="inlineStr">
        <is>
          <t>EP-002</t>
        </is>
      </c>
      <c r="D39" s="12" t="inlineStr">
        <is>
          <t>Restricted fields such as role cannot be self-edited.</t>
        </is>
      </c>
      <c r="E39" s="12" t="str"/>
      <c r="F39" s="12" t="inlineStr">
        <is>
          <t>Pass</t>
        </is>
      </c>
      <c r="G39" s="12" t="str"/>
      <c r="H39" s="12" t="str"/>
      <c r="I39" s="12" t="inlineStr">
        <is>
          <t>Claude (AI Engineer)</t>
        </is>
      </c>
      <c r="J39" s="12" t="inlineStr">
        <is>
          <t>SIT</t>
        </is>
      </c>
      <c r="K39" s="12" t="inlineStr">
        <is>
          <t>Live test 2026-09-08: self PATCH /users/me including role=ADMINISTRATOR -&gt; role remains EMPLOYEE afterward (updateOwnProfileSchema structurally has no role field, so it is silently stripped, never reaching the service).</t>
        </is>
      </c>
    </row>
    <row r="40">
      <c r="A40" s="12" t="inlineStr">
        <is>
          <t>AC-002-003-03</t>
        </is>
      </c>
      <c r="B40" s="12" t="inlineStr">
        <is>
          <t>US-002-003</t>
        </is>
      </c>
      <c r="C40" s="12" t="inlineStr">
        <is>
          <t>EP-002</t>
        </is>
      </c>
      <c r="D40" s="12" t="inlineStr">
        <is>
          <t>Validation is applied before save.</t>
        </is>
      </c>
      <c r="E40" s="12" t="str"/>
      <c r="F40" s="12" t="inlineStr">
        <is>
          <t>Pass</t>
        </is>
      </c>
      <c r="G40" s="12" t="str"/>
      <c r="H40" s="12" t="str"/>
      <c r="I40" s="12" t="inlineStr">
        <is>
          <t>Claude (AI Engineer)</t>
        </is>
      </c>
      <c r="J40" s="12" t="inlineStr">
        <is>
          <t>SIT</t>
        </is>
      </c>
      <c r="K40" s="12" t="inlineStr">
        <is>
          <t>Live test 2026-09-08: self PATCH /users/me with firstName= -&gt; 400 validation error.</t>
        </is>
      </c>
    </row>
    <row r="41">
      <c r="A41" s="12" t="inlineStr">
        <is>
          <t>AC-002-003-04</t>
        </is>
      </c>
      <c r="B41" s="12" t="inlineStr">
        <is>
          <t>US-002-003</t>
        </is>
      </c>
      <c r="C41" s="12" t="inlineStr">
        <is>
          <t>EP-002</t>
        </is>
      </c>
      <c r="D41" s="12" t="inlineStr">
        <is>
          <t>Successful update is immediately visible.</t>
        </is>
      </c>
      <c r="E41" s="12" t="str"/>
      <c r="F41" s="12" t="inlineStr">
        <is>
          <t>Pass</t>
        </is>
      </c>
      <c r="G41" s="12" t="str"/>
      <c r="H41" s="12" t="str"/>
      <c r="I41" s="12" t="inlineStr">
        <is>
          <t>Claude (AI Engineer)</t>
        </is>
      </c>
      <c r="J41" s="12" t="inlineStr">
        <is>
          <t>SIT</t>
        </is>
      </c>
      <c r="K41" s="12" t="inlineStr">
        <is>
          <t>Live test 2026-09-08: GET /users/me immediately after a successful self-edit reflects the new value, no caching lag.</t>
        </is>
      </c>
    </row>
    <row r="42">
      <c r="A42" s="12" t="inlineStr">
        <is>
          <t>AC-002-004-01</t>
        </is>
      </c>
      <c r="B42" s="12" t="inlineStr">
        <is>
          <t>US-002-004</t>
        </is>
      </c>
      <c r="C42" s="12" t="inlineStr">
        <is>
          <t>EP-002</t>
        </is>
      </c>
      <c r="D42" s="12" t="inlineStr">
        <is>
          <t>At minimum Employee and Administrator roles exist.</t>
        </is>
      </c>
      <c r="E42" s="12" t="str"/>
      <c r="F42" s="12" t="inlineStr">
        <is>
          <t>Pass</t>
        </is>
      </c>
      <c r="G42" s="12" t="str"/>
      <c r="H42" s="12" t="str"/>
      <c r="I42" s="12" t="inlineStr">
        <is>
          <t>Claude (AI Engineer)</t>
        </is>
      </c>
      <c r="J42" s="12" t="inlineStr">
        <is>
          <t>SIT</t>
        </is>
      </c>
      <c r="K42" s="12" t="inlineStr">
        <is>
          <t>Structural: UserRole enum defines EMPLOYEE and ADMINISTRATOR; both used and exercised extensively throughout this session.</t>
        </is>
      </c>
    </row>
    <row r="43">
      <c r="A43" s="12" t="inlineStr">
        <is>
          <t>AC-002-004-02</t>
        </is>
      </c>
      <c r="B43" s="12" t="inlineStr">
        <is>
          <t>US-002-004</t>
        </is>
      </c>
      <c r="C43" s="12" t="inlineStr">
        <is>
          <t>EP-002</t>
        </is>
      </c>
      <c r="D43" s="12" t="inlineStr">
        <is>
          <t>Role changes require administrator permission.</t>
        </is>
      </c>
      <c r="E43" s="12" t="str"/>
      <c r="F43" s="12" t="inlineStr">
        <is>
          <t>Pass</t>
        </is>
      </c>
      <c r="G43" s="12" t="str"/>
      <c r="H43" s="12" t="str"/>
      <c r="I43" s="12" t="inlineStr">
        <is>
          <t>Claude (AI Engineer)</t>
        </is>
      </c>
      <c r="J43" s="12" t="inlineStr">
        <is>
          <t>SIT</t>
        </is>
      </c>
      <c r="K43" s="12" t="inlineStr">
        <is>
          <t>Live test 2026-09-08: an employee attempting PATCH /users/:id (the only role-change route) -&gt; 403, blocked entirely by the route's admin-only guard.</t>
        </is>
      </c>
    </row>
    <row r="44">
      <c r="A44" s="12" t="inlineStr">
        <is>
          <t>AC-002-004-03</t>
        </is>
      </c>
      <c r="B44" s="12" t="inlineStr">
        <is>
          <t>US-002-004</t>
        </is>
      </c>
      <c r="C44" s="12" t="inlineStr">
        <is>
          <t>EP-002</t>
        </is>
      </c>
      <c r="D44" s="12" t="inlineStr">
        <is>
          <t>New permissions apply to subsequent requests.</t>
        </is>
      </c>
      <c r="E44" s="12" t="str"/>
      <c r="F44" s="12" t="inlineStr">
        <is>
          <t>Pass</t>
        </is>
      </c>
      <c r="G44" s="12" t="str"/>
      <c r="H44" s="12" t="str"/>
      <c r="I44" s="12" t="inlineStr">
        <is>
          <t>Claude (AI Engineer)</t>
        </is>
      </c>
      <c r="J44" s="12" t="inlineStr">
        <is>
          <t>SIT</t>
        </is>
      </c>
      <c r="K44" s="12"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t>
        </is>
      </c>
    </row>
    <row r="45">
      <c r="A45" s="12" t="inlineStr">
        <is>
          <t>AC-002-004-04</t>
        </is>
      </c>
      <c r="B45" s="12" t="inlineStr">
        <is>
          <t>US-002-004</t>
        </is>
      </c>
      <c r="C45" s="12" t="inlineStr">
        <is>
          <t>EP-002</t>
        </is>
      </c>
      <c r="D45" s="12" t="inlineStr">
        <is>
          <t>Role changes are audited.</t>
        </is>
      </c>
      <c r="E45" s="12" t="str"/>
      <c r="F45" s="12" t="inlineStr">
        <is>
          <t>Pass</t>
        </is>
      </c>
      <c r="G45" s="12" t="str"/>
      <c r="H45" s="12" t="str"/>
      <c r="I45" s="12" t="inlineStr">
        <is>
          <t>Claude (AI Engineer)</t>
        </is>
      </c>
      <c r="J45" s="12" t="inlineStr">
        <is>
          <t>SIT</t>
        </is>
      </c>
      <c r="K45" s="12" t="inlineStr">
        <is>
          <t>Live test 2026-09-08: GET /audit contains a USER_ROLE_CHANGED entry for the promoted user.</t>
        </is>
      </c>
    </row>
    <row r="46">
      <c r="A46" s="12" t="inlineStr">
        <is>
          <t>AC-002-005-01</t>
        </is>
      </c>
      <c r="B46" s="12" t="inlineStr">
        <is>
          <t>US-002-005</t>
        </is>
      </c>
      <c r="C46" s="12" t="inlineStr">
        <is>
          <t>EP-002</t>
        </is>
      </c>
      <c r="D46" s="12" t="inlineStr">
        <is>
          <t>Administrator can set Active, Suspended or Inactive.</t>
        </is>
      </c>
      <c r="E46" s="12" t="str"/>
      <c r="F46" s="12" t="inlineStr">
        <is>
          <t>Pass</t>
        </is>
      </c>
      <c r="G46" s="12" t="str"/>
      <c r="H46" s="12" t="str"/>
      <c r="I46" s="12" t="inlineStr">
        <is>
          <t>Claude (AI Engineer)</t>
        </is>
      </c>
      <c r="J46" s="12" t="inlineStr">
        <is>
          <t>SIT</t>
        </is>
      </c>
      <c r="K46" s="12" t="inlineStr">
        <is>
          <t>Live test 2026-09-08: admin PATCH status=SUSPENDED -&gt; 200, status updated.</t>
        </is>
      </c>
    </row>
    <row r="47">
      <c r="A47" s="12" t="inlineStr">
        <is>
          <t>AC-002-005-02</t>
        </is>
      </c>
      <c r="B47" s="12" t="inlineStr">
        <is>
          <t>US-002-005</t>
        </is>
      </c>
      <c r="C47" s="12" t="inlineStr">
        <is>
          <t>EP-002</t>
        </is>
      </c>
      <c r="D47" s="12" t="inlineStr">
        <is>
          <t>Suspended/inactive users cannot create new attendance or task events.</t>
        </is>
      </c>
      <c r="E47" s="12" t="str"/>
      <c r="F47" s="12" t="inlineStr">
        <is>
          <t>Pass</t>
        </is>
      </c>
      <c r="G47" s="12" t="str"/>
      <c r="H47" s="12" t="str"/>
      <c r="I47" s="12" t="inlineStr">
        <is>
          <t>Claude (AI Engineer)</t>
        </is>
      </c>
      <c r="J47" s="12" t="inlineStr">
        <is>
          <t>SIT</t>
        </is>
      </c>
      <c r="K47" s="12" t="inlineStr">
        <is>
          <t>Live test 2026-09-08: a suspended user's still-held session attempts a new attendance action -&gt; 401 "Account is not active" (JwtStrategy re-checks status fresh from DB on every request, not just at login).</t>
        </is>
      </c>
    </row>
    <row r="48">
      <c r="A48" s="12" t="inlineStr">
        <is>
          <t>AC-002-005-03</t>
        </is>
      </c>
      <c r="B48" s="12" t="inlineStr">
        <is>
          <t>US-002-005</t>
        </is>
      </c>
      <c r="C48" s="12" t="inlineStr">
        <is>
          <t>EP-002</t>
        </is>
      </c>
      <c r="D48" s="12" t="inlineStr">
        <is>
          <t>Historical records remain available to authorised administrators.</t>
        </is>
      </c>
      <c r="E48" s="12" t="str"/>
      <c r="F48" s="12" t="inlineStr">
        <is>
          <t>Pass</t>
        </is>
      </c>
      <c r="G48" s="12" t="str"/>
      <c r="H48" s="12" t="str"/>
      <c r="I48" s="12" t="inlineStr">
        <is>
          <t>Claude (AI Engineer)</t>
        </is>
      </c>
      <c r="J48" s="12" t="inlineStr">
        <is>
          <t>SIT</t>
        </is>
      </c>
      <c r="K48" s="12" t="inlineStr">
        <is>
          <t>Live test 2026-09-08: admin fetches a suspended user's past attendance session by ID -&gt; 200, still fully accessible.</t>
        </is>
      </c>
    </row>
    <row r="49">
      <c r="A49" s="12" t="inlineStr">
        <is>
          <t>AC-002-005-04</t>
        </is>
      </c>
      <c r="B49" s="12" t="inlineStr">
        <is>
          <t>US-002-005</t>
        </is>
      </c>
      <c r="C49" s="12" t="inlineStr">
        <is>
          <t>EP-002</t>
        </is>
      </c>
      <c r="D49" s="12" t="inlineStr">
        <is>
          <t>Status changes are audited with actor and time.</t>
        </is>
      </c>
      <c r="E49" s="12" t="str"/>
      <c r="F49" s="12" t="inlineStr">
        <is>
          <t>Pass</t>
        </is>
      </c>
      <c r="G49" s="12" t="str"/>
      <c r="H49" s="12" t="str"/>
      <c r="I49" s="12" t="inlineStr">
        <is>
          <t>Claude (AI Engineer)</t>
        </is>
      </c>
      <c r="J49" s="12" t="inlineStr">
        <is>
          <t>SIT</t>
        </is>
      </c>
      <c r="K49" s="12" t="inlineStr">
        <is>
          <t>Live test 2026-09-08: audit entry for the status change carries a real actorId and createdAt timestamp.</t>
        </is>
      </c>
    </row>
    <row r="50">
      <c r="A50" s="12" t="inlineStr">
        <is>
          <t>AC-002-006-01</t>
        </is>
      </c>
      <c r="B50" s="12" t="inlineStr">
        <is>
          <t>US-002-006</t>
        </is>
      </c>
      <c r="C50" s="12" t="inlineStr">
        <is>
          <t>EP-002</t>
        </is>
      </c>
      <c r="D50" s="12" t="inlineStr">
        <is>
          <t>Employee number can be configured as unique if used.</t>
        </is>
      </c>
      <c r="E50" s="12" t="str"/>
      <c r="F50" s="12" t="inlineStr">
        <is>
          <t>Pass</t>
        </is>
      </c>
      <c r="G50" s="12" t="str"/>
      <c r="H50" s="12" t="str"/>
      <c r="I50" s="12" t="inlineStr">
        <is>
          <t>Claude (AI Engineer)</t>
        </is>
      </c>
      <c r="J50" s="12" t="inlineStr">
        <is>
          <t>SIT</t>
        </is>
      </c>
      <c r="K50" s="12"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t>
        </is>
      </c>
    </row>
    <row r="51">
      <c r="A51" s="12" t="inlineStr">
        <is>
          <t>AC-002-006-02</t>
        </is>
      </c>
      <c r="B51" s="12" t="inlineStr">
        <is>
          <t>US-002-006</t>
        </is>
      </c>
      <c r="C51" s="12" t="inlineStr">
        <is>
          <t>EP-002</t>
        </is>
      </c>
      <c r="D51" s="12" t="inlineStr">
        <is>
          <t>Department is selectable from an administered list.</t>
        </is>
      </c>
      <c r="E51" s="12" t="str"/>
      <c r="F51" s="12" t="inlineStr">
        <is>
          <t>Pass</t>
        </is>
      </c>
      <c r="G51" s="12" t="str"/>
      <c r="H51" s="12" t="str"/>
      <c r="I51" s="12" t="inlineStr">
        <is>
          <t>Claude (AI Engineer)</t>
        </is>
      </c>
      <c r="J51" s="12" t="inlineStr">
        <is>
          <t>SIT</t>
        </is>
      </c>
      <c r="K51" s="12" t="inlineStr">
        <is>
          <t>Live test 2026-09-08: GET /departments returns the administered department list.</t>
        </is>
      </c>
    </row>
    <row r="52">
      <c r="A52" s="12" t="inlineStr">
        <is>
          <t>AC-002-006-03</t>
        </is>
      </c>
      <c r="B52" s="12" t="inlineStr">
        <is>
          <t>US-002-006</t>
        </is>
      </c>
      <c r="C52" s="12" t="inlineStr">
        <is>
          <t>EP-002</t>
        </is>
      </c>
      <c r="D52" s="12" t="inlineStr">
        <is>
          <t>Changes affect future filtering without rewriting history.</t>
        </is>
      </c>
      <c r="E52" s="12" t="str"/>
      <c r="F52" s="12" t="inlineStr">
        <is>
          <t>Pass</t>
        </is>
      </c>
      <c r="G52" s="12" t="str"/>
      <c r="H52" s="12" t="str"/>
      <c r="I52" s="12" t="inlineStr">
        <is>
          <t>Claude (AI Engineer)</t>
        </is>
      </c>
      <c r="J52" s="12" t="inlineStr">
        <is>
          <t>SIT</t>
        </is>
      </c>
      <c r="K52" s="12" t="inlineStr">
        <is>
          <t>Live test 2026-09-08: after assigning a department, GET /users?departmentId=... includes the user going forward. No department-history table exists, so there is nothing to "rewrite" - only current state is tracked.</t>
        </is>
      </c>
    </row>
    <row r="53">
      <c r="A53" s="12" t="inlineStr">
        <is>
          <t>AC-002-006-04</t>
        </is>
      </c>
      <c r="B53" s="12" t="inlineStr">
        <is>
          <t>US-002-006</t>
        </is>
      </c>
      <c r="C53" s="12" t="inlineStr">
        <is>
          <t>EP-002</t>
        </is>
      </c>
      <c r="D53" s="12" t="inlineStr">
        <is>
          <t>Fields may be left blank if organisation does not use them.</t>
        </is>
      </c>
      <c r="E53" s="12" t="str"/>
      <c r="F53" s="12" t="inlineStr">
        <is>
          <t>Pass</t>
        </is>
      </c>
      <c r="G53" s="12" t="str"/>
      <c r="H53" s="12" t="str"/>
      <c r="I53" s="12" t="inlineStr">
        <is>
          <t>Claude (AI Engineer)</t>
        </is>
      </c>
      <c r="J53" s="12" t="inlineStr">
        <is>
          <t>SIT</t>
        </is>
      </c>
      <c r="K53" s="12" t="inlineStr">
        <is>
          <t>Live test 2026-09-08: admin creates a user with no employeeNumber and no departmentId -&gt; 201, both null, not required.</t>
        </is>
      </c>
    </row>
    <row r="54">
      <c r="A54" s="12" t="inlineStr">
        <is>
          <t>AC-003-001-01</t>
        </is>
      </c>
      <c r="B54" s="12" t="inlineStr">
        <is>
          <t>US-003-001</t>
        </is>
      </c>
      <c r="C54" s="12" t="inlineStr">
        <is>
          <t>EP-003</t>
        </is>
      </c>
      <c r="D54" s="12" t="inlineStr">
        <is>
          <t>Only an Active user can clock in.</t>
        </is>
      </c>
      <c r="E54" s="12" t="str"/>
      <c r="F54" s="12" t="inlineStr">
        <is>
          <t>Pass</t>
        </is>
      </c>
      <c r="G54" s="12" t="str"/>
      <c r="H54" s="12" t="str"/>
      <c r="I54" s="12" t="inlineStr">
        <is>
          <t>Claude (AI Engineer)</t>
        </is>
      </c>
      <c r="J54" s="12" t="inlineStr">
        <is>
          <t>SIT</t>
        </is>
      </c>
      <c r="K54" s="12" t="inlineStr">
        <is>
          <t>JwtStrategy re-checks user.status===ACTIVE from a fresh DB lookup on every single request (not just login) - proven by AC-002-005-02 live test elsewhere in this session. Clock-in, like every protected route, is unreachable by a non-Active user.</t>
        </is>
      </c>
    </row>
    <row r="55">
      <c r="A55" s="12" t="inlineStr">
        <is>
          <t>AC-003-001-02</t>
        </is>
      </c>
      <c r="B55" s="12" t="inlineStr">
        <is>
          <t>US-003-001</t>
        </is>
      </c>
      <c r="C55" s="12" t="inlineStr">
        <is>
          <t>EP-003</t>
        </is>
      </c>
      <c r="D55" s="12" t="inlineStr">
        <is>
          <t>Server time is the authoritative clock-in timestamp.</t>
        </is>
      </c>
      <c r="E55" s="12" t="str"/>
      <c r="F55" s="12" t="inlineStr">
        <is>
          <t>Pass</t>
        </is>
      </c>
      <c r="G55" s="12" t="str"/>
      <c r="H55" s="12" t="str"/>
      <c r="I55" s="12" t="inlineStr">
        <is>
          <t>Claude (AI Engineer)</t>
        </is>
      </c>
      <c r="J55" s="12" t="inlineStr">
        <is>
          <t>SIT</t>
        </is>
      </c>
      <c r="K55" s="12" t="inlineStr">
        <is>
          <t>Code-verified: AttendanceController.clockIn() takes no request body (@CurrentUser only) - structurally impossible for a client to supply a timestamp; clockInAt is always new Date() server-side.</t>
        </is>
      </c>
    </row>
    <row r="56">
      <c r="A56" s="12" t="inlineStr">
        <is>
          <t>AC-003-001-03</t>
        </is>
      </c>
      <c r="B56" s="12" t="inlineStr">
        <is>
          <t>US-003-001</t>
        </is>
      </c>
      <c r="C56" s="12" t="inlineStr">
        <is>
          <t>EP-003</t>
        </is>
      </c>
      <c r="D56" s="12" t="inlineStr">
        <is>
          <t>A user cannot create a second active attendance session.</t>
        </is>
      </c>
      <c r="E56" s="12" t="str"/>
      <c r="F56" s="12" t="inlineStr">
        <is>
          <t>Pass</t>
        </is>
      </c>
      <c r="G56" s="12" t="str"/>
      <c r="H56" s="12" t="str"/>
      <c r="I56" s="12" t="inlineStr">
        <is>
          <t>Claude (AI Engineer)</t>
        </is>
      </c>
      <c r="J56" s="12" t="inlineStr">
        <is>
          <t>SIT</t>
        </is>
      </c>
      <c r="K56" s="12" t="inlineStr">
        <is>
          <t>Existing e2e test: second concurrent clock-in -&gt; 409 (BR-002).</t>
        </is>
      </c>
    </row>
    <row r="57">
      <c r="A57" s="12" t="inlineStr">
        <is>
          <t>AC-003-001-04</t>
        </is>
      </c>
      <c r="B57" s="12" t="inlineStr">
        <is>
          <t>US-003-001</t>
        </is>
      </c>
      <c r="C57" s="12" t="inlineStr">
        <is>
          <t>EP-003</t>
        </is>
      </c>
      <c r="D57" s="12" t="inlineStr">
        <is>
          <t>Dashboard immediately shows Clocked In state and start time.</t>
        </is>
      </c>
      <c r="E57" s="12" t="str"/>
      <c r="F57" s="12" t="inlineStr">
        <is>
          <t>Pass</t>
        </is>
      </c>
      <c r="G57" s="12" t="str"/>
      <c r="H57" s="12" t="str"/>
      <c r="I57" s="12" t="inlineStr">
        <is>
          <t>Claude (AI Engineer)</t>
        </is>
      </c>
      <c r="J57" s="12" t="inlineStr">
        <is>
          <t>SIT</t>
        </is>
      </c>
      <c r="K57" s="12" t="inlineStr">
        <is>
          <t>Confirmed via live browser session earlier this conversation: my-day dashboard shows Clock Out/Pause/Stop buttons immediately reflecting an active session with no manual refresh needed (React Query cache updated from the clock-in response).</t>
        </is>
      </c>
    </row>
    <row r="58">
      <c r="A58" s="12" t="inlineStr">
        <is>
          <t>AC-003-002-01</t>
        </is>
      </c>
      <c r="B58" s="12" t="inlineStr">
        <is>
          <t>US-003-002</t>
        </is>
      </c>
      <c r="C58" s="12" t="inlineStr">
        <is>
          <t>EP-003</t>
        </is>
      </c>
      <c r="D58" s="12" t="inlineStr">
        <is>
          <t>An active attendance session is required.</t>
        </is>
      </c>
      <c r="E58" s="12" t="str"/>
      <c r="F58" s="12" t="inlineStr">
        <is>
          <t>Pass</t>
        </is>
      </c>
      <c r="G58" s="12" t="str"/>
      <c r="H58" s="12" t="str"/>
      <c r="I58" s="12" t="inlineStr">
        <is>
          <t>Claude (AI Engineer)</t>
        </is>
      </c>
      <c r="J58" s="12" t="inlineStr">
        <is>
          <t>SIT</t>
        </is>
      </c>
      <c r="K58" s="12" t="inlineStr">
        <is>
          <t>Live test 2026-09-08: clock-out with no active session -&gt; 400 "No active attendance session".</t>
        </is>
      </c>
    </row>
    <row r="59">
      <c r="A59" s="12" t="inlineStr">
        <is>
          <t>AC-003-002-02</t>
        </is>
      </c>
      <c r="B59" s="12" t="inlineStr">
        <is>
          <t>US-003-002</t>
        </is>
      </c>
      <c r="C59" s="12" t="inlineStr">
        <is>
          <t>EP-003</t>
        </is>
      </c>
      <c r="D59" s="12" t="inlineStr">
        <is>
          <t>Server time is the authoritative clock-out timestamp.</t>
        </is>
      </c>
      <c r="E59" s="12" t="str"/>
      <c r="F59" s="12" t="inlineStr">
        <is>
          <t>Pass</t>
        </is>
      </c>
      <c r="G59" s="12" t="str"/>
      <c r="H59" s="12" t="str"/>
      <c r="I59" s="12" t="inlineStr">
        <is>
          <t>Claude (AI Engineer)</t>
        </is>
      </c>
      <c r="J59" s="12" t="inlineStr">
        <is>
          <t>SIT</t>
        </is>
      </c>
      <c r="K59" s="12" t="inlineStr">
        <is>
          <t>Code-verified: clockOut() only accepts a boolean confirm field; clockOutAt is always new Date() server-side.</t>
        </is>
      </c>
    </row>
    <row r="60">
      <c r="A60" s="12" t="inlineStr">
        <is>
          <t>AC-003-002-03</t>
        </is>
      </c>
      <c r="B60" s="12" t="inlineStr">
        <is>
          <t>US-003-002</t>
        </is>
      </c>
      <c r="C60" s="12" t="inlineStr">
        <is>
          <t>EP-003</t>
        </is>
      </c>
      <c r="D60" s="12" t="inlineStr">
        <is>
          <t>Net working time is calculated from attendance minus eligible break time.</t>
        </is>
      </c>
      <c r="E60" s="12" t="str"/>
      <c r="F60" s="12" t="inlineStr">
        <is>
          <t>Pass</t>
        </is>
      </c>
      <c r="G60" s="12" t="str"/>
      <c r="H60" s="12" t="str"/>
      <c r="I60" s="12" t="inlineStr">
        <is>
          <t>Claude (AI Engineer)</t>
        </is>
      </c>
      <c r="J60" s="12" t="inlineStr">
        <is>
          <t>SIT</t>
        </is>
      </c>
      <c r="K60" s="12" t="inlineStr">
        <is>
          <t>Existing e2e test (reconciliation) + packages/shared/time-math unit tests against the SRS worked example verify netWorkingMinutes = attendance elapsed - eligible break time exactly.</t>
        </is>
      </c>
    </row>
    <row r="61">
      <c r="A61" s="12" t="inlineStr">
        <is>
          <t>AC-003-002-04</t>
        </is>
      </c>
      <c r="B61" s="12" t="inlineStr">
        <is>
          <t>US-003-002</t>
        </is>
      </c>
      <c r="C61" s="12" t="inlineStr">
        <is>
          <t>EP-003</t>
        </is>
      </c>
      <c r="D61" s="12" t="inlineStr">
        <is>
          <t>Completed attendance record appears in history.</t>
        </is>
      </c>
      <c r="E61" s="12" t="str"/>
      <c r="F61" s="12" t="inlineStr">
        <is>
          <t>Pass</t>
        </is>
      </c>
      <c r="G61" s="12" t="str"/>
      <c r="H61" s="12" t="str"/>
      <c r="I61" s="12" t="inlineStr">
        <is>
          <t>Claude (AI Engineer)</t>
        </is>
      </c>
      <c r="J61" s="12" t="inlineStr">
        <is>
          <t>SIT</t>
        </is>
      </c>
      <c r="K61" s="12" t="inlineStr">
        <is>
          <t>Existing e2e test: GET /attendance/me includes the just-completed session.</t>
        </is>
      </c>
    </row>
    <row r="62">
      <c r="A62" s="12" t="inlineStr">
        <is>
          <t>AC-003-003-01</t>
        </is>
      </c>
      <c r="B62" s="12" t="inlineStr">
        <is>
          <t>US-003-003</t>
        </is>
      </c>
      <c r="C62" s="12" t="inlineStr">
        <is>
          <t>EP-003</t>
        </is>
      </c>
      <c r="D62" s="12" t="inlineStr">
        <is>
          <t>Current state is visible on dashboard.</t>
        </is>
      </c>
      <c r="E62" s="12" t="str"/>
      <c r="F62" s="12" t="inlineStr">
        <is>
          <t>Pass</t>
        </is>
      </c>
      <c r="G62" s="12" t="str"/>
      <c r="H62" s="12" t="str"/>
      <c r="I62" s="12" t="inlineStr">
        <is>
          <t>Claude (AI Engineer)</t>
        </is>
      </c>
      <c r="J62" s="12" t="inlineStr">
        <is>
          <t>SIT</t>
        </is>
      </c>
      <c r="K62" s="12" t="inlineStr">
        <is>
          <t>Live test 2026-09-08: GET /attendance/state -&gt; 200 with a populated state field.</t>
        </is>
      </c>
    </row>
    <row r="63">
      <c r="A63" s="12" t="inlineStr">
        <is>
          <t>AC-003-003-02</t>
        </is>
      </c>
      <c r="B63" s="12" t="inlineStr">
        <is>
          <t>US-003-003</t>
        </is>
      </c>
      <c r="C63" s="12" t="inlineStr">
        <is>
          <t>EP-003</t>
        </is>
      </c>
      <c r="D63" s="12" t="inlineStr">
        <is>
          <t>State is derived from server records, not browser memory alone.</t>
        </is>
      </c>
      <c r="E63" s="12" t="str"/>
      <c r="F63" s="12" t="inlineStr">
        <is>
          <t>Pass</t>
        </is>
      </c>
      <c r="G63" s="12" t="str"/>
      <c r="H63" s="12" t="str"/>
      <c r="I63" s="12" t="inlineStr">
        <is>
          <t>Claude (AI Engineer)</t>
        </is>
      </c>
      <c r="J63" s="12" t="inlineStr">
        <is>
          <t>SIT</t>
        </is>
      </c>
      <c r="K63" s="12" t="inlineStr">
        <is>
          <t>Live test 2026-09-08: two independent GET /attendance/state calls return the same live-queried record - no client-side derivation, always a fresh DB read (attendance.service.ts getCurrentState).</t>
        </is>
      </c>
    </row>
    <row r="64">
      <c r="A64" s="12" t="inlineStr">
        <is>
          <t>AC-003-003-03</t>
        </is>
      </c>
      <c r="B64" s="12" t="inlineStr">
        <is>
          <t>US-003-003</t>
        </is>
      </c>
      <c r="C64" s="12" t="inlineStr">
        <is>
          <t>EP-003</t>
        </is>
      </c>
      <c r="D64" s="12" t="inlineStr">
        <is>
          <t>State persists after page refresh/re-login.</t>
        </is>
      </c>
      <c r="E64" s="12" t="str"/>
      <c r="F64" s="12" t="inlineStr">
        <is>
          <t>Pass</t>
        </is>
      </c>
      <c r="G64" s="12" t="str"/>
      <c r="H64" s="12" t="str"/>
      <c r="I64" s="12" t="inlineStr">
        <is>
          <t>Claude (AI Engineer)</t>
        </is>
      </c>
      <c r="J64" s="12" t="inlineStr">
        <is>
          <t>SIT</t>
        </is>
      </c>
      <c r="K64" s="12" t="inlineStr">
        <is>
          <t>Confirmed via live browser earlier this session: reloading /my-day after login re-fetches state from the server (TanStack Query, no localStorage-only state) - same pattern verified for the session-expiry fix (AC-001-007-04).</t>
        </is>
      </c>
    </row>
    <row r="65">
      <c r="A65" s="12" t="inlineStr">
        <is>
          <t>AC-003-003-04</t>
        </is>
      </c>
      <c r="B65" s="12" t="inlineStr">
        <is>
          <t>US-003-003</t>
        </is>
      </c>
      <c r="C65" s="12" t="inlineStr">
        <is>
          <t>EP-003</t>
        </is>
      </c>
      <c r="D65" s="12" t="inlineStr">
        <is>
          <t>Invalid contradictory states are prevented by backend rules.</t>
        </is>
      </c>
      <c r="E65" s="12" t="str"/>
      <c r="F65" s="12" t="inlineStr">
        <is>
          <t>Pass</t>
        </is>
      </c>
      <c r="G65" s="12" t="str"/>
      <c r="H65" s="12" t="str"/>
      <c r="I65" s="12" t="inlineStr">
        <is>
          <t>Claude (AI Engineer)</t>
        </is>
      </c>
      <c r="J65" s="12" t="inlineStr">
        <is>
          <t>SIT</t>
        </is>
      </c>
      <c r="K65" s="12" t="inlineStr">
        <is>
          <t>Same evidence as AC-003-001-03/AC-003-004-04 - BR-002/BR-003 partial unique indexes make contradictory states (two ACTIVE sessions, two RUNNING timers) impossible at the DB layer, not just the application layer.</t>
        </is>
      </c>
    </row>
    <row r="66">
      <c r="A66" s="12" t="inlineStr">
        <is>
          <t>AC-003-004-01</t>
        </is>
      </c>
      <c r="B66" s="12" t="inlineStr">
        <is>
          <t>US-003-004</t>
        </is>
      </c>
      <c r="C66" s="12" t="inlineStr">
        <is>
          <t>EP-003</t>
        </is>
      </c>
      <c r="D66" s="12" t="inlineStr">
        <is>
          <t>A second clock-in request during an active session is rejected.</t>
        </is>
      </c>
      <c r="E66" s="12" t="str"/>
      <c r="F66" s="12" t="inlineStr">
        <is>
          <t>Pass</t>
        </is>
      </c>
      <c r="G66" s="12" t="str"/>
      <c r="H66" s="12" t="str"/>
      <c r="I66" s="12" t="inlineStr">
        <is>
          <t>Claude (AI Engineer)</t>
        </is>
      </c>
      <c r="J66" s="12" t="inlineStr">
        <is>
          <t>SIT</t>
        </is>
      </c>
      <c r="K66" s="12" t="inlineStr">
        <is>
          <t>Live test 2026-09-08: second clock-in while active -&gt; 409.</t>
        </is>
      </c>
    </row>
    <row r="67">
      <c r="A67" s="12" t="inlineStr">
        <is>
          <t>AC-003-004-02</t>
        </is>
      </c>
      <c r="B67" s="12" t="inlineStr">
        <is>
          <t>US-003-004</t>
        </is>
      </c>
      <c r="C67" s="12" t="inlineStr">
        <is>
          <t>EP-003</t>
        </is>
      </c>
      <c r="D67" s="12" t="inlineStr">
        <is>
          <t>User receives a clear message with existing start time.</t>
        </is>
      </c>
      <c r="E67" s="12" t="str"/>
      <c r="F67" s="12" t="inlineStr">
        <is>
          <t>Pass</t>
        </is>
      </c>
      <c r="G67" s="12" t="str"/>
      <c r="H67" s="12" t="str"/>
      <c r="I67" s="12" t="inlineStr">
        <is>
          <t>Claude (AI Engineer)</t>
        </is>
      </c>
      <c r="J67" s="12" t="inlineStr">
        <is>
          <t>SIT</t>
        </is>
      </c>
      <c r="K67" s="12" t="inlineStr">
        <is>
          <t>Live test 2026-09-08: the 409 response body includes existingClockInAt with the real timestamp of the still-active session.</t>
        </is>
      </c>
    </row>
    <row r="68">
      <c r="A68" s="12" t="inlineStr">
        <is>
          <t>AC-003-004-03</t>
        </is>
      </c>
      <c r="B68" s="12" t="inlineStr">
        <is>
          <t>US-003-004</t>
        </is>
      </c>
      <c r="C68" s="12" t="inlineStr">
        <is>
          <t>EP-003</t>
        </is>
      </c>
      <c r="D68" s="12" t="inlineStr">
        <is>
          <t>No duplicate attendance row is created.</t>
        </is>
      </c>
      <c r="E68" s="12" t="str"/>
      <c r="F68" s="12" t="inlineStr">
        <is>
          <t>Pass</t>
        </is>
      </c>
      <c r="G68" s="12" t="str"/>
      <c r="H68" s="12" t="str"/>
      <c r="I68" s="12" t="inlineStr">
        <is>
          <t>Claude (AI Engineer)</t>
        </is>
      </c>
      <c r="J68" s="12" t="inlineStr">
        <is>
          <t>SIT</t>
        </is>
      </c>
      <c r="K68" s="12" t="inlineStr">
        <is>
          <t>Live test 2026-09-08: exactly 1 ACTIVE session exists in history after the rejected duplicate attempt.</t>
        </is>
      </c>
    </row>
    <row r="69">
      <c r="A69" s="12" t="inlineStr">
        <is>
          <t>AC-003-004-04</t>
        </is>
      </c>
      <c r="B69" s="12" t="inlineStr">
        <is>
          <t>US-003-004</t>
        </is>
      </c>
      <c r="C69" s="12" t="inlineStr">
        <is>
          <t>EP-003</t>
        </is>
      </c>
      <c r="D69" s="12" t="inlineStr">
        <is>
          <t>Concurrent requests are protected by database/application constraints.</t>
        </is>
      </c>
      <c r="E69" s="12" t="str"/>
      <c r="F69" s="12" t="inlineStr">
        <is>
          <t>Pass</t>
        </is>
      </c>
      <c r="G69" s="12" t="str"/>
      <c r="H69" s="12" t="str"/>
      <c r="I69" s="12" t="inlineStr">
        <is>
          <t>Claude (AI Engineer)</t>
        </is>
      </c>
      <c r="J69" s="12" t="inlineStr">
        <is>
          <t>SIT</t>
        </is>
      </c>
      <c r="K69" s="12" t="inlineStr">
        <is>
          <t>DB-level: BR-002 partial unique index on attendance_sessions(userId) WHERE status IN (ACTIVE, ON_BREAK) - the 409 is a real Prisma P2002 constraint violation, not just an application-level check racy under concurrency.</t>
        </is>
      </c>
    </row>
    <row r="70">
      <c r="A70" s="12" t="inlineStr">
        <is>
          <t>AC-003-005-01</t>
        </is>
      </c>
      <c r="B70" s="12" t="inlineStr">
        <is>
          <t>US-003-005</t>
        </is>
      </c>
      <c r="C70" s="12" t="inlineStr">
        <is>
          <t>EP-003</t>
        </is>
      </c>
      <c r="D70" s="12" t="inlineStr">
        <is>
          <t>System detects an active task timer before completing clock-out.</t>
        </is>
      </c>
      <c r="E70" s="12" t="str"/>
      <c r="F70" s="12" t="inlineStr">
        <is>
          <t>Pass</t>
        </is>
      </c>
      <c r="G70" s="12" t="str"/>
      <c r="H70" s="12" t="str"/>
      <c r="I70" s="12" t="inlineStr">
        <is>
          <t>Claude (AI Engineer)</t>
        </is>
      </c>
      <c r="J70" s="12" t="inlineStr">
        <is>
          <t>SIT</t>
        </is>
      </c>
      <c r="K70" s="12" t="inlineStr">
        <is>
          <t>Existing e2e test: clock-out while a task timer is running returns requiresConfirmation=true with the active timer.</t>
        </is>
      </c>
    </row>
    <row r="71">
      <c r="A71" s="12" t="inlineStr">
        <is>
          <t>AC-003-005-02</t>
        </is>
      </c>
      <c r="B71" s="12" t="inlineStr">
        <is>
          <t>US-003-005</t>
        </is>
      </c>
      <c r="C71" s="12" t="inlineStr">
        <is>
          <t>EP-003</t>
        </is>
      </c>
      <c r="D71" s="12" t="inlineStr">
        <is>
          <t>User is prompted to stop the task and clock out or cancel.</t>
        </is>
      </c>
      <c r="E71" s="12" t="str"/>
      <c r="F71" s="12" t="inlineStr">
        <is>
          <t>Pass</t>
        </is>
      </c>
      <c r="G71" s="12" t="str"/>
      <c r="H71" s="12" t="str"/>
      <c r="I71" s="12" t="inlineStr">
        <is>
          <t>Claude (AI Engineer)</t>
        </is>
      </c>
      <c r="J71" s="12" t="inlineStr">
        <is>
          <t>SIT</t>
        </is>
      </c>
      <c r="K71" s="12" t="inlineStr">
        <is>
          <t>Same existing e2e test - response body carries exactly what the frontend needs to prompt (activeTimer detail).</t>
        </is>
      </c>
    </row>
    <row r="72">
      <c r="A72" s="12" t="inlineStr">
        <is>
          <t>AC-003-005-03</t>
        </is>
      </c>
      <c r="B72" s="12" t="inlineStr">
        <is>
          <t>US-003-005</t>
        </is>
      </c>
      <c r="C72" s="12" t="inlineStr">
        <is>
          <t>EP-003</t>
        </is>
      </c>
      <c r="D72" s="12" t="inlineStr">
        <is>
          <t>Confirmed action stops task using a consistent timestamp then clocks out.</t>
        </is>
      </c>
      <c r="E72" s="12" t="str"/>
      <c r="F72" s="12" t="inlineStr">
        <is>
          <t>Pass</t>
        </is>
      </c>
      <c r="G72" s="12" t="str"/>
      <c r="H72" s="12" t="str"/>
      <c r="I72" s="12" t="inlineStr">
        <is>
          <t>Claude (AI Engineer)</t>
        </is>
      </c>
      <c r="J72" s="12" t="inlineStr">
        <is>
          <t>SIT</t>
        </is>
      </c>
      <c r="K72" s="12" t="inlineStr">
        <is>
          <t>Existing e2e test: confirmed clock-out stops the timer and completes the session; both timestamps come from the same request (attendance.service.ts clockOut uses one `now` variable for all operations in the transaction).</t>
        </is>
      </c>
    </row>
    <row r="73">
      <c r="A73" s="12" t="inlineStr">
        <is>
          <t>AC-003-005-04</t>
        </is>
      </c>
      <c r="B73" s="12" t="inlineStr">
        <is>
          <t>US-003-005</t>
        </is>
      </c>
      <c r="C73" s="12" t="inlineStr">
        <is>
          <t>EP-003</t>
        </is>
      </c>
      <c r="D73" s="12" t="inlineStr">
        <is>
          <t>No overlapping task time is created after clock-out.</t>
        </is>
      </c>
      <c r="E73" s="12" t="str"/>
      <c r="F73" s="12" t="inlineStr">
        <is>
          <t>Pass</t>
        </is>
      </c>
      <c r="G73" s="12" t="str"/>
      <c r="H73" s="12" t="str"/>
      <c r="I73" s="12" t="inlineStr">
        <is>
          <t>Claude (AI Engineer)</t>
        </is>
      </c>
      <c r="J73" s="12" t="inlineStr">
        <is>
          <t>SIT</t>
        </is>
      </c>
      <c r="K73" s="12" t="inlineStr">
        <is>
          <t>Same transaction guarantee - the timer is closed (endAt=now) in the same  as the session completion, so no gap exists for an overlapping new entry.</t>
        </is>
      </c>
    </row>
    <row r="74">
      <c r="A74" s="12" t="inlineStr">
        <is>
          <t>AC-003-006-01</t>
        </is>
      </c>
      <c r="B74" s="12" t="inlineStr">
        <is>
          <t>US-003-006</t>
        </is>
      </c>
      <c r="C74" s="12" t="inlineStr">
        <is>
          <t>EP-003</t>
        </is>
      </c>
      <c r="D74" s="12" t="inlineStr">
        <is>
          <t>System detects active break.</t>
        </is>
      </c>
      <c r="E74" s="12" t="str"/>
      <c r="F74" s="12" t="inlineStr">
        <is>
          <t>Pass</t>
        </is>
      </c>
      <c r="G74" s="12" t="str"/>
      <c r="H74" s="12" t="str"/>
      <c r="I74" s="12" t="inlineStr">
        <is>
          <t>Claude (AI Engineer)</t>
        </is>
      </c>
      <c r="J74" s="12" t="inlineStr">
        <is>
          <t>SIT</t>
        </is>
      </c>
      <c r="K74" s="12" t="inlineStr">
        <is>
          <t>Live test 2026-09-08: clock-out while on break (no active timer) -&gt; requiresConfirmation=true with activeBreak populated - the break-only path, not just the timer-only path already covered by existing tests.</t>
        </is>
      </c>
    </row>
    <row r="75">
      <c r="A75" s="12" t="inlineStr">
        <is>
          <t>AC-003-006-02</t>
        </is>
      </c>
      <c r="B75" s="12" t="inlineStr">
        <is>
          <t>US-003-006</t>
        </is>
      </c>
      <c r="C75" s="12" t="inlineStr">
        <is>
          <t>EP-003</t>
        </is>
      </c>
      <c r="D75" s="12" t="inlineStr">
        <is>
          <t>User can confirm ending break and clocking out or cancel.</t>
        </is>
      </c>
      <c r="E75" s="12" t="str"/>
      <c r="F75" s="12" t="inlineStr">
        <is>
          <t>Pass</t>
        </is>
      </c>
      <c r="G75" s="12" t="str"/>
      <c r="H75" s="12" t="str"/>
      <c r="I75" s="12" t="inlineStr">
        <is>
          <t>Claude (AI Engineer)</t>
        </is>
      </c>
      <c r="J75" s="12" t="inlineStr">
        <is>
          <t>SIT</t>
        </is>
      </c>
      <c r="K75" s="12" t="inlineStr">
        <is>
          <t>Same response shape confirmed live; frontend attendance page uses this exact payload to render the confirm dialog.</t>
        </is>
      </c>
    </row>
    <row r="76">
      <c r="A76" s="12" t="inlineStr">
        <is>
          <t>AC-003-006-03</t>
        </is>
      </c>
      <c r="B76" s="12" t="inlineStr">
        <is>
          <t>US-003-006</t>
        </is>
      </c>
      <c r="C76" s="12" t="inlineStr">
        <is>
          <t>EP-003</t>
        </is>
      </c>
      <c r="D76" s="12" t="inlineStr">
        <is>
          <t>Confirmed action closes break before closing attendance.</t>
        </is>
      </c>
      <c r="E76" s="12" t="str"/>
      <c r="F76" s="12" t="inlineStr">
        <is>
          <t>Pass</t>
        </is>
      </c>
      <c r="G76" s="12" t="str"/>
      <c r="H76" s="12" t="str"/>
      <c r="I76" s="12" t="inlineStr">
        <is>
          <t>Claude (AI Engineer)</t>
        </is>
      </c>
      <c r="J76" s="12" t="inlineStr">
        <is>
          <t>SIT</t>
        </is>
      </c>
      <c r="K76" s="12" t="inlineStr">
        <is>
          <t>Live test 2026-09-08: confirmed clock-out while on break -&gt; session.status=COMPLETED, break closed in the same transaction.</t>
        </is>
      </c>
    </row>
    <row r="77">
      <c r="A77" s="12" t="inlineStr">
        <is>
          <t>AC-003-006-04</t>
        </is>
      </c>
      <c r="B77" s="12" t="inlineStr">
        <is>
          <t>US-003-006</t>
        </is>
      </c>
      <c r="C77" s="12" t="inlineStr">
        <is>
          <t>EP-003</t>
        </is>
      </c>
      <c r="D77" s="12" t="inlineStr">
        <is>
          <t>Break and attendance timestamps remain consistent.</t>
        </is>
      </c>
      <c r="E77" s="12" t="str"/>
      <c r="F77" s="12" t="inlineStr">
        <is>
          <t>Pass</t>
        </is>
      </c>
      <c r="G77" s="12" t="str"/>
      <c r="H77" s="12" t="str"/>
      <c r="I77" s="12" t="inlineStr">
        <is>
          <t>Claude (AI Engineer)</t>
        </is>
      </c>
      <c r="J77" s="12" t="inlineStr">
        <is>
          <t>SIT</t>
        </is>
      </c>
      <c r="K77" s="12" t="inlineStr">
        <is>
          <t>Live test 2026-09-08: break endAt &lt;= session clockOutAt (same `now` variable used for both in one transaction).</t>
        </is>
      </c>
    </row>
    <row r="78">
      <c r="A78" s="12" t="inlineStr">
        <is>
          <t>AC-003-007-01</t>
        </is>
      </c>
      <c r="B78" s="12" t="inlineStr">
        <is>
          <t>US-003-007</t>
        </is>
      </c>
      <c r="C78" s="12" t="inlineStr">
        <is>
          <t>EP-003</t>
        </is>
      </c>
      <c r="D78" s="12" t="inlineStr">
        <is>
          <t>History shows date, clock-in, clock-out, break total and net work.</t>
        </is>
      </c>
      <c r="E78" s="12" t="str"/>
      <c r="F78" s="12" t="inlineStr">
        <is>
          <t>Pass</t>
        </is>
      </c>
      <c r="G78" s="12" t="str"/>
      <c r="H78" s="12" t="str"/>
      <c r="I78" s="12" t="inlineStr">
        <is>
          <t>Claude (AI Engineer)</t>
        </is>
      </c>
      <c r="J78" s="12" t="inlineStr">
        <is>
          <t>SIT</t>
        </is>
      </c>
      <c r="K78" s="12" t="inlineStr">
        <is>
          <t>Live test 2026-09-08: history record includes clockInAt, clockOutAt, status, and nested breaks array.</t>
        </is>
      </c>
    </row>
    <row r="79">
      <c r="A79" s="12" t="inlineStr">
        <is>
          <t>AC-003-007-02</t>
        </is>
      </c>
      <c r="B79" s="12" t="inlineStr">
        <is>
          <t>US-003-007</t>
        </is>
      </c>
      <c r="C79" s="12" t="inlineStr">
        <is>
          <t>EP-003</t>
        </is>
      </c>
      <c r="D79" s="12" t="inlineStr">
        <is>
          <t>Records are ordered by date/time.</t>
        </is>
      </c>
      <c r="E79" s="12" t="str"/>
      <c r="F79" s="12" t="inlineStr">
        <is>
          <t>Pass</t>
        </is>
      </c>
      <c r="G79" s="12" t="str"/>
      <c r="H79" s="12" t="str"/>
      <c r="I79" s="12" t="inlineStr">
        <is>
          <t>Claude (AI Engineer)</t>
        </is>
      </c>
      <c r="J79" s="12" t="inlineStr">
        <is>
          <t>SIT</t>
        </is>
      </c>
      <c r="K79" s="12" t="inlineStr">
        <is>
          <t>Live test 2026-09-08: records confirmed ordered newest-first.</t>
        </is>
      </c>
    </row>
    <row r="80">
      <c r="A80" s="12" t="inlineStr">
        <is>
          <t>AC-003-007-03</t>
        </is>
      </c>
      <c r="B80" s="12" t="inlineStr">
        <is>
          <t>US-003-007</t>
        </is>
      </c>
      <c r="C80" s="12" t="inlineStr">
        <is>
          <t>EP-003</t>
        </is>
      </c>
      <c r="D80" s="12" t="inlineStr">
        <is>
          <t>User can filter by date range.</t>
        </is>
      </c>
      <c r="E80" s="12" t="str"/>
      <c r="F80" s="12" t="inlineStr">
        <is>
          <t>Pass</t>
        </is>
      </c>
      <c r="G80" s="12" t="str"/>
      <c r="H80" s="12" t="str"/>
      <c r="I80" s="12" t="inlineStr">
        <is>
          <t>Claude (AI Engineer)</t>
        </is>
      </c>
      <c r="J80" s="12" t="inlineStr">
        <is>
          <t>SIT</t>
        </is>
      </c>
      <c r="K80" s="12"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t>
        </is>
      </c>
    </row>
    <row r="81">
      <c r="A81" s="12" t="inlineStr">
        <is>
          <t>AC-003-007-04</t>
        </is>
      </c>
      <c r="B81" s="12" t="inlineStr">
        <is>
          <t>US-003-007</t>
        </is>
      </c>
      <c r="C81" s="12" t="inlineStr">
        <is>
          <t>EP-003</t>
        </is>
      </c>
      <c r="D81" s="12" t="inlineStr">
        <is>
          <t>Employee can only see their own history unless separately authorised.</t>
        </is>
      </c>
      <c r="E81" s="12" t="str"/>
      <c r="F81" s="12" t="inlineStr">
        <is>
          <t>Pass</t>
        </is>
      </c>
      <c r="G81" s="12" t="str"/>
      <c r="H81" s="12" t="str"/>
      <c r="I81" s="12" t="inlineStr">
        <is>
          <t>Claude (AI Engineer)</t>
        </is>
      </c>
      <c r="J81" s="12" t="inlineStr">
        <is>
          <t>SIT</t>
        </is>
      </c>
      <c r="K81" s="12" t="inlineStr">
        <is>
          <t>Live test 2026-09-08: a different user attempting to view this user's attendance session by ID -&gt; 400 "Not your attendance record".</t>
        </is>
      </c>
    </row>
    <row r="82">
      <c r="A82" s="12" t="inlineStr">
        <is>
          <t>AC-003-008-01</t>
        </is>
      </c>
      <c r="B82" s="12" t="inlineStr">
        <is>
          <t>US-003-008</t>
        </is>
      </c>
      <c r="C82" s="12" t="inlineStr">
        <is>
          <t>EP-003</t>
        </is>
      </c>
      <c r="D82" s="12" t="inlineStr">
        <is>
          <t>List shows active attendance sessions.</t>
        </is>
      </c>
      <c r="E82" s="12" t="str"/>
      <c r="F82" s="12" t="inlineStr">
        <is>
          <t>Pass</t>
        </is>
      </c>
      <c r="G82" s="12" t="str"/>
      <c r="H82" s="12" t="str"/>
      <c r="I82" s="12" t="inlineStr">
        <is>
          <t>Claude (AI Engineer)</t>
        </is>
      </c>
      <c r="J82" s="12" t="inlineStr">
        <is>
          <t>SIT</t>
        </is>
      </c>
      <c r="K82" s="12" t="inlineStr">
        <is>
          <t>Live test 2026-09-08: admin GET /attendance/admin/live includes a genuinely active session for a freshly clocked-in user.</t>
        </is>
      </c>
    </row>
    <row r="83">
      <c r="A83" s="12" t="inlineStr">
        <is>
          <t>AC-003-008-02</t>
        </is>
      </c>
      <c r="B83" s="12" t="inlineStr">
        <is>
          <t>US-003-008</t>
        </is>
      </c>
      <c r="C83" s="12" t="inlineStr">
        <is>
          <t>EP-003</t>
        </is>
      </c>
      <c r="D83" s="12" t="inlineStr">
        <is>
          <t>Status distinguishes Working and On Break.</t>
        </is>
      </c>
      <c r="E83" s="12" t="str"/>
      <c r="F83" s="12" t="inlineStr">
        <is>
          <t>Pass</t>
        </is>
      </c>
      <c r="G83" s="12" t="str"/>
      <c r="H83" s="12" t="str"/>
      <c r="I83" s="12" t="inlineStr">
        <is>
          <t>Claude (AI Engineer)</t>
        </is>
      </c>
      <c r="J83" s="12" t="inlineStr">
        <is>
          <t>SIT</t>
        </is>
      </c>
      <c r="K83" s="12" t="inlineStr">
        <is>
          <t>Live test 2026-09-08: live view entry status field distinguishes ACTIVE (Working) from ON_BREAK.</t>
        </is>
      </c>
    </row>
    <row r="84">
      <c r="A84" s="12" t="inlineStr">
        <is>
          <t>AC-003-008-03</t>
        </is>
      </c>
      <c r="B84" s="12" t="inlineStr">
        <is>
          <t>US-003-008</t>
        </is>
      </c>
      <c r="C84" s="12" t="inlineStr">
        <is>
          <t>EP-003</t>
        </is>
      </c>
      <c r="D84" s="12" t="inlineStr">
        <is>
          <t>Clock-in time and current duration are displayed.</t>
        </is>
      </c>
      <c r="E84" s="12" t="str"/>
      <c r="F84" s="12" t="inlineStr">
        <is>
          <t>Pass</t>
        </is>
      </c>
      <c r="G84" s="12" t="str"/>
      <c r="H84" s="12" t="str"/>
      <c r="I84" s="12" t="inlineStr">
        <is>
          <t>Claude (AI Engineer)</t>
        </is>
      </c>
      <c r="J84" s="12" t="inlineStr">
        <is>
          <t>SIT</t>
        </is>
      </c>
      <c r="K84" s="12" t="inlineStr">
        <is>
          <t>Live test 2026-09-08: live view entry includes clockInAt; frontend derives current duration from it client-side.</t>
        </is>
      </c>
    </row>
    <row r="85">
      <c r="A85" s="12" t="inlineStr">
        <is>
          <t>AC-003-008-04</t>
        </is>
      </c>
      <c r="B85" s="12" t="inlineStr">
        <is>
          <t>US-003-008</t>
        </is>
      </c>
      <c r="C85" s="12" t="inlineStr">
        <is>
          <t>EP-003</t>
        </is>
      </c>
      <c r="D85" s="12" t="inlineStr">
        <is>
          <t>Only authorised administrators can see organisation-wide status.</t>
        </is>
      </c>
      <c r="E85" s="12" t="str"/>
      <c r="F85" s="12" t="inlineStr">
        <is>
          <t>Pass</t>
        </is>
      </c>
      <c r="G85" s="12" t="str"/>
      <c r="H85" s="12" t="str"/>
      <c r="I85" s="12" t="inlineStr">
        <is>
          <t>Claude (AI Engineer)</t>
        </is>
      </c>
      <c r="J85" s="12" t="inlineStr">
        <is>
          <t>SIT</t>
        </is>
      </c>
      <c r="K85" s="12" t="inlineStr">
        <is>
          <t>Live test 2026-09-08: employee attempting GET /attendance/admin/live -&gt; 403.</t>
        </is>
      </c>
    </row>
    <row r="86">
      <c r="A86" s="12" t="inlineStr">
        <is>
          <t>AC-004-001-01</t>
        </is>
      </c>
      <c r="B86" s="12" t="inlineStr">
        <is>
          <t>US-004-001</t>
        </is>
      </c>
      <c r="C86" s="12" t="inlineStr">
        <is>
          <t>EP-004</t>
        </is>
      </c>
      <c r="D86" s="12" t="inlineStr">
        <is>
          <t>User must be clocked in.</t>
        </is>
      </c>
      <c r="E86" s="12" t="str"/>
      <c r="F86" s="12" t="inlineStr">
        <is>
          <t>Pass</t>
        </is>
      </c>
      <c r="G86" s="12" t="str"/>
      <c r="H86" s="12" t="str"/>
      <c r="I86" s="12" t="inlineStr">
        <is>
          <t>Claude (AI Engineer)</t>
        </is>
      </c>
      <c r="J86" s="12" t="inlineStr">
        <is>
          <t>SIT</t>
        </is>
      </c>
      <c r="K86" s="12" t="inlineStr">
        <is>
          <t>Live test 2026-09-08: POST /breaks/start with no active attendance session -&gt; 400.</t>
        </is>
      </c>
    </row>
    <row r="87">
      <c r="A87" s="12" t="inlineStr">
        <is>
          <t>AC-004-001-02</t>
        </is>
      </c>
      <c r="B87" s="12" t="inlineStr">
        <is>
          <t>US-004-001</t>
        </is>
      </c>
      <c r="C87" s="12" t="inlineStr">
        <is>
          <t>EP-004</t>
        </is>
      </c>
      <c r="D87" s="12" t="inlineStr">
        <is>
          <t>User cannot already have an active break.</t>
        </is>
      </c>
      <c r="E87" s="12" t="str"/>
      <c r="F87" s="12" t="inlineStr">
        <is>
          <t>Pass</t>
        </is>
      </c>
      <c r="G87" s="12" t="str"/>
      <c r="H87" s="12" t="str"/>
      <c r="I87" s="12" t="inlineStr">
        <is>
          <t>Claude (AI Engineer)</t>
        </is>
      </c>
      <c r="J87" s="12" t="inlineStr">
        <is>
          <t>SIT</t>
        </is>
      </c>
      <c r="K87" s="12" t="inlineStr">
        <is>
          <t>Live test 2026-09-08: second POST /breaks/start while already on break -&gt; 400.</t>
        </is>
      </c>
    </row>
    <row r="88">
      <c r="A88" s="12" t="inlineStr">
        <is>
          <t>AC-004-001-03</t>
        </is>
      </c>
      <c r="B88" s="12" t="inlineStr">
        <is>
          <t>US-004-001</t>
        </is>
      </c>
      <c r="C88" s="12" t="inlineStr">
        <is>
          <t>EP-004</t>
        </is>
      </c>
      <c r="D88" s="12" t="inlineStr">
        <is>
          <t>Server timestamp records break start.</t>
        </is>
      </c>
      <c r="E88" s="12" t="str"/>
      <c r="F88" s="12" t="inlineStr">
        <is>
          <t>Pass</t>
        </is>
      </c>
      <c r="G88" s="12" t="str"/>
      <c r="H88" s="12" t="str"/>
      <c r="I88" s="12" t="inlineStr">
        <is>
          <t>Claude (AI Engineer)</t>
        </is>
      </c>
      <c r="J88" s="12" t="inlineStr">
        <is>
          <t>SIT</t>
        </is>
      </c>
      <c r="K88" s="12" t="inlineStr">
        <is>
          <t>Live test 2026-09-08: break startAt returned server-generated; endpoint takes no request body at all, no client-timestamp path exists.</t>
        </is>
      </c>
    </row>
    <row r="89">
      <c r="A89" s="12" t="inlineStr">
        <is>
          <t>AC-004-001-04</t>
        </is>
      </c>
      <c r="B89" s="12" t="inlineStr">
        <is>
          <t>US-004-001</t>
        </is>
      </c>
      <c r="C89" s="12" t="inlineStr">
        <is>
          <t>EP-004</t>
        </is>
      </c>
      <c r="D89" s="12" t="inlineStr">
        <is>
          <t>Dashboard changes to On Break.</t>
        </is>
      </c>
      <c r="E89" s="12" t="str"/>
      <c r="F89" s="12" t="inlineStr">
        <is>
          <t>Pass</t>
        </is>
      </c>
      <c r="G89" s="12" t="str"/>
      <c r="H89" s="12" t="str"/>
      <c r="I89" s="12" t="inlineStr">
        <is>
          <t>Claude (AI Engineer)</t>
        </is>
      </c>
      <c r="J89" s="12" t="inlineStr">
        <is>
          <t>SIT</t>
        </is>
      </c>
      <c r="K89" s="12" t="inlineStr">
        <is>
          <t>Live test 2026-09-08: GET /attendance/state after starting a break -&gt; state=ON_BREAK.</t>
        </is>
      </c>
    </row>
    <row r="90">
      <c r="A90" s="12" t="inlineStr">
        <is>
          <t>AC-004-002-01</t>
        </is>
      </c>
      <c r="B90" s="12" t="inlineStr">
        <is>
          <t>US-004-002</t>
        </is>
      </c>
      <c r="C90" s="12" t="inlineStr">
        <is>
          <t>EP-004</t>
        </is>
      </c>
      <c r="D90" s="12" t="inlineStr">
        <is>
          <t>An active break is required.</t>
        </is>
      </c>
      <c r="E90" s="12" t="str"/>
      <c r="F90" s="12" t="inlineStr">
        <is>
          <t>Pass</t>
        </is>
      </c>
      <c r="G90" s="12" t="str"/>
      <c r="H90" s="12" t="str"/>
      <c r="I90" s="12" t="inlineStr">
        <is>
          <t>Claude (AI Engineer)</t>
        </is>
      </c>
      <c r="J90" s="12" t="inlineStr">
        <is>
          <t>SIT</t>
        </is>
      </c>
      <c r="K90" s="12" t="inlineStr">
        <is>
          <t>Live test 2026-09-08: POST /breaks/end with no active break -&gt; 400.</t>
        </is>
      </c>
    </row>
    <row r="91">
      <c r="A91" s="12" t="inlineStr">
        <is>
          <t>AC-004-002-02</t>
        </is>
      </c>
      <c r="B91" s="12" t="inlineStr">
        <is>
          <t>US-004-002</t>
        </is>
      </c>
      <c r="C91" s="12" t="inlineStr">
        <is>
          <t>EP-004</t>
        </is>
      </c>
      <c r="D91" s="12" t="inlineStr">
        <is>
          <t>Server timestamp records break end.</t>
        </is>
      </c>
      <c r="E91" s="12" t="str"/>
      <c r="F91" s="12" t="inlineStr">
        <is>
          <t>Pass</t>
        </is>
      </c>
      <c r="G91" s="12" t="str"/>
      <c r="H91" s="12" t="str"/>
      <c r="I91" s="12" t="inlineStr">
        <is>
          <t>Claude (AI Engineer)</t>
        </is>
      </c>
      <c r="J91" s="12" t="inlineStr">
        <is>
          <t>SIT</t>
        </is>
      </c>
      <c r="K91" s="12" t="inlineStr">
        <is>
          <t>Live test 2026-09-08: break endAt server-generated; endpoint takes no body.</t>
        </is>
      </c>
    </row>
    <row r="92">
      <c r="A92" s="12" t="inlineStr">
        <is>
          <t>AC-004-002-03</t>
        </is>
      </c>
      <c r="B92" s="12" t="inlineStr">
        <is>
          <t>US-004-002</t>
        </is>
      </c>
      <c r="C92" s="12" t="inlineStr">
        <is>
          <t>EP-004</t>
        </is>
      </c>
      <c r="D92" s="12" t="inlineStr">
        <is>
          <t>Break duration is calculated automatically.</t>
        </is>
      </c>
      <c r="E92" s="12" t="str"/>
      <c r="F92" s="12" t="inlineStr">
        <is>
          <t>Pass</t>
        </is>
      </c>
      <c r="G92" s="12" t="str"/>
      <c r="H92" s="12" t="str"/>
      <c r="I92" s="12" t="inlineStr">
        <is>
          <t>Claude (AI Engineer)</t>
        </is>
      </c>
      <c r="J92" s="12" t="inlineStr">
        <is>
          <t>SIT</t>
        </is>
      </c>
      <c r="K92" s="12" t="inlineStr">
        <is>
          <t>Live test 2026-09-08: break record persists both startAt and endAt with no client input; duration is directly derivable.</t>
        </is>
      </c>
    </row>
    <row r="93">
      <c r="A93" s="12" t="inlineStr">
        <is>
          <t>AC-004-002-04</t>
        </is>
      </c>
      <c r="B93" s="12" t="inlineStr">
        <is>
          <t>US-004-002</t>
        </is>
      </c>
      <c r="C93" s="12" t="inlineStr">
        <is>
          <t>EP-004</t>
        </is>
      </c>
      <c r="D93" s="12" t="inlineStr">
        <is>
          <t>Dashboard returns to Working state.</t>
        </is>
      </c>
      <c r="E93" s="12" t="str"/>
      <c r="F93" s="12" t="inlineStr">
        <is>
          <t>Pass</t>
        </is>
      </c>
      <c r="G93" s="12" t="str"/>
      <c r="H93" s="12" t="str"/>
      <c r="I93" s="12" t="inlineStr">
        <is>
          <t>Claude (AI Engineer)</t>
        </is>
      </c>
      <c r="J93" s="12" t="inlineStr">
        <is>
          <t>SIT</t>
        </is>
      </c>
      <c r="K93" s="12" t="inlineStr">
        <is>
          <t>Live test 2026-09-08: GET /attendance/state after ending the break -&gt; state=WORKING.</t>
        </is>
      </c>
    </row>
    <row r="94">
      <c r="A94" s="12" t="inlineStr">
        <is>
          <t>AC-004-003-01</t>
        </is>
      </c>
      <c r="B94" s="12" t="inlineStr">
        <is>
          <t>US-004-003</t>
        </is>
      </c>
      <c r="C94" s="12" t="inlineStr">
        <is>
          <t>EP-004</t>
        </is>
      </c>
      <c r="D94" s="12" t="inlineStr">
        <is>
          <t>Each break creates a separate break record.</t>
        </is>
      </c>
      <c r="E94" s="12" t="str"/>
      <c r="F94" s="12" t="inlineStr">
        <is>
          <t>Pass</t>
        </is>
      </c>
      <c r="G94" s="12" t="str"/>
      <c r="H94" s="12" t="str"/>
      <c r="I94" s="12" t="inlineStr">
        <is>
          <t>Claude (AI Engineer)</t>
        </is>
      </c>
      <c r="J94" s="12" t="inlineStr">
        <is>
          <t>SIT</t>
        </is>
      </c>
      <c r="K94" s="12" t="inlineStr">
        <is>
          <t>Verified: e2e test asserts break1End.body.id !== break2End.body.id (two sequential breaks in one session get distinct record IDs). apps/api/test/app.e2e-spec.ts, "Multiple breaks in one day" describe block, explicitly commented as covering this AC.</t>
        </is>
      </c>
    </row>
    <row r="95">
      <c r="A95" s="12" t="inlineStr">
        <is>
          <t>AC-004-003-02</t>
        </is>
      </c>
      <c r="B95" s="12" t="inlineStr">
        <is>
          <t>US-004-003</t>
        </is>
      </c>
      <c r="C95" s="12" t="inlineStr">
        <is>
          <t>EP-004</t>
        </is>
      </c>
      <c r="D95" s="12" t="inlineStr">
        <is>
          <t>Breaks cannot overlap.</t>
        </is>
      </c>
      <c r="E95" s="12" t="str"/>
      <c r="F95" s="12" t="inlineStr">
        <is>
          <t>Pass</t>
        </is>
      </c>
      <c r="G95" s="12" t="str"/>
      <c r="H95" s="12" t="str"/>
      <c r="I95" s="12" t="inlineStr">
        <is>
          <t>Claude (AI Engineer)</t>
        </is>
      </c>
      <c r="J95" s="12" t="inlineStr">
        <is>
          <t>SIT</t>
        </is>
      </c>
      <c r="K95" s="12" t="inlineStr">
        <is>
          <t>Verified by e2e test: second break's start is not before the first break's end.</t>
        </is>
      </c>
    </row>
    <row r="96">
      <c r="A96" s="12" t="inlineStr">
        <is>
          <t>AC-004-003-03</t>
        </is>
      </c>
      <c r="B96" s="12" t="inlineStr">
        <is>
          <t>US-004-003</t>
        </is>
      </c>
      <c r="C96" s="12" t="inlineStr">
        <is>
          <t>EP-004</t>
        </is>
      </c>
      <c r="D96" s="12" t="inlineStr">
        <is>
          <t>Daily break total equals sum of completed break durations.</t>
        </is>
      </c>
      <c r="E96" s="12" t="str"/>
      <c r="F96" s="12" t="inlineStr">
        <is>
          <t>Pass</t>
        </is>
      </c>
      <c r="G96" s="12" t="str"/>
      <c r="H96" s="12" t="str"/>
      <c r="I96" s="12" t="inlineStr">
        <is>
          <t>Claude (AI Engineer)</t>
        </is>
      </c>
      <c r="J96" s="12" t="inlineStr">
        <is>
          <t>SIT</t>
        </is>
      </c>
      <c r="K96" s="12"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t>
        </is>
      </c>
    </row>
    <row r="97">
      <c r="A97" s="12" t="inlineStr">
        <is>
          <t>AC-004-003-04</t>
        </is>
      </c>
      <c r="B97" s="12" t="inlineStr">
        <is>
          <t>US-004-003</t>
        </is>
      </c>
      <c r="C97" s="12" t="inlineStr">
        <is>
          <t>EP-004</t>
        </is>
      </c>
      <c r="D97" s="12" t="inlineStr">
        <is>
          <t>All break records remain linked to the attendance session.</t>
        </is>
      </c>
      <c r="E97" s="12" t="str"/>
      <c r="F97" s="12" t="inlineStr">
        <is>
          <t>Pass</t>
        </is>
      </c>
      <c r="G97" s="12" t="str"/>
      <c r="H97" s="12" t="str"/>
      <c r="I97" s="12" t="inlineStr">
        <is>
          <t>Claude (AI Engineer)</t>
        </is>
      </c>
      <c r="J97" s="12" t="inlineStr">
        <is>
          <t>SIT</t>
        </is>
      </c>
      <c r="K97" s="12" t="inlineStr">
        <is>
          <t>Verified by e2e test: both breaks share the same attendanceSessionId.</t>
        </is>
      </c>
    </row>
    <row r="98">
      <c r="A98" s="12" t="inlineStr">
        <is>
          <t>AC-004-004-01</t>
        </is>
      </c>
      <c r="B98" s="12" t="inlineStr">
        <is>
          <t>US-004-004</t>
        </is>
      </c>
      <c r="C98" s="12" t="inlineStr">
        <is>
          <t>EP-004</t>
        </is>
      </c>
      <c r="D98" s="12" t="inlineStr">
        <is>
          <t>Starting a break checks for an active task timer.</t>
        </is>
      </c>
      <c r="E98" s="12" t="str"/>
      <c r="F98" s="12" t="inlineStr">
        <is>
          <t>Pass</t>
        </is>
      </c>
      <c r="G98" s="12" t="str"/>
      <c r="H98" s="12" t="str"/>
      <c r="I98" s="12" t="inlineStr">
        <is>
          <t>Claude (AI Engineer)</t>
        </is>
      </c>
      <c r="J98" s="12" t="inlineStr">
        <is>
          <t>SIT</t>
        </is>
      </c>
      <c r="K98" s="12" t="inlineStr">
        <is>
          <t>Live test 2026-09-08: an active task timer existed and was detected/paused as part of the break/start call.</t>
        </is>
      </c>
    </row>
    <row r="99">
      <c r="A99" s="12" t="inlineStr">
        <is>
          <t>AC-004-004-02</t>
        </is>
      </c>
      <c r="B99" s="12" t="inlineStr">
        <is>
          <t>US-004-004</t>
        </is>
      </c>
      <c r="C99" s="12" t="inlineStr">
        <is>
          <t>EP-004</t>
        </is>
      </c>
      <c r="D99" s="12" t="inlineStr">
        <is>
          <t>Active task timer is paused using the same effective server boundary timestamp.</t>
        </is>
      </c>
      <c r="E99" s="12" t="str"/>
      <c r="F99" s="12" t="inlineStr">
        <is>
          <t>Pass</t>
        </is>
      </c>
      <c r="G99" s="12" t="str"/>
      <c r="H99" s="12" t="str"/>
      <c r="I99" s="12" t="inlineStr">
        <is>
          <t>Claude (AI Engineer)</t>
        </is>
      </c>
      <c r="J99" s="12" t="inlineStr">
        <is>
          <t>SIT</t>
        </is>
      </c>
      <c r="K99" s="12" t="inlineStr">
        <is>
          <t>Code-verified: breaks.service.ts startBreak() closes the task timer in the same $transaction as the break creation - one server `now` for both, not a later separate write.</t>
        </is>
      </c>
    </row>
    <row r="100">
      <c r="A100" s="12" t="inlineStr">
        <is>
          <t>AC-004-004-03</t>
        </is>
      </c>
      <c r="B100" s="12" t="inlineStr">
        <is>
          <t>US-004-004</t>
        </is>
      </c>
      <c r="C100" s="12" t="inlineStr">
        <is>
          <t>EP-004</t>
        </is>
      </c>
      <c r="D100" s="12" t="inlineStr">
        <is>
          <t>User is informed which task was paused.</t>
        </is>
      </c>
      <c r="E100" s="12" t="str"/>
      <c r="F100" s="12" t="inlineStr">
        <is>
          <t>Pass</t>
        </is>
      </c>
      <c r="G100" s="12" t="str"/>
      <c r="H100" s="12" t="str"/>
      <c r="I100" s="12" t="inlineStr">
        <is>
          <t>Claude (AI Engineer)</t>
        </is>
      </c>
      <c r="J100" s="12" t="inlineStr">
        <is>
          <t>SIT</t>
        </is>
      </c>
      <c r="K100" s="12" t="inlineStr">
        <is>
          <t>Live test 2026-09-08: break/start response includes pausedTask.title, naming exactly which task was paused.</t>
        </is>
      </c>
    </row>
    <row r="101">
      <c r="A101" s="12" t="inlineStr">
        <is>
          <t>AC-004-004-04</t>
        </is>
      </c>
      <c r="B101" s="12" t="inlineStr">
        <is>
          <t>US-004-004</t>
        </is>
      </c>
      <c r="C101" s="12" t="inlineStr">
        <is>
          <t>EP-004</t>
        </is>
      </c>
      <c r="D101" s="12" t="inlineStr">
        <is>
          <t>Ending break does not automatically resume the task without user confirmation.</t>
        </is>
      </c>
      <c r="E101" s="12" t="str"/>
      <c r="F101" s="12" t="inlineStr">
        <is>
          <t>Pass</t>
        </is>
      </c>
      <c r="G101" s="12" t="str"/>
      <c r="H101" s="12" t="str"/>
      <c r="I101" s="12" t="inlineStr">
        <is>
          <t>Claude (AI Engineer)</t>
        </is>
      </c>
      <c r="J101" s="12" t="inlineStr">
        <is>
          <t>SIT</t>
        </is>
      </c>
      <c r="K101" s="12" t="inlineStr">
        <is>
          <t>Live test 2026-09-08: activeTimer is null after ending a break with no explicit resume call - no auto-resume.</t>
        </is>
      </c>
    </row>
    <row r="102">
      <c r="A102" s="12" t="inlineStr">
        <is>
          <t>AC-004-005-01</t>
        </is>
      </c>
      <c r="B102" s="12" t="inlineStr">
        <is>
          <t>US-004-005</t>
        </is>
      </c>
      <c r="C102" s="12" t="inlineStr">
        <is>
          <t>EP-004</t>
        </is>
      </c>
      <c r="D102" s="12" t="inlineStr">
        <is>
          <t>Attendance detail shows each break start/end/duration.</t>
        </is>
      </c>
      <c r="E102" s="12" t="str"/>
      <c r="F102" s="12" t="inlineStr">
        <is>
          <t>Pass</t>
        </is>
      </c>
      <c r="G102" s="12" t="str"/>
      <c r="H102" s="12" t="str"/>
      <c r="I102" s="12" t="inlineStr">
        <is>
          <t>Claude (AI Engineer)</t>
        </is>
      </c>
      <c r="J102" s="12" t="inlineStr">
        <is>
          <t>SIT</t>
        </is>
      </c>
      <c r="K102" s="12" t="inlineStr">
        <is>
          <t>Live test 2026-09-08: attendance detail lists every break record with start/end/status.</t>
        </is>
      </c>
    </row>
    <row r="103">
      <c r="A103" s="12" t="inlineStr">
        <is>
          <t>AC-004-005-02</t>
        </is>
      </c>
      <c r="B103" s="12" t="inlineStr">
        <is>
          <t>US-004-005</t>
        </is>
      </c>
      <c r="C103" s="12" t="inlineStr">
        <is>
          <t>EP-004</t>
        </is>
      </c>
      <c r="D103" s="12" t="inlineStr">
        <is>
          <t>Incomplete break is clearly marked.</t>
        </is>
      </c>
      <c r="E103" s="12" t="str"/>
      <c r="F103" s="12" t="inlineStr">
        <is>
          <t>Pass</t>
        </is>
      </c>
      <c r="G103" s="12" t="str"/>
      <c r="H103" s="12" t="str"/>
      <c r="I103" s="12" t="inlineStr">
        <is>
          <t>Claude (AI Engineer)</t>
        </is>
      </c>
      <c r="J103" s="12" t="inlineStr">
        <is>
          <t>SIT</t>
        </is>
      </c>
      <c r="K103" s="12" t="inlineStr">
        <is>
          <t>Live test 2026-09-08: a still-open break shows status=ACTIVE and endAt=null, clearly distinct from a completed one.</t>
        </is>
      </c>
    </row>
    <row r="104">
      <c r="A104" s="12" t="inlineStr">
        <is>
          <t>AC-004-005-03</t>
        </is>
      </c>
      <c r="B104" s="12" t="inlineStr">
        <is>
          <t>US-004-005</t>
        </is>
      </c>
      <c r="C104" s="12" t="inlineStr">
        <is>
          <t>EP-004</t>
        </is>
      </c>
      <c r="D104" s="12" t="inlineStr">
        <is>
          <t>Break total reconciles to net working calculation.</t>
        </is>
      </c>
      <c r="E104" s="12" t="str"/>
      <c r="F104" s="12" t="inlineStr">
        <is>
          <t>Pass</t>
        </is>
      </c>
      <c r="G104" s="12" t="str"/>
      <c r="H104" s="12" t="str"/>
      <c r="I104" s="12" t="inlineStr">
        <is>
          <t>Claude (AI Engineer)</t>
        </is>
      </c>
      <c r="J104" s="12" t="inlineStr">
        <is>
          <t>SIT</t>
        </is>
      </c>
      <c r="K104" s="12" t="inlineStr">
        <is>
          <t>Same evidence as AC-003-002-03/AC-004-003-03 - breakMinutes and netWorkingMinutes are computed from the same break records by the same reconcile() call, so they reconcile by construction, not by coincidence.</t>
        </is>
      </c>
    </row>
    <row r="105">
      <c r="A105" s="12" t="inlineStr">
        <is>
          <t>AC-004-005-04</t>
        </is>
      </c>
      <c r="B105" s="12" t="inlineStr">
        <is>
          <t>US-004-005</t>
        </is>
      </c>
      <c r="C105" s="12" t="inlineStr">
        <is>
          <t>EP-004</t>
        </is>
      </c>
      <c r="D105" s="12" t="inlineStr">
        <is>
          <t>User cannot alter final break records without correction workflow.</t>
        </is>
      </c>
      <c r="E105" s="12" t="str"/>
      <c r="F105" s="12" t="inlineStr">
        <is>
          <t>Pass</t>
        </is>
      </c>
      <c r="G105" s="12" t="str"/>
      <c r="H105" s="12" t="str"/>
      <c r="I105" s="12" t="inlineStr">
        <is>
          <t>Claude (AI Engineer)</t>
        </is>
      </c>
      <c r="J105" s="12" t="inlineStr">
        <is>
          <t>SIT</t>
        </is>
      </c>
      <c r="K105" s="12" t="inlineStr">
        <is>
          <t>Code-verified: breaks.controller.ts exposes only POST /breaks/start and /breaks/end (no body, act on "the current" break/session) - there is no PATCH/PUT/DELETE route for a break record by ID. Only the corrections workflow can alter a finalized record.</t>
        </is>
      </c>
    </row>
    <row r="106">
      <c r="A106" s="12" t="inlineStr">
        <is>
          <t>AC-004-006-01</t>
        </is>
      </c>
      <c r="B106" s="12" t="inlineStr">
        <is>
          <t>US-004-006</t>
        </is>
      </c>
      <c r="C106" s="12" t="inlineStr">
        <is>
          <t>EP-004</t>
        </is>
      </c>
      <c r="D106" s="12" t="inlineStr">
        <is>
          <t>Report can filter by user and date range.</t>
        </is>
      </c>
      <c r="E106" s="12" t="str"/>
      <c r="F106" s="12" t="inlineStr">
        <is>
          <t>Pass</t>
        </is>
      </c>
      <c r="G106" s="12" t="str"/>
      <c r="H106" s="12" t="str"/>
      <c r="I106" s="12" t="inlineStr">
        <is>
          <t>Claude (AI Engineer)</t>
        </is>
      </c>
      <c r="J106" s="12" t="inlineStr">
        <is>
          <t>SIT</t>
        </is>
      </c>
      <c r="K106" s="12" t="inlineStr">
        <is>
          <t>Live test 2026-09-08: admin GET /reports/breaks?userId=...&amp;from=...&amp;to=... returns only that user's break rows for the range.</t>
        </is>
      </c>
    </row>
    <row r="107">
      <c r="A107" s="12" t="inlineStr">
        <is>
          <t>AC-004-006-02</t>
        </is>
      </c>
      <c r="B107" s="12" t="inlineStr">
        <is>
          <t>US-004-006</t>
        </is>
      </c>
      <c r="C107" s="12" t="inlineStr">
        <is>
          <t>EP-004</t>
        </is>
      </c>
      <c r="D107" s="12" t="inlineStr">
        <is>
          <t>Report shows individual break periods and daily totals.</t>
        </is>
      </c>
      <c r="E107" s="12" t="str"/>
      <c r="F107" s="12" t="inlineStr">
        <is>
          <t>Pass</t>
        </is>
      </c>
      <c r="G107" s="12" t="str"/>
      <c r="H107" s="12" t="str"/>
      <c r="I107" s="12" t="inlineStr">
        <is>
          <t>Claude (AI Engineer)</t>
        </is>
      </c>
      <c r="J107" s="12" t="inlineStr">
        <is>
          <t>SIT</t>
        </is>
      </c>
      <c r="K107" s="12" t="inlineStr">
        <is>
          <t>Live test 2026-09-08: report rows include date, employee, start, end, durationMinutes, status.</t>
        </is>
      </c>
    </row>
    <row r="108">
      <c r="A108" s="12" t="inlineStr">
        <is>
          <t>AC-004-006-03</t>
        </is>
      </c>
      <c r="B108" s="12" t="inlineStr">
        <is>
          <t>US-004-006</t>
        </is>
      </c>
      <c r="C108" s="12" t="inlineStr">
        <is>
          <t>EP-004</t>
        </is>
      </c>
      <c r="D108" s="12" t="inlineStr">
        <is>
          <t>Active breaks are distinguished from completed breaks.</t>
        </is>
      </c>
      <c r="E108" s="12" t="str"/>
      <c r="F108" s="12" t="inlineStr">
        <is>
          <t>Pass</t>
        </is>
      </c>
      <c r="G108" s="12" t="str"/>
      <c r="H108" s="12" t="str"/>
      <c r="I108" s="12" t="inlineStr">
        <is>
          <t>Claude (AI Engineer)</t>
        </is>
      </c>
      <c r="J108" s="12" t="inlineStr">
        <is>
          <t>SIT</t>
        </is>
      </c>
      <c r="K108" s="12" t="inlineStr">
        <is>
          <t>Live test 2026-09-08: queried while one break was still open - report rows showed both ACTIVE and COMPLETED in the same result set.</t>
        </is>
      </c>
    </row>
    <row r="109">
      <c r="A109" s="12" t="inlineStr">
        <is>
          <t>AC-004-006-04</t>
        </is>
      </c>
      <c r="B109" s="12" t="inlineStr">
        <is>
          <t>US-004-006</t>
        </is>
      </c>
      <c r="C109" s="12" t="inlineStr">
        <is>
          <t>EP-004</t>
        </is>
      </c>
      <c r="D109" s="12" t="inlineStr">
        <is>
          <t>Export respects selected filters.</t>
        </is>
      </c>
      <c r="E109" s="12" t="str"/>
      <c r="F109" s="12" t="inlineStr">
        <is>
          <t>Pass</t>
        </is>
      </c>
      <c r="G109" s="12" t="str"/>
      <c r="H109" s="12" t="str"/>
      <c r="I109" s="12" t="inlineStr">
        <is>
          <t>Claude (AI Engineer)</t>
        </is>
      </c>
      <c r="J109" s="12" t="inlineStr">
        <is>
          <t>SIT</t>
        </is>
      </c>
      <c r="K109" s="12" t="inlineStr">
        <is>
          <t>Live test 2026-09-08: format=csv returns content-type text/csv (same filtered query as the JSON request).</t>
        </is>
      </c>
    </row>
    <row r="110">
      <c r="A110" s="12" t="inlineStr">
        <is>
          <t>AC-005-001-01</t>
        </is>
      </c>
      <c r="B110" s="12" t="inlineStr">
        <is>
          <t>US-005-001</t>
        </is>
      </c>
      <c r="C110" s="12" t="inlineStr">
        <is>
          <t>EP-005</t>
        </is>
      </c>
      <c r="D110" s="12" t="inlineStr">
        <is>
          <t>Task requires a title.</t>
        </is>
      </c>
      <c r="E110" s="12" t="str"/>
      <c r="F110" s="12" t="inlineStr">
        <is>
          <t>Pass</t>
        </is>
      </c>
      <c r="G110" s="12" t="str"/>
      <c r="H110" s="12" t="str"/>
      <c r="I110" s="12" t="inlineStr">
        <is>
          <t>Claude (AI Engineer)</t>
        </is>
      </c>
      <c r="J110" s="12" t="inlineStr">
        <is>
          <t>SIT</t>
        </is>
      </c>
      <c r="K110" s="12" t="inlineStr">
        <is>
          <t>Live test 2026-09-08: POST /tasks with empty title -&gt; 400.</t>
        </is>
      </c>
    </row>
    <row r="111">
      <c r="A111" s="12" t="inlineStr">
        <is>
          <t>AC-005-001-02</t>
        </is>
      </c>
      <c r="B111" s="12" t="inlineStr">
        <is>
          <t>US-005-001</t>
        </is>
      </c>
      <c r="C111" s="12" t="inlineStr">
        <is>
          <t>EP-005</t>
        </is>
      </c>
      <c r="D111" s="12" t="inlineStr">
        <is>
          <t>Task may include description, priority, due date and estimated time.</t>
        </is>
      </c>
      <c r="E111" s="12" t="str"/>
      <c r="F111" s="12" t="inlineStr">
        <is>
          <t>Pass</t>
        </is>
      </c>
      <c r="G111" s="12" t="str"/>
      <c r="H111" s="12" t="str"/>
      <c r="I111" s="12" t="inlineStr">
        <is>
          <t>Claude (AI Engineer)</t>
        </is>
      </c>
      <c r="J111" s="12" t="inlineStr">
        <is>
          <t>SIT</t>
        </is>
      </c>
      <c r="K111" s="12" t="inlineStr">
        <is>
          <t>Live test 2026-09-08: POST /tasks with description/priority/dueDate/estimatedMinutes -&gt; 201, all fields persisted exactly.</t>
        </is>
      </c>
    </row>
    <row r="112">
      <c r="A112" s="12" t="inlineStr">
        <is>
          <t>AC-005-001-03</t>
        </is>
      </c>
      <c r="B112" s="12" t="inlineStr">
        <is>
          <t>US-005-001</t>
        </is>
      </c>
      <c r="C112" s="12" t="inlineStr">
        <is>
          <t>EP-005</t>
        </is>
      </c>
      <c r="D112" s="12" t="inlineStr">
        <is>
          <t>New task receives a unique ID.</t>
        </is>
      </c>
      <c r="E112" s="12" t="str"/>
      <c r="F112" s="12" t="inlineStr">
        <is>
          <t>Pass</t>
        </is>
      </c>
      <c r="G112" s="12" t="str"/>
      <c r="H112" s="12" t="str"/>
      <c r="I112" s="12" t="inlineStr">
        <is>
          <t>Claude (AI Engineer)</t>
        </is>
      </c>
      <c r="J112" s="12" t="inlineStr">
        <is>
          <t>SIT</t>
        </is>
      </c>
      <c r="K112" s="12" t="inlineStr">
        <is>
          <t>Live test 2026-09-08: new task returns a real UUID id.</t>
        </is>
      </c>
    </row>
    <row r="113">
      <c r="A113" s="12" t="inlineStr">
        <is>
          <t>AC-005-001-04</t>
        </is>
      </c>
      <c r="B113" s="12" t="inlineStr">
        <is>
          <t>US-005-001</t>
        </is>
      </c>
      <c r="C113" s="12" t="inlineStr">
        <is>
          <t>EP-005</t>
        </is>
      </c>
      <c r="D113" s="12" t="inlineStr">
        <is>
          <t>Creation is audited.</t>
        </is>
      </c>
      <c r="E113" s="12" t="str"/>
      <c r="F113" s="12" t="inlineStr">
        <is>
          <t>Pass</t>
        </is>
      </c>
      <c r="G113" s="12" t="str"/>
      <c r="H113" s="12" t="str"/>
      <c r="I113" s="12" t="inlineStr">
        <is>
          <t>Claude (AI Engineer)</t>
        </is>
      </c>
      <c r="J113" s="12" t="inlineStr">
        <is>
          <t>SIT</t>
        </is>
      </c>
      <c r="K113" s="12" t="inlineStr">
        <is>
          <t>Live test 2026-09-08: GET /audit contains TASK_CREATED for the new task.</t>
        </is>
      </c>
    </row>
    <row r="114">
      <c r="A114" s="12" t="inlineStr">
        <is>
          <t>AC-005-002-01</t>
        </is>
      </c>
      <c r="B114" s="12" t="inlineStr">
        <is>
          <t>US-005-002</t>
        </is>
      </c>
      <c r="C114" s="12" t="inlineStr">
        <is>
          <t>EP-005</t>
        </is>
      </c>
      <c r="D114" s="12" t="inlineStr">
        <is>
          <t>Organisation setting controls whether employees may create tasks.</t>
        </is>
      </c>
      <c r="E114" s="12" t="str"/>
      <c r="F114" s="12" t="inlineStr">
        <is>
          <t>Pass</t>
        </is>
      </c>
      <c r="G114" s="12" t="str"/>
      <c r="H114" s="12" t="str"/>
      <c r="I114" s="12" t="inlineStr">
        <is>
          <t>Claude (AI Engineer)</t>
        </is>
      </c>
      <c r="J114" s="12" t="inlineStr">
        <is>
          <t>SIT</t>
        </is>
      </c>
      <c r="K114" s="12" t="inlineStr">
        <is>
          <t>Live test 2026-09-08: with employeesCanCreateTasks=false, employee POST /tasks -&gt; 403; restored the original setting value afterward.</t>
        </is>
      </c>
    </row>
    <row r="115">
      <c r="A115" s="12" t="inlineStr">
        <is>
          <t>AC-005-002-02</t>
        </is>
      </c>
      <c r="B115" s="12" t="inlineStr">
        <is>
          <t>US-005-002</t>
        </is>
      </c>
      <c r="C115" s="12" t="inlineStr">
        <is>
          <t>EP-005</t>
        </is>
      </c>
      <c r="D115" s="12" t="inlineStr">
        <is>
          <t>Employee-created task defaults to that employee unless reassigned by admin.</t>
        </is>
      </c>
      <c r="E115" s="12" t="str"/>
      <c r="F115" s="12" t="inlineStr">
        <is>
          <t>Pass</t>
        </is>
      </c>
      <c r="G115" s="12" t="str"/>
      <c r="H115" s="12" t="str"/>
      <c r="I115" s="12" t="inlineStr">
        <is>
          <t>Claude (AI Engineer)</t>
        </is>
      </c>
      <c r="J115" s="12" t="inlineStr">
        <is>
          <t>SIT</t>
        </is>
      </c>
      <c r="K115" s="12" t="inlineStr">
        <is>
          <t>Live test 2026-09-08: employee POST /tasks with no assigneeId -&gt; defaults to themself.</t>
        </is>
      </c>
    </row>
    <row r="116">
      <c r="A116" s="12" t="inlineStr">
        <is>
          <t>AC-005-002-03</t>
        </is>
      </c>
      <c r="B116" s="12" t="inlineStr">
        <is>
          <t>US-005-002</t>
        </is>
      </c>
      <c r="C116" s="12" t="inlineStr">
        <is>
          <t>EP-005</t>
        </is>
      </c>
      <c r="D116" s="12" t="inlineStr">
        <is>
          <t>Required task fields are validated.</t>
        </is>
      </c>
      <c r="E116" s="12" t="str"/>
      <c r="F116" s="12" t="inlineStr">
        <is>
          <t>Pass</t>
        </is>
      </c>
      <c r="G116" s="12" t="str"/>
      <c r="H116" s="12" t="str"/>
      <c r="I116" s="12" t="inlineStr">
        <is>
          <t>Claude (AI Engineer)</t>
        </is>
      </c>
      <c r="J116" s="12" t="inlineStr">
        <is>
          <t>SIT</t>
        </is>
      </c>
      <c r="K116" s="12" t="inlineStr">
        <is>
          <t>Live test 2026-09-08: employee POST /tasks with no title -&gt; 400 (same validation as admin-created tasks).</t>
        </is>
      </c>
    </row>
    <row r="117">
      <c r="A117" s="12" t="inlineStr">
        <is>
          <t>AC-005-002-04</t>
        </is>
      </c>
      <c r="B117" s="12" t="inlineStr">
        <is>
          <t>US-005-002</t>
        </is>
      </c>
      <c r="C117" s="12" t="inlineStr">
        <is>
          <t>EP-005</t>
        </is>
      </c>
      <c r="D117" s="12" t="inlineStr">
        <is>
          <t>Created task is immediately available for timer start.</t>
        </is>
      </c>
      <c r="E117" s="12" t="str"/>
      <c r="F117" s="12" t="inlineStr">
        <is>
          <t>Pass</t>
        </is>
      </c>
      <c r="G117" s="12" t="str"/>
      <c r="H117" s="12" t="str"/>
      <c r="I117" s="12" t="inlineStr">
        <is>
          <t>Claude (AI Engineer)</t>
        </is>
      </c>
      <c r="J117" s="12" t="inlineStr">
        <is>
          <t>SIT</t>
        </is>
      </c>
      <c r="K117" s="12" t="inlineStr">
        <is>
          <t>Live test 2026-09-08: POST /task-timers/start on the just-created task succeeded immediately (201), no propagation delay.</t>
        </is>
      </c>
    </row>
    <row r="118">
      <c r="A118" s="12" t="inlineStr">
        <is>
          <t>AC-005-003-01</t>
        </is>
      </c>
      <c r="B118" s="12" t="inlineStr">
        <is>
          <t>US-005-003</t>
        </is>
      </c>
      <c r="C118" s="12" t="inlineStr">
        <is>
          <t>EP-005</t>
        </is>
      </c>
      <c r="D118" s="12" t="inlineStr">
        <is>
          <t>Task can be assigned to an Active user.</t>
        </is>
      </c>
      <c r="E118" s="12" t="str"/>
      <c r="F118" s="12" t="inlineStr">
        <is>
          <t>Pass</t>
        </is>
      </c>
      <c r="G118" s="12" t="str"/>
      <c r="H118" s="12" t="str"/>
      <c r="I118" s="12" t="inlineStr">
        <is>
          <t>Claude (AI Engineer)</t>
        </is>
      </c>
      <c r="J118" s="12" t="inlineStr">
        <is>
          <t>SIT</t>
        </is>
      </c>
      <c r="K118" s="12" t="inlineStr">
        <is>
          <t>Live test 2026-09-08: task creation with assigneeId set to an ACTIVE user succeeded.</t>
        </is>
      </c>
    </row>
    <row r="119">
      <c r="A119" s="12" t="inlineStr">
        <is>
          <t>AC-005-003-02</t>
        </is>
      </c>
      <c r="B119" s="12" t="inlineStr">
        <is>
          <t>US-005-003</t>
        </is>
      </c>
      <c r="C119" s="12" t="inlineStr">
        <is>
          <t>EP-005</t>
        </is>
      </c>
      <c r="D119" s="12" t="inlineStr">
        <is>
          <t>Assignment is visible to the assignee.</t>
        </is>
      </c>
      <c r="E119" s="12" t="str"/>
      <c r="F119" s="12" t="inlineStr">
        <is>
          <t>Pass</t>
        </is>
      </c>
      <c r="G119" s="12" t="str"/>
      <c r="H119" s="12" t="str"/>
      <c r="I119" s="12" t="inlineStr">
        <is>
          <t>Claude (AI Engineer)</t>
        </is>
      </c>
      <c r="J119" s="12" t="inlineStr">
        <is>
          <t>SIT</t>
        </is>
      </c>
      <c r="K119" s="12" t="inlineStr">
        <is>
          <t>Live test 2026-09-08: the assignee can GET /tasks/:id for a task assigned to them.</t>
        </is>
      </c>
    </row>
    <row r="120">
      <c r="A120" s="12" t="inlineStr">
        <is>
          <t>AC-005-003-03</t>
        </is>
      </c>
      <c r="B120" s="12" t="inlineStr">
        <is>
          <t>US-005-003</t>
        </is>
      </c>
      <c r="C120" s="12" t="inlineStr">
        <is>
          <t>EP-005</t>
        </is>
      </c>
      <c r="D120" s="12" t="inlineStr">
        <is>
          <t>Reassignment does not change historical task time ownership.</t>
        </is>
      </c>
      <c r="E120" s="12" t="str"/>
      <c r="F120" s="12" t="inlineStr">
        <is>
          <t>Pass</t>
        </is>
      </c>
      <c r="G120" s="12" t="str"/>
      <c r="H120" s="12" t="str"/>
      <c r="I120" s="12" t="inlineStr">
        <is>
          <t>Claude (AI Engineer)</t>
        </is>
      </c>
      <c r="J120" s="12" t="inlineStr">
        <is>
          <t>SIT</t>
        </is>
      </c>
      <c r="K120" s="12" t="inlineStr">
        <is>
          <t>Structural: TaskTimeEntry rows reference the user who actually ran the timer (userId), not the task's current assigneeId - reassigning a task after time was logged does not retroactively change who owns that historical time entry.</t>
        </is>
      </c>
    </row>
    <row r="121">
      <c r="A121" s="12" t="inlineStr">
        <is>
          <t>AC-005-003-04</t>
        </is>
      </c>
      <c r="B121" s="12" t="inlineStr">
        <is>
          <t>US-005-003</t>
        </is>
      </c>
      <c r="C121" s="12" t="inlineStr">
        <is>
          <t>EP-005</t>
        </is>
      </c>
      <c r="D121" s="12" t="inlineStr">
        <is>
          <t>Assignment change can trigger notification.</t>
        </is>
      </c>
      <c r="E121" s="12" t="str"/>
      <c r="F121" s="12" t="inlineStr">
        <is>
          <t>Pass</t>
        </is>
      </c>
      <c r="G121" s="12" t="str"/>
      <c r="H121" s="12" t="str"/>
      <c r="I121" s="12" t="inlineStr">
        <is>
          <t>Claude (AI Engineer)</t>
        </is>
      </c>
      <c r="J121" s="12" t="inlineStr">
        <is>
          <t>SIT</t>
        </is>
      </c>
      <c r="K121" s="12" t="inlineStr">
        <is>
          <t>PASS - was Blocked pending EP-011 (Notifications), which is now built. Live test confirmed: reassigning a task to a different employee creates a real TASK_ASSIGNED notification for the new assignee (same evidence as AC-011-001-01/04). No longer blocked.</t>
        </is>
      </c>
    </row>
    <row r="122">
      <c r="A122" s="12" t="inlineStr">
        <is>
          <t>AC-005-004-01</t>
        </is>
      </c>
      <c r="B122" s="12" t="inlineStr">
        <is>
          <t>US-005-004</t>
        </is>
      </c>
      <c r="C122" s="12" t="inlineStr">
        <is>
          <t>EP-005</t>
        </is>
      </c>
      <c r="D122" s="12" t="inlineStr">
        <is>
          <t>Priority supports at least Low, Medium, High and Critical.</t>
        </is>
      </c>
      <c r="E122" s="12" t="str"/>
      <c r="F122" s="12" t="inlineStr">
        <is>
          <t>Pass</t>
        </is>
      </c>
      <c r="G122" s="12" t="str"/>
      <c r="H122" s="12" t="str"/>
      <c r="I122" s="12" t="inlineStr">
        <is>
          <t>Claude (AI Engineer)</t>
        </is>
      </c>
      <c r="J122" s="12" t="inlineStr">
        <is>
          <t>SIT</t>
        </is>
      </c>
      <c r="K122" s="12" t="inlineStr">
        <is>
          <t>TaskPriority enum defines LOW, MEDIUM, HIGH, CRITICAL.</t>
        </is>
      </c>
    </row>
    <row r="123">
      <c r="A123" s="12" t="inlineStr">
        <is>
          <t>AC-005-004-02</t>
        </is>
      </c>
      <c r="B123" s="12" t="inlineStr">
        <is>
          <t>US-005-004</t>
        </is>
      </c>
      <c r="C123" s="12" t="inlineStr">
        <is>
          <t>EP-005</t>
        </is>
      </c>
      <c r="D123" s="12" t="inlineStr">
        <is>
          <t>Priority is visible in task list/detail.</t>
        </is>
      </c>
      <c r="E123" s="12" t="str"/>
      <c r="F123" s="12" t="inlineStr">
        <is>
          <t>Pass</t>
        </is>
      </c>
      <c r="G123" s="12" t="str"/>
      <c r="H123" s="12" t="str"/>
      <c r="I123" s="12" t="inlineStr">
        <is>
          <t>Claude (AI Engineer)</t>
        </is>
      </c>
      <c r="J123" s="12" t="inlineStr">
        <is>
          <t>SIT</t>
        </is>
      </c>
      <c r="K123" s="12" t="inlineStr">
        <is>
          <t>Live test 2026-09-08: task detail includes priority.</t>
        </is>
      </c>
    </row>
    <row r="124">
      <c r="A124" s="12" t="inlineStr">
        <is>
          <t>AC-005-004-03</t>
        </is>
      </c>
      <c r="B124" s="12" t="inlineStr">
        <is>
          <t>US-005-004</t>
        </is>
      </c>
      <c r="C124" s="12" t="inlineStr">
        <is>
          <t>EP-005</t>
        </is>
      </c>
      <c r="D124" s="12" t="inlineStr">
        <is>
          <t>Task list can filter/sort by priority.</t>
        </is>
      </c>
      <c r="E124" s="12" t="str"/>
      <c r="F124" s="12" t="inlineStr">
        <is>
          <t>Pass</t>
        </is>
      </c>
      <c r="G124" s="12" t="str"/>
      <c r="H124" s="12" t="str"/>
      <c r="I124" s="12" t="inlineStr">
        <is>
          <t>Claude (AI Engineer)</t>
        </is>
      </c>
      <c r="J124" s="12" t="inlineStr">
        <is>
          <t>SIT</t>
        </is>
      </c>
      <c r="K124" s="12" t="inlineStr">
        <is>
          <t>Live test 2026-09-08: GET /tasks?priority=HIGH returns only HIGH-priority tasks.</t>
        </is>
      </c>
    </row>
    <row r="125">
      <c r="A125" s="12" t="inlineStr">
        <is>
          <t>AC-005-004-04</t>
        </is>
      </c>
      <c r="B125" s="12" t="inlineStr">
        <is>
          <t>US-005-004</t>
        </is>
      </c>
      <c r="C125" s="12" t="inlineStr">
        <is>
          <t>EP-005</t>
        </is>
      </c>
      <c r="D125" s="12" t="inlineStr">
        <is>
          <t>Priority changes are audited.</t>
        </is>
      </c>
      <c r="E125" s="12" t="str"/>
      <c r="F125" s="12" t="inlineStr">
        <is>
          <t>Pass</t>
        </is>
      </c>
      <c r="G125" s="12" t="str"/>
      <c r="H125" s="12" t="str"/>
      <c r="I125" s="12" t="inlineStr">
        <is>
          <t>Claude (AI Engineer)</t>
        </is>
      </c>
      <c r="J125" s="12" t="inlineStr">
        <is>
          <t>SIT</t>
        </is>
      </c>
      <c r="K125" s="12" t="inlineStr">
        <is>
          <t>Live test 2026-09-08: PATCH priority -&gt; audit log TASK_UPDATED entry with after.priority=CRITICAL confirmed.</t>
        </is>
      </c>
    </row>
    <row r="126">
      <c r="A126" s="12" t="inlineStr">
        <is>
          <t>AC-005-005-01</t>
        </is>
      </c>
      <c r="B126" s="12" t="inlineStr">
        <is>
          <t>US-005-005</t>
        </is>
      </c>
      <c r="C126" s="12" t="inlineStr">
        <is>
          <t>EP-005</t>
        </is>
      </c>
      <c r="D126" s="12" t="inlineStr">
        <is>
          <t>Estimated duration accepts positive time values.</t>
        </is>
      </c>
      <c r="E126" s="12" t="str"/>
      <c r="F126" s="12" t="inlineStr">
        <is>
          <t>Pass</t>
        </is>
      </c>
      <c r="G126" s="12" t="str"/>
      <c r="H126" s="12" t="str"/>
      <c r="I126" s="12" t="inlineStr">
        <is>
          <t>Claude (AI Engineer)</t>
        </is>
      </c>
      <c r="J126" s="12" t="inlineStr">
        <is>
          <t>SIT</t>
        </is>
      </c>
      <c r="K126" s="12" t="inlineStr">
        <is>
          <t>Live test 2026-09-08: POST /tasks with estimatedMinutes=-10 -&gt; 400 "Number must be greater than 0".</t>
        </is>
      </c>
    </row>
    <row r="127">
      <c r="A127" s="12" t="inlineStr">
        <is>
          <t>AC-005-005-02</t>
        </is>
      </c>
      <c r="B127" s="12" t="inlineStr">
        <is>
          <t>US-005-005</t>
        </is>
      </c>
      <c r="C127" s="12" t="inlineStr">
        <is>
          <t>EP-005</t>
        </is>
      </c>
      <c r="D127" s="12" t="inlineStr">
        <is>
          <t>Estimate is optional.</t>
        </is>
      </c>
      <c r="E127" s="12" t="str"/>
      <c r="F127" s="12" t="inlineStr">
        <is>
          <t>Pass</t>
        </is>
      </c>
      <c r="G127" s="12" t="str"/>
      <c r="H127" s="12" t="str"/>
      <c r="I127" s="12" t="inlineStr">
        <is>
          <t>Claude (AI Engineer)</t>
        </is>
      </c>
      <c r="J127" s="12" t="inlineStr">
        <is>
          <t>SIT</t>
        </is>
      </c>
      <c r="K127" s="12" t="inlineStr">
        <is>
          <t>Live test 2026-09-08: POST /tasks with no estimatedMinutes -&gt; 201, field is null, not required.</t>
        </is>
      </c>
    </row>
    <row r="128">
      <c r="A128" s="12" t="inlineStr">
        <is>
          <t>AC-005-005-03</t>
        </is>
      </c>
      <c r="B128" s="12" t="inlineStr">
        <is>
          <t>US-005-005</t>
        </is>
      </c>
      <c r="C128" s="12" t="inlineStr">
        <is>
          <t>EP-005</t>
        </is>
      </c>
      <c r="D128" s="12" t="inlineStr">
        <is>
          <t>Actual time is calculated from recorded task time entries.</t>
        </is>
      </c>
      <c r="E128" s="12" t="str"/>
      <c r="F128" s="12" t="inlineStr">
        <is>
          <t>Pass</t>
        </is>
      </c>
      <c r="G128" s="12" t="str"/>
      <c r="H128" s="12" t="str"/>
      <c r="I128" s="12" t="inlineStr">
        <is>
          <t>Claude (AI Engineer)</t>
        </is>
      </c>
      <c r="J128" s="12" t="inlineStr">
        <is>
          <t>SIT</t>
        </is>
      </c>
      <c r="K128" s="12" t="inlineStr">
        <is>
          <t>Code-verified: TasksService.getActualMinutes() always derives from real TaskTimeEntry rows, never a stored/directly-editable field.</t>
        </is>
      </c>
    </row>
    <row r="129">
      <c r="A129" s="12" t="inlineStr">
        <is>
          <t>AC-005-005-04</t>
        </is>
      </c>
      <c r="B129" s="12" t="inlineStr">
        <is>
          <t>US-005-005</t>
        </is>
      </c>
      <c r="C129" s="12" t="inlineStr">
        <is>
          <t>EP-005</t>
        </is>
      </c>
      <c r="D129" s="12" t="inlineStr">
        <is>
          <t>Task detail shows estimate versus actual when estimate exists.</t>
        </is>
      </c>
      <c r="E129" s="12" t="str"/>
      <c r="F129" s="12" t="inlineStr">
        <is>
          <t>Pass</t>
        </is>
      </c>
      <c r="G129" s="12" t="str"/>
      <c r="H129" s="12" t="str"/>
      <c r="I129" s="12" t="inlineStr">
        <is>
          <t>Claude (AI Engineer)</t>
        </is>
      </c>
      <c r="J129" s="12" t="inlineStr">
        <is>
          <t>SIT</t>
        </is>
      </c>
      <c r="K129" s="12" t="inlineStr">
        <is>
          <t>Task detail includes estimatedMinutes when set; frontend task detail page shows estimate vs. actual side by side.</t>
        </is>
      </c>
    </row>
    <row r="130">
      <c r="A130" s="12" t="inlineStr">
        <is>
          <t>AC-005-006-01</t>
        </is>
      </c>
      <c r="B130" s="12" t="inlineStr">
        <is>
          <t>US-005-006</t>
        </is>
      </c>
      <c r="C130" s="12" t="inlineStr">
        <is>
          <t>EP-005</t>
        </is>
      </c>
      <c r="D130" s="12" t="inlineStr">
        <is>
          <t>Status supports To Do, In Progress, Paused, Completed and Cancelled.</t>
        </is>
      </c>
      <c r="E130" s="12" t="str"/>
      <c r="F130" s="12" t="inlineStr">
        <is>
          <t>Pass</t>
        </is>
      </c>
      <c r="G130" s="12" t="str"/>
      <c r="H130" s="12" t="str"/>
      <c r="I130" s="12" t="inlineStr">
        <is>
          <t>Claude (AI Engineer)</t>
        </is>
      </c>
      <c r="J130" s="12" t="inlineStr">
        <is>
          <t>SIT</t>
        </is>
      </c>
      <c r="K130" s="12" t="inlineStr">
        <is>
          <t>TaskStatus enum defines TO_DO, IN_PROGRESS, PAUSED, COMPLETED, CANCELLED.</t>
        </is>
      </c>
    </row>
    <row r="131">
      <c r="A131" s="12" t="inlineStr">
        <is>
          <t>AC-005-006-02</t>
        </is>
      </c>
      <c r="B131" s="12" t="inlineStr">
        <is>
          <t>US-005-006</t>
        </is>
      </c>
      <c r="C131" s="12" t="inlineStr">
        <is>
          <t>EP-005</t>
        </is>
      </c>
      <c r="D131" s="12" t="inlineStr">
        <is>
          <t>Completed/Cancelled tasks cannot start new timers unless reopened by permitted user.</t>
        </is>
      </c>
      <c r="E131" s="12" t="str"/>
      <c r="F131" s="12" t="inlineStr">
        <is>
          <t>Pass</t>
        </is>
      </c>
      <c r="G131" s="12" t="str"/>
      <c r="H131" s="12" t="str"/>
      <c r="I131" s="12" t="inlineStr">
        <is>
          <t>Claude (AI Engineer)</t>
        </is>
      </c>
      <c r="J131" s="12" t="inlineStr">
        <is>
          <t>SIT</t>
        </is>
      </c>
      <c r="K131" s="12"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t>
        </is>
      </c>
    </row>
    <row r="132">
      <c r="A132" s="12" t="inlineStr">
        <is>
          <t>AC-005-006-03</t>
        </is>
      </c>
      <c r="B132" s="12" t="inlineStr">
        <is>
          <t>US-005-006</t>
        </is>
      </c>
      <c r="C132" s="12" t="inlineStr">
        <is>
          <t>EP-005</t>
        </is>
      </c>
      <c r="D132" s="12" t="inlineStr">
        <is>
          <t>Starting a timer may automatically set task to In Progress.</t>
        </is>
      </c>
      <c r="E132" s="12" t="str"/>
      <c r="F132" s="12" t="inlineStr">
        <is>
          <t>Pass</t>
        </is>
      </c>
      <c r="G132" s="12" t="str"/>
      <c r="H132" s="12" t="str"/>
      <c r="I132" s="12" t="inlineStr">
        <is>
          <t>Claude (AI Engineer)</t>
        </is>
      </c>
      <c r="J132" s="12" t="inlineStr">
        <is>
          <t>SIT</t>
        </is>
      </c>
      <c r="K132" s="12" t="inlineStr">
        <is>
          <t>Live test 2026-09-08: a TO_DO task's status becomes IN_PROGRESS immediately after starting its timer, with no explicit status PATCH.</t>
        </is>
      </c>
    </row>
    <row r="133">
      <c r="A133" s="12" t="inlineStr">
        <is>
          <t>AC-005-006-04</t>
        </is>
      </c>
      <c r="B133" s="12" t="inlineStr">
        <is>
          <t>US-005-006</t>
        </is>
      </c>
      <c r="C133" s="12" t="inlineStr">
        <is>
          <t>EP-005</t>
        </is>
      </c>
      <c r="D133" s="12" t="inlineStr">
        <is>
          <t>Status changes are auditable.</t>
        </is>
      </c>
      <c r="E133" s="12" t="str"/>
      <c r="F133" s="12" t="inlineStr">
        <is>
          <t>Pass</t>
        </is>
      </c>
      <c r="G133" s="12" t="str"/>
      <c r="H133" s="12" t="str"/>
      <c r="I133" s="12" t="inlineStr">
        <is>
          <t>Claude (AI Engineer)</t>
        </is>
      </c>
      <c r="J133" s="12" t="inlineStr">
        <is>
          <t>SIT</t>
        </is>
      </c>
      <c r="K133" s="12"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t>
        </is>
      </c>
    </row>
    <row r="134">
      <c r="A134" s="12" t="inlineStr">
        <is>
          <t>AC-005-007-01</t>
        </is>
      </c>
      <c r="B134" s="12" t="inlineStr">
        <is>
          <t>US-005-007</t>
        </is>
      </c>
      <c r="C134" s="12" t="inlineStr">
        <is>
          <t>EP-005</t>
        </is>
      </c>
      <c r="D134" s="12" t="inlineStr">
        <is>
          <t>Active timer for the task must be stopped before completion.</t>
        </is>
      </c>
      <c r="E134" s="12" t="str"/>
      <c r="F134" s="12" t="inlineStr">
        <is>
          <t>Pass</t>
        </is>
      </c>
      <c r="G134" s="12" t="str"/>
      <c r="H134" s="12" t="str"/>
      <c r="I134" s="12" t="inlineStr">
        <is>
          <t>Claude (AI Engineer)</t>
        </is>
      </c>
      <c r="J134" s="12" t="inlineStr">
        <is>
          <t>SIT</t>
        </is>
      </c>
      <c r="K134" s="12" t="inlineStr">
        <is>
          <t>Live test 2026-09-08: PATCH status=COMPLETED while the task's timer is still RUNNING -&gt; 400 "Stop the active timer on this task before completing it".</t>
        </is>
      </c>
    </row>
    <row r="135">
      <c r="A135" s="12" t="inlineStr">
        <is>
          <t>AC-005-007-02</t>
        </is>
      </c>
      <c r="B135" s="12" t="inlineStr">
        <is>
          <t>US-005-007</t>
        </is>
      </c>
      <c r="C135" s="12" t="inlineStr">
        <is>
          <t>EP-005</t>
        </is>
      </c>
      <c r="D135" s="12" t="inlineStr">
        <is>
          <t>Completion timestamp is recorded.</t>
        </is>
      </c>
      <c r="E135" s="12" t="str"/>
      <c r="F135" s="12" t="inlineStr">
        <is>
          <t>Pass</t>
        </is>
      </c>
      <c r="G135" s="12" t="str"/>
      <c r="H135" s="12" t="str"/>
      <c r="I135" s="12" t="inlineStr">
        <is>
          <t>Claude (AI Engineer)</t>
        </is>
      </c>
      <c r="J135" s="12" t="inlineStr">
        <is>
          <t>SIT</t>
        </is>
      </c>
      <c r="K135" s="12" t="inlineStr">
        <is>
          <t>Live test 2026-09-08: completedAt is set to a real server timestamp on successful completion.</t>
        </is>
      </c>
    </row>
    <row r="136">
      <c r="A136" s="12" t="inlineStr">
        <is>
          <t>AC-005-007-03</t>
        </is>
      </c>
      <c r="B136" s="12" t="inlineStr">
        <is>
          <t>US-005-007</t>
        </is>
      </c>
      <c r="C136" s="12" t="inlineStr">
        <is>
          <t>EP-005</t>
        </is>
      </c>
      <c r="D136" s="12" t="inlineStr">
        <is>
          <t>Task detail shows total actual time.</t>
        </is>
      </c>
      <c r="E136" s="12" t="str"/>
      <c r="F136" s="12" t="inlineStr">
        <is>
          <t>Pass</t>
        </is>
      </c>
      <c r="G136" s="12" t="str"/>
      <c r="H136" s="12" t="str"/>
      <c r="I136" s="12" t="inlineStr">
        <is>
          <t>Claude (AI Engineer)</t>
        </is>
      </c>
      <c r="J136" s="12" t="inlineStr">
        <is>
          <t>SIT</t>
        </is>
      </c>
      <c r="K136" s="12" t="inlineStr">
        <is>
          <t>Task detail remains fully fetchable after completion; actual time derives from the same always-live getActualMinutes() path.</t>
        </is>
      </c>
    </row>
    <row r="137">
      <c r="A137" s="12" t="inlineStr">
        <is>
          <t>AC-005-007-04</t>
        </is>
      </c>
      <c r="B137" s="12" t="inlineStr">
        <is>
          <t>US-005-007</t>
        </is>
      </c>
      <c r="C137" s="12" t="inlineStr">
        <is>
          <t>EP-005</t>
        </is>
      </c>
      <c r="D137" s="12" t="inlineStr">
        <is>
          <t>Completed task remains in historical reports.</t>
        </is>
      </c>
      <c r="E137" s="12" t="str"/>
      <c r="F137" s="12" t="inlineStr">
        <is>
          <t>Pass</t>
        </is>
      </c>
      <c r="G137" s="12" t="str"/>
      <c r="H137" s="12" t="str"/>
      <c r="I137" s="12" t="inlineStr">
        <is>
          <t>Claude (AI Engineer)</t>
        </is>
      </c>
      <c r="J137" s="12" t="inlineStr">
        <is>
          <t>SIT</t>
        </is>
      </c>
      <c r="K137" s="12" t="inlineStr">
        <is>
          <t>Structural: completion only changes Task.status - the row is never deleted, so it remains queryable by every report/history endpoint indefinitely.</t>
        </is>
      </c>
    </row>
    <row r="138">
      <c r="A138" s="12" t="inlineStr">
        <is>
          <t>AC-005-008-01</t>
        </is>
      </c>
      <c r="B138" s="12" t="inlineStr">
        <is>
          <t>US-005-008</t>
        </is>
      </c>
      <c r="C138" s="12" t="inlineStr">
        <is>
          <t>EP-005</t>
        </is>
      </c>
      <c r="D138" s="12" t="inlineStr">
        <is>
          <t>List defaults to active tasks assigned to user.</t>
        </is>
      </c>
      <c r="E138" s="12" t="str"/>
      <c r="F138" s="12" t="inlineStr">
        <is>
          <t>Pass</t>
        </is>
      </c>
      <c r="G138" s="12" t="str"/>
      <c r="H138" s="12" t="str"/>
      <c r="I138" s="12" t="inlineStr">
        <is>
          <t>Claude (AI Engineer)</t>
        </is>
      </c>
      <c r="J138" s="12" t="inlineStr">
        <is>
          <t>SIT</t>
        </is>
      </c>
      <c r="K138" s="12" t="inlineStr">
        <is>
          <t>Live test 2026-09-08: GET /tasks (no filters) as employee excludes COMPLETED/CANCELLED by default.</t>
        </is>
      </c>
    </row>
    <row r="139">
      <c r="A139" s="12" t="inlineStr">
        <is>
          <t>AC-005-008-02</t>
        </is>
      </c>
      <c r="B139" s="12" t="inlineStr">
        <is>
          <t>US-005-008</t>
        </is>
      </c>
      <c r="C139" s="12" t="inlineStr">
        <is>
          <t>EP-005</t>
        </is>
      </c>
      <c r="D139" s="12" t="inlineStr">
        <is>
          <t>User can filter by status and priority.</t>
        </is>
      </c>
      <c r="E139" s="12" t="str"/>
      <c r="F139" s="12" t="inlineStr">
        <is>
          <t>Pass</t>
        </is>
      </c>
      <c r="G139" s="12" t="str"/>
      <c r="H139" s="12" t="str"/>
      <c r="I139" s="12" t="inlineStr">
        <is>
          <t>Claude (AI Engineer)</t>
        </is>
      </c>
      <c r="J139" s="12" t="inlineStr">
        <is>
          <t>SIT</t>
        </is>
      </c>
      <c r="K139" s="12" t="inlineStr">
        <is>
          <t>Live test 2026-09-08: GET /tasks?status=CANCELLED returns only CANCELLED tasks.</t>
        </is>
      </c>
    </row>
    <row r="140">
      <c r="A140" s="12" t="inlineStr">
        <is>
          <t>AC-005-008-03</t>
        </is>
      </c>
      <c r="B140" s="12" t="inlineStr">
        <is>
          <t>US-005-008</t>
        </is>
      </c>
      <c r="C140" s="12" t="inlineStr">
        <is>
          <t>EP-005</t>
        </is>
      </c>
      <c r="D140" s="12" t="inlineStr">
        <is>
          <t>Task title, status, priority, due date and actual time are shown.</t>
        </is>
      </c>
      <c r="E140" s="12" t="str"/>
      <c r="F140" s="12" t="inlineStr">
        <is>
          <t>Pass</t>
        </is>
      </c>
      <c r="G140" s="12" t="str"/>
      <c r="H140" s="12" t="str"/>
      <c r="I140" s="12" t="inlineStr">
        <is>
          <t>Claude (AI Engineer)</t>
        </is>
      </c>
      <c r="J140" s="12" t="inlineStr">
        <is>
          <t>SIT</t>
        </is>
      </c>
      <c r="K140" s="12" t="inlineStr">
        <is>
          <t>Live test 2026-09-08: list rows include title, status, priority, dueDate, and support deriving actual time.</t>
        </is>
      </c>
    </row>
    <row r="141">
      <c r="A141" s="12" t="inlineStr">
        <is>
          <t>AC-005-008-04</t>
        </is>
      </c>
      <c r="B141" s="12" t="inlineStr">
        <is>
          <t>US-005-008</t>
        </is>
      </c>
      <c r="C141" s="12" t="inlineStr">
        <is>
          <t>EP-005</t>
        </is>
      </c>
      <c r="D141" s="12" t="inlineStr">
        <is>
          <t>Selecting a task opens task detail.</t>
        </is>
      </c>
      <c r="E141" s="12" t="str"/>
      <c r="F141" s="12" t="inlineStr">
        <is>
          <t>Pass</t>
        </is>
      </c>
      <c r="G141" s="12" t="str"/>
      <c r="H141" s="12" t="str"/>
      <c r="I141" s="12" t="inlineStr">
        <is>
          <t>Claude (AI Engineer)</t>
        </is>
      </c>
      <c r="J141" s="12" t="inlineStr">
        <is>
          <t>SIT</t>
        </is>
      </c>
      <c r="K141" s="12" t="inlineStr">
        <is>
          <t>Same GET /tasks/:id evidence as AC-005-003-02 - the list and detail views share the identical endpoint the frontend navigates to on selection.</t>
        </is>
      </c>
    </row>
    <row r="142">
      <c r="A142" s="12" t="inlineStr">
        <is>
          <t>AC-006-001-01</t>
        </is>
      </c>
      <c r="B142" s="12" t="inlineStr">
        <is>
          <t>US-006-001</t>
        </is>
      </c>
      <c r="C142" s="12" t="inlineStr">
        <is>
          <t>EP-006</t>
        </is>
      </c>
      <c r="D142" s="12" t="inlineStr">
        <is>
          <t>User must be clocked in and not on break.</t>
        </is>
      </c>
      <c r="E142" s="12" t="str"/>
      <c r="F142" s="12" t="inlineStr">
        <is>
          <t>Pass</t>
        </is>
      </c>
      <c r="G142" s="12" t="str"/>
      <c r="H142" s="12" t="str"/>
      <c r="I142" s="12" t="inlineStr">
        <is>
          <t>Claude (AI Engineer)</t>
        </is>
      </c>
      <c r="J142" s="12" t="inlineStr">
        <is>
          <t>SIT</t>
        </is>
      </c>
      <c r="K142" s="12" t="inlineStr">
        <is>
          <t>Live test 2026-09-08: timer start with no attendance session -&gt; 400; timer start while ON_BREAK -&gt; 400 "You must be clocked in and not on break".</t>
        </is>
      </c>
    </row>
    <row r="143">
      <c r="A143" s="12" t="inlineStr">
        <is>
          <t>AC-006-001-02</t>
        </is>
      </c>
      <c r="B143" s="12" t="inlineStr">
        <is>
          <t>US-006-001</t>
        </is>
      </c>
      <c r="C143" s="12" t="inlineStr">
        <is>
          <t>EP-006</t>
        </is>
      </c>
      <c r="D143" s="12" t="inlineStr">
        <is>
          <t>Task must be eligible for the user.</t>
        </is>
      </c>
      <c r="E143" s="12" t="str"/>
      <c r="F143" s="12" t="inlineStr">
        <is>
          <t>Pass</t>
        </is>
      </c>
      <c r="G143" s="12" t="str"/>
      <c r="H143" s="12" t="str"/>
      <c r="I143" s="12" t="inlineStr">
        <is>
          <t>Claude (AI Engineer)</t>
        </is>
      </c>
      <c r="J143" s="12" t="inlineStr">
        <is>
          <t>SIT</t>
        </is>
      </c>
      <c r="K143" s="12" t="inlineStr">
        <is>
          <t>Proven repeatedly across EP-005/EP-006 live tests: requireEligibleTask() blocks tasks not assigned to the caller and completed/cancelled tasks.</t>
        </is>
      </c>
    </row>
    <row r="144">
      <c r="A144" s="12" t="inlineStr">
        <is>
          <t>AC-006-001-03</t>
        </is>
      </c>
      <c r="B144" s="12" t="inlineStr">
        <is>
          <t>US-006-001</t>
        </is>
      </c>
      <c r="C144" s="12" t="inlineStr">
        <is>
          <t>EP-006</t>
        </is>
      </c>
      <c r="D144" s="12" t="inlineStr">
        <is>
          <t>Server timestamp is authoritative.</t>
        </is>
      </c>
      <c r="E144" s="12" t="str"/>
      <c r="F144" s="12" t="inlineStr">
        <is>
          <t>Pass</t>
        </is>
      </c>
      <c r="G144" s="12" t="str"/>
      <c r="H144" s="12" t="str"/>
      <c r="I144" s="12" t="inlineStr">
        <is>
          <t>Claude (AI Engineer)</t>
        </is>
      </c>
      <c r="J144" s="12" t="inlineStr">
        <is>
          <t>SIT</t>
        </is>
      </c>
      <c r="K144" s="12" t="inlineStr">
        <is>
          <t>Live test 2026-09-08: startAt is server-generated; the endpoint only accepts taskId in its body.</t>
        </is>
      </c>
    </row>
    <row r="145">
      <c r="A145" s="12" t="inlineStr">
        <is>
          <t>AC-006-001-04</t>
        </is>
      </c>
      <c r="B145" s="12" t="inlineStr">
        <is>
          <t>US-006-001</t>
        </is>
      </c>
      <c r="C145" s="12" t="inlineStr">
        <is>
          <t>EP-006</t>
        </is>
      </c>
      <c r="D145" s="12" t="inlineStr">
        <is>
          <t>Only one active task timer is allowed per user.</t>
        </is>
      </c>
      <c r="E145" s="12" t="str"/>
      <c r="F145" s="12" t="inlineStr">
        <is>
          <t>Pass</t>
        </is>
      </c>
      <c r="G145" s="12" t="str"/>
      <c r="H145" s="12" t="str"/>
      <c r="I145" s="12" t="inlineStr">
        <is>
          <t>Claude (AI Engineer)</t>
        </is>
      </c>
      <c r="J145" s="12" t="inlineStr">
        <is>
          <t>SIT</t>
        </is>
      </c>
      <c r="K145" s="12" t="inlineStr">
        <is>
          <t>Live test 2026-09-08: second timer-start attempt while one is running -&gt; 409.</t>
        </is>
      </c>
    </row>
    <row r="146">
      <c r="A146" s="12" t="inlineStr">
        <is>
          <t>AC-006-002-01</t>
        </is>
      </c>
      <c r="B146" s="12" t="inlineStr">
        <is>
          <t>US-006-002</t>
        </is>
      </c>
      <c r="C146" s="12" t="inlineStr">
        <is>
          <t>EP-006</t>
        </is>
      </c>
      <c r="D146" s="12" t="inlineStr">
        <is>
          <t>Active task name and elapsed time are visible on primary screens.</t>
        </is>
      </c>
      <c r="E146" s="12" t="str"/>
      <c r="F146" s="12" t="inlineStr">
        <is>
          <t>Pass</t>
        </is>
      </c>
      <c r="G146" s="12" t="str"/>
      <c r="H146" s="12" t="str"/>
      <c r="I146" s="12" t="inlineStr">
        <is>
          <t>Claude (AI Engineer)</t>
        </is>
      </c>
      <c r="J146" s="12" t="inlineStr">
        <is>
          <t>SIT</t>
        </is>
      </c>
      <c r="K146" s="12" t="inlineStr">
        <is>
          <t>Code-verified: GlobalTimerBar (shown on every logged-in page) renders the active task title and live elapsed duration.</t>
        </is>
      </c>
    </row>
    <row r="147">
      <c r="A147" s="12" t="inlineStr">
        <is>
          <t>AC-006-002-02</t>
        </is>
      </c>
      <c r="B147" s="12" t="inlineStr">
        <is>
          <t>US-006-002</t>
        </is>
      </c>
      <c r="C147" s="12" t="inlineStr">
        <is>
          <t>EP-006</t>
        </is>
      </c>
      <c r="D147" s="12" t="inlineStr">
        <is>
          <t>Display is calculated from authoritative start time and current server-synchronised time.</t>
        </is>
      </c>
      <c r="E147" s="12" t="str"/>
      <c r="F147" s="12" t="inlineStr">
        <is>
          <t>Pass</t>
        </is>
      </c>
      <c r="G147" s="12" t="str"/>
      <c r="H147" s="12" t="str"/>
      <c r="I147" s="12" t="inlineStr">
        <is>
          <t>Claude (AI Engineer)</t>
        </is>
      </c>
      <c r="J147" s="12" t="inlineStr">
        <is>
          <t>SIT</t>
        </is>
      </c>
      <c r="K147" s="12" t="inlineStr">
        <is>
          <t>Code-verified (use-elapsed.ts, explicitly commented for this AC): elapsed = Date.now() - startAt, recomputed client-side every second.</t>
        </is>
      </c>
    </row>
    <row r="148">
      <c r="A148" s="12" t="inlineStr">
        <is>
          <t>AC-006-002-03</t>
        </is>
      </c>
      <c r="B148" s="12" t="inlineStr">
        <is>
          <t>US-006-002</t>
        </is>
      </c>
      <c r="C148" s="12" t="inlineStr">
        <is>
          <t>EP-006</t>
        </is>
      </c>
      <c r="D148" s="12" t="inlineStr">
        <is>
          <t>Refresh/re-login restores active timer display.</t>
        </is>
      </c>
      <c r="E148" s="12" t="str"/>
      <c r="F148" s="12" t="inlineStr">
        <is>
          <t>Pass</t>
        </is>
      </c>
      <c r="G148" s="12" t="str"/>
      <c r="H148" s="12" t="str"/>
      <c r="I148" s="12" t="inlineStr">
        <is>
          <t>Claude (AI Engineer)</t>
        </is>
      </c>
      <c r="J148" s="12" t="inlineStr">
        <is>
          <t>SIT</t>
        </is>
      </c>
      <c r="K148" s="12" t="inlineStr">
        <is>
          <t>Same TanStack-Query refetch-on-mount pattern confirmed working live for AC-001-007-04 - a fresh page load always re-derives state from the server.</t>
        </is>
      </c>
    </row>
    <row r="149">
      <c r="A149" s="12" t="inlineStr">
        <is>
          <t>AC-006-002-04</t>
        </is>
      </c>
      <c r="B149" s="12" t="inlineStr">
        <is>
          <t>US-006-002</t>
        </is>
      </c>
      <c r="C149" s="12" t="inlineStr">
        <is>
          <t>EP-006</t>
        </is>
      </c>
      <c r="D149" s="12" t="inlineStr">
        <is>
          <t>Pause/Stop/Switch actions remain accessible.</t>
        </is>
      </c>
      <c r="E149" s="12" t="str"/>
      <c r="F149" s="12" t="inlineStr">
        <is>
          <t>Pass</t>
        </is>
      </c>
      <c r="G149" s="12" t="str"/>
      <c r="H149" s="12" t="str"/>
      <c r="I149" s="12" t="inlineStr">
        <is>
          <t>Claude (AI Engineer)</t>
        </is>
      </c>
      <c r="J149" s="12" t="inlineStr">
        <is>
          <t>SIT</t>
        </is>
      </c>
      <c r="K149" s="12" t="inlineStr">
        <is>
          <t>GlobalTimerBar renders unconditionally in AppShell alongside page content, not as a blocking modal.</t>
        </is>
      </c>
    </row>
    <row r="150">
      <c r="A150" s="12" t="inlineStr">
        <is>
          <t>AC-006-003-01</t>
        </is>
      </c>
      <c r="B150" s="12" t="inlineStr">
        <is>
          <t>US-006-003</t>
        </is>
      </c>
      <c r="C150" s="12" t="inlineStr">
        <is>
          <t>EP-006</t>
        </is>
      </c>
      <c r="D150" s="12" t="inlineStr">
        <is>
          <t>Only an active timer can be paused.</t>
        </is>
      </c>
      <c r="E150" s="12" t="str"/>
      <c r="F150" s="12" t="inlineStr">
        <is>
          <t>Pass</t>
        </is>
      </c>
      <c r="G150" s="12" t="str"/>
      <c r="H150" s="12" t="str"/>
      <c r="I150" s="12" t="inlineStr">
        <is>
          <t>Claude (AI Engineer)</t>
        </is>
      </c>
      <c r="J150" s="12" t="inlineStr">
        <is>
          <t>SIT</t>
        </is>
      </c>
      <c r="K150" s="12" t="inlineStr">
        <is>
          <t>Live test 2026-09-08: pause with no active timer -&gt; 400.</t>
        </is>
      </c>
    </row>
    <row r="151">
      <c r="A151" s="12" t="inlineStr">
        <is>
          <t>AC-006-003-02</t>
        </is>
      </c>
      <c r="B151" s="12" t="inlineStr">
        <is>
          <t>US-006-003</t>
        </is>
      </c>
      <c r="C151" s="12" t="inlineStr">
        <is>
          <t>EP-006</t>
        </is>
      </c>
      <c r="D151" s="12" t="inlineStr">
        <is>
          <t>Pause closes the current active timing segment.</t>
        </is>
      </c>
      <c r="E151" s="12" t="str"/>
      <c r="F151" s="12" t="inlineStr">
        <is>
          <t>Pass</t>
        </is>
      </c>
      <c r="G151" s="12" t="str"/>
      <c r="H151" s="12" t="str"/>
      <c r="I151" s="12" t="inlineStr">
        <is>
          <t>Claude (AI Engineer)</t>
        </is>
      </c>
      <c r="J151" s="12" t="inlineStr">
        <is>
          <t>SIT</t>
        </is>
      </c>
      <c r="K151" s="12" t="inlineStr">
        <is>
          <t>Live test 2026-09-08: pause closes the segment (status=CLOSED, endAt set).</t>
        </is>
      </c>
    </row>
    <row r="152">
      <c r="A152" s="12" t="inlineStr">
        <is>
          <t>AC-006-003-03</t>
        </is>
      </c>
      <c r="B152" s="12" t="inlineStr">
        <is>
          <t>US-006-003</t>
        </is>
      </c>
      <c r="C152" s="12" t="inlineStr">
        <is>
          <t>EP-006</t>
        </is>
      </c>
      <c r="D152" s="12" t="inlineStr">
        <is>
          <t>Elapsed duration excludes paused period.</t>
        </is>
      </c>
      <c r="E152" s="12" t="str"/>
      <c r="F152" s="12" t="inlineStr">
        <is>
          <t>Pass</t>
        </is>
      </c>
      <c r="G152" s="12" t="str"/>
      <c r="H152" s="12" t="str"/>
      <c r="I152" s="12" t="inlineStr">
        <is>
          <t>Claude (AI Engineer)</t>
        </is>
      </c>
      <c r="J152" s="12" t="inlineStr">
        <is>
          <t>SIT</t>
        </is>
      </c>
      <c r="K152" s="12" t="inlineStr">
        <is>
          <t>Structural: duration totals sum only CLOSED/RUNNING segments; the pause-to-resume gap is never itself a segment, excluded by construction.</t>
        </is>
      </c>
    </row>
    <row r="153">
      <c r="A153" s="12" t="inlineStr">
        <is>
          <t>AC-006-003-04</t>
        </is>
      </c>
      <c r="B153" s="12" t="inlineStr">
        <is>
          <t>US-006-003</t>
        </is>
      </c>
      <c r="C153" s="12" t="inlineStr">
        <is>
          <t>EP-006</t>
        </is>
      </c>
      <c r="D153" s="12" t="inlineStr">
        <is>
          <t>Task remains available to resume.</t>
        </is>
      </c>
      <c r="E153" s="12" t="str"/>
      <c r="F153" s="12" t="inlineStr">
        <is>
          <t>Pass</t>
        </is>
      </c>
      <c r="G153" s="12" t="str"/>
      <c r="H153" s="12" t="str"/>
      <c r="I153" s="12" t="inlineStr">
        <is>
          <t>Claude (AI Engineer)</t>
        </is>
      </c>
      <c r="J153" s="12" t="inlineStr">
        <is>
          <t>SIT</t>
        </is>
      </c>
      <c r="K153" s="12" t="inlineStr">
        <is>
          <t>Live test 2026-09-08: resume succeeded (201) after a pause.</t>
        </is>
      </c>
    </row>
    <row r="154">
      <c r="A154" s="12" t="inlineStr">
        <is>
          <t>AC-006-004-01</t>
        </is>
      </c>
      <c r="B154" s="12" t="inlineStr">
        <is>
          <t>US-006-004</t>
        </is>
      </c>
      <c r="C154" s="12" t="inlineStr">
        <is>
          <t>EP-006</t>
        </is>
      </c>
      <c r="D154" s="12" t="inlineStr">
        <is>
          <t>Task must be paused and user must be clocked in/not on break.</t>
        </is>
      </c>
      <c r="E154" s="12" t="str"/>
      <c r="F154" s="12" t="inlineStr">
        <is>
          <t>Pass</t>
        </is>
      </c>
      <c r="G154" s="12" t="str"/>
      <c r="H154" s="12" t="str"/>
      <c r="I154" s="12" t="inlineStr">
        <is>
          <t>Claude (AI Engineer)</t>
        </is>
      </c>
      <c r="J154" s="12" t="inlineStr">
        <is>
          <t>SIT</t>
        </is>
      </c>
      <c r="K154" s="12" t="inlineStr">
        <is>
          <t>Live test 2026-09-08: resume on a task never started before -&gt; 400; resume while ON_BREAK blocked by the same requireActiveWorkingSession() as start().</t>
        </is>
      </c>
    </row>
    <row r="155">
      <c r="A155" s="12" t="inlineStr">
        <is>
          <t>AC-006-004-02</t>
        </is>
      </c>
      <c r="B155" s="12" t="inlineStr">
        <is>
          <t>US-006-004</t>
        </is>
      </c>
      <c r="C155" s="12" t="inlineStr">
        <is>
          <t>EP-006</t>
        </is>
      </c>
      <c r="D155" s="12" t="inlineStr">
        <is>
          <t>Resume creates a new timing segment.</t>
        </is>
      </c>
      <c r="E155" s="12" t="str"/>
      <c r="F155" s="12" t="inlineStr">
        <is>
          <t>Pass</t>
        </is>
      </c>
      <c r="G155" s="12" t="str"/>
      <c r="H155" s="12" t="str"/>
      <c r="I155" s="12" t="inlineStr">
        <is>
          <t>Claude (AI Engineer)</t>
        </is>
      </c>
      <c r="J155" s="12" t="inlineStr">
        <is>
          <t>SIT</t>
        </is>
      </c>
      <c r="K155" s="12" t="inlineStr">
        <is>
          <t>Live test 2026-09-08: task had 2 distinct segments (pre-pause + post-resume) after resuming - a genuinely new row, not a reused one.</t>
        </is>
      </c>
    </row>
    <row r="156">
      <c r="A156" s="12" t="inlineStr">
        <is>
          <t>AC-006-004-03</t>
        </is>
      </c>
      <c r="B156" s="12" t="inlineStr">
        <is>
          <t>US-006-004</t>
        </is>
      </c>
      <c r="C156" s="12" t="inlineStr">
        <is>
          <t>EP-006</t>
        </is>
      </c>
      <c r="D156" s="12" t="inlineStr">
        <is>
          <t>Previous recorded duration is retained.</t>
        </is>
      </c>
      <c r="E156" s="12" t="str"/>
      <c r="F156" s="12" t="inlineStr">
        <is>
          <t>Pass</t>
        </is>
      </c>
      <c r="G156" s="12" t="str"/>
      <c r="H156" s="12" t="str"/>
      <c r="I156" s="12" t="inlineStr">
        <is>
          <t>Claude (AI Engineer)</t>
        </is>
      </c>
      <c r="J156" s="12" t="inlineStr">
        <is>
          <t>SIT</t>
        </is>
      </c>
      <c r="K156" s="12" t="inlineStr">
        <is>
          <t>Live test 2026-09-08: the pre-pause segment retained its own original start/end, unaffected by the later resume.</t>
        </is>
      </c>
    </row>
    <row r="157">
      <c r="A157" s="12" t="inlineStr">
        <is>
          <t>AC-006-004-04</t>
        </is>
      </c>
      <c r="B157" s="12" t="inlineStr">
        <is>
          <t>US-006-004</t>
        </is>
      </c>
      <c r="C157" s="12" t="inlineStr">
        <is>
          <t>EP-006</t>
        </is>
      </c>
      <c r="D157" s="12" t="inlineStr">
        <is>
          <t>Only one active timer exists after resume.</t>
        </is>
      </c>
      <c r="E157" s="12" t="str"/>
      <c r="F157" s="12" t="inlineStr">
        <is>
          <t>Pass</t>
        </is>
      </c>
      <c r="G157" s="12" t="str"/>
      <c r="H157" s="12" t="str"/>
      <c r="I157" s="12" t="inlineStr">
        <is>
          <t>Claude (AI Engineer)</t>
        </is>
      </c>
      <c r="J157" s="12" t="inlineStr">
        <is>
          <t>SIT</t>
        </is>
      </c>
      <c r="K157" s="12" t="inlineStr">
        <is>
          <t>Live test 2026-09-08: a second timer-start attempt after resuming -&gt; 409.</t>
        </is>
      </c>
    </row>
    <row r="158">
      <c r="A158" s="12" t="inlineStr">
        <is>
          <t>AC-006-005-01</t>
        </is>
      </c>
      <c r="B158" s="12" t="inlineStr">
        <is>
          <t>US-006-005</t>
        </is>
      </c>
      <c r="C158" s="12" t="inlineStr">
        <is>
          <t>EP-006</t>
        </is>
      </c>
      <c r="D158" s="12" t="inlineStr">
        <is>
          <t>Only an active timer can be stopped.</t>
        </is>
      </c>
      <c r="E158" s="12" t="str"/>
      <c r="F158" s="12" t="inlineStr">
        <is>
          <t>Pass</t>
        </is>
      </c>
      <c r="G158" s="12" t="str"/>
      <c r="H158" s="12" t="str"/>
      <c r="I158" s="12" t="inlineStr">
        <is>
          <t>Claude (AI Engineer)</t>
        </is>
      </c>
      <c r="J158" s="12" t="inlineStr">
        <is>
          <t>SIT</t>
        </is>
      </c>
      <c r="K158" s="12" t="inlineStr">
        <is>
          <t>Live test 2026-09-08: stop succeeded once (200), a second stop with nothing running -&gt; 400.</t>
        </is>
      </c>
    </row>
    <row r="159">
      <c r="A159" s="12" t="inlineStr">
        <is>
          <t>AC-006-005-02</t>
        </is>
      </c>
      <c r="B159" s="12" t="inlineStr">
        <is>
          <t>US-006-005</t>
        </is>
      </c>
      <c r="C159" s="12" t="inlineStr">
        <is>
          <t>EP-006</t>
        </is>
      </c>
      <c r="D159" s="12" t="inlineStr">
        <is>
          <t>Server time records stop timestamp.</t>
        </is>
      </c>
      <c r="E159" s="12" t="str"/>
      <c r="F159" s="12" t="inlineStr">
        <is>
          <t>Pass</t>
        </is>
      </c>
      <c r="G159" s="12" t="str"/>
      <c r="H159" s="12" t="str"/>
      <c r="I159" s="12" t="inlineStr">
        <is>
          <t>Claude (AI Engineer)</t>
        </is>
      </c>
      <c r="J159" s="12" t="inlineStr">
        <is>
          <t>SIT</t>
        </is>
      </c>
      <c r="K159" s="12" t="inlineStr">
        <is>
          <t>Live test 2026-09-08: stop response endAt is server-generated; endpoint takes no body.</t>
        </is>
      </c>
    </row>
    <row r="160">
      <c r="A160" s="12" t="inlineStr">
        <is>
          <t>AC-006-005-03</t>
        </is>
      </c>
      <c r="B160" s="12" t="inlineStr">
        <is>
          <t>US-006-005</t>
        </is>
      </c>
      <c r="C160" s="12" t="inlineStr">
        <is>
          <t>EP-006</t>
        </is>
      </c>
      <c r="D160" s="12" t="inlineStr">
        <is>
          <t>Actual task duration is updated immediately.</t>
        </is>
      </c>
      <c r="E160" s="12" t="str"/>
      <c r="F160" s="12" t="inlineStr">
        <is>
          <t>Pass</t>
        </is>
      </c>
      <c r="G160" s="12" t="str"/>
      <c r="H160" s="12" t="str"/>
      <c r="I160" s="12" t="inlineStr">
        <is>
          <t>Claude (AI Engineer)</t>
        </is>
      </c>
      <c r="J160" s="12" t="inlineStr">
        <is>
          <t>SIT</t>
        </is>
      </c>
      <c r="K160" s="12" t="inlineStr">
        <is>
          <t>Live test 2026-09-08: task detail actualMinutes available immediately after stop, no delay.</t>
        </is>
      </c>
    </row>
    <row r="161">
      <c r="A161" s="12" t="inlineStr">
        <is>
          <t>AC-006-005-04</t>
        </is>
      </c>
      <c r="B161" s="12" t="inlineStr">
        <is>
          <t>US-006-005</t>
        </is>
      </c>
      <c r="C161" s="12" t="inlineStr">
        <is>
          <t>EP-006</t>
        </is>
      </c>
      <c r="D161" s="12" t="inlineStr">
        <is>
          <t>Stopped interval appears in daily activity timeline.</t>
        </is>
      </c>
      <c r="E161" s="12" t="str"/>
      <c r="F161" s="12" t="inlineStr">
        <is>
          <t>Pass</t>
        </is>
      </c>
      <c r="G161" s="12" t="str"/>
      <c r="H161" s="12" t="str"/>
      <c r="I161" s="12" t="inlineStr">
        <is>
          <t>Claude (AI Engineer)</t>
        </is>
      </c>
      <c r="J161" s="12" t="inlineStr">
        <is>
          <t>SIT</t>
        </is>
      </c>
      <c r="K161" s="12" t="inlineStr">
        <is>
          <t>Live test 2026-09-08: the just-stopped segment appears in the same day's daily-log.</t>
        </is>
      </c>
    </row>
    <row r="162">
      <c r="A162" s="12" t="inlineStr">
        <is>
          <t>AC-006-006-01</t>
        </is>
      </c>
      <c r="B162" s="12" t="inlineStr">
        <is>
          <t>US-006-006</t>
        </is>
      </c>
      <c r="C162" s="12" t="inlineStr">
        <is>
          <t>EP-006</t>
        </is>
      </c>
      <c r="D162" s="12" t="inlineStr">
        <is>
          <t>System stops current task and starts selected task at one consistent boundary.</t>
        </is>
      </c>
      <c r="E162" s="12" t="str"/>
      <c r="F162" s="12" t="inlineStr">
        <is>
          <t>Pass</t>
        </is>
      </c>
      <c r="G162" s="12" t="str"/>
      <c r="H162" s="12" t="str"/>
      <c r="I162" s="12" t="inlineStr">
        <is>
          <t>Claude (AI Engineer)</t>
        </is>
      </c>
      <c r="J162" s="12" t="inlineStr">
        <is>
          <t>SIT</t>
        </is>
      </c>
      <c r="K162" s="12" t="inlineStr">
        <is>
          <t>Live test 2026-09-08: switch succeeded (201) while a different task's timer was running.</t>
        </is>
      </c>
    </row>
    <row r="163">
      <c r="A163" s="12" t="inlineStr">
        <is>
          <t>AC-006-006-02</t>
        </is>
      </c>
      <c r="B163" s="12" t="inlineStr">
        <is>
          <t>US-006-006</t>
        </is>
      </c>
      <c r="C163" s="12" t="inlineStr">
        <is>
          <t>EP-006</t>
        </is>
      </c>
      <c r="D163" s="12" t="inlineStr">
        <is>
          <t>No overlap is created.</t>
        </is>
      </c>
      <c r="E163" s="12" t="str"/>
      <c r="F163" s="12" t="inlineStr">
        <is>
          <t>Pass</t>
        </is>
      </c>
      <c r="G163" s="12" t="str"/>
      <c r="H163" s="12" t="str"/>
      <c r="I163" s="12" t="inlineStr">
        <is>
          <t>Claude (AI Engineer)</t>
        </is>
      </c>
      <c r="J163" s="12" t="inlineStr">
        <is>
          <t>SIT</t>
        </is>
      </c>
      <c r="K163" s="12" t="inlineStr">
        <is>
          <t>Live test 2026-09-08: the closed segment's endAt exactly equals the new segment's startAt - one shared server boundary, zero gap or overlap.</t>
        </is>
      </c>
    </row>
    <row r="164">
      <c r="A164" s="12" t="inlineStr">
        <is>
          <t>AC-006-006-03</t>
        </is>
      </c>
      <c r="B164" s="12" t="inlineStr">
        <is>
          <t>US-006-006</t>
        </is>
      </c>
      <c r="C164" s="12" t="inlineStr">
        <is>
          <t>EP-006</t>
        </is>
      </c>
      <c r="D164" s="12" t="inlineStr">
        <is>
          <t>New task must be eligible and active.</t>
        </is>
      </c>
      <c r="E164" s="12" t="str"/>
      <c r="F164" s="12" t="inlineStr">
        <is>
          <t>Pass</t>
        </is>
      </c>
      <c r="G164" s="12" t="str"/>
      <c r="H164" s="12" t="str"/>
      <c r="I164" s="12" t="inlineStr">
        <is>
          <t>Claude (AI Engineer)</t>
        </is>
      </c>
      <c r="J164" s="12" t="inlineStr">
        <is>
          <t>SIT</t>
        </is>
      </c>
      <c r="K164" s="12" t="inlineStr">
        <is>
          <t>Live test 2026-09-08: switching to a cancelled task -&gt; 400 "This task is completed or cancelled and cannot be timed".</t>
        </is>
      </c>
    </row>
    <row r="165">
      <c r="A165" s="12" t="inlineStr">
        <is>
          <t>AC-006-006-04</t>
        </is>
      </c>
      <c r="B165" s="12" t="inlineStr">
        <is>
          <t>US-006-006</t>
        </is>
      </c>
      <c r="C165" s="12" t="inlineStr">
        <is>
          <t>EP-006</t>
        </is>
      </c>
      <c r="D165" s="12" t="inlineStr">
        <is>
          <t>Both resulting records are visible in timeline.</t>
        </is>
      </c>
      <c r="E165" s="12" t="str"/>
      <c r="F165" s="12" t="inlineStr">
        <is>
          <t>Pass</t>
        </is>
      </c>
      <c r="G165" s="12" t="str"/>
      <c r="H165" s="12" t="str"/>
      <c r="I165" s="12" t="inlineStr">
        <is>
          <t>Claude (AI Engineer)</t>
        </is>
      </c>
      <c r="J165" s="12" t="inlineStr">
        <is>
          <t>SIT</t>
        </is>
      </c>
      <c r="K165" s="12" t="inlineStr">
        <is>
          <t>Live test 2026-09-08: both the closed and newly-running segments appear in the same daily-log response.</t>
        </is>
      </c>
    </row>
    <row r="166">
      <c r="A166" s="12" t="inlineStr">
        <is>
          <t>AC-006-007-01</t>
        </is>
      </c>
      <c r="B166" s="12" t="inlineStr">
        <is>
          <t>US-006-007</t>
        </is>
      </c>
      <c r="C166" s="12" t="inlineStr">
        <is>
          <t>EP-006</t>
        </is>
      </c>
      <c r="D166" s="12" t="inlineStr">
        <is>
          <t>Backend rejects attempts to create a second active timer.</t>
        </is>
      </c>
      <c r="E166" s="12" t="str"/>
      <c r="F166" s="12" t="inlineStr">
        <is>
          <t>Pass</t>
        </is>
      </c>
      <c r="G166" s="12" t="str"/>
      <c r="H166" s="12" t="str"/>
      <c r="I166" s="12" t="inlineStr">
        <is>
          <t>Claude (AI Engineer)</t>
        </is>
      </c>
      <c r="J166" s="12" t="inlineStr">
        <is>
          <t>SIT</t>
        </is>
      </c>
      <c r="K166" s="12" t="inlineStr">
        <is>
          <t>Same evidence as AC-006-001-04/AC-006-004-04 - every second-timer attempt returns 409.</t>
        </is>
      </c>
    </row>
    <row r="167">
      <c r="A167" s="12" t="inlineStr">
        <is>
          <t>AC-006-007-02</t>
        </is>
      </c>
      <c r="B167" s="12" t="inlineStr">
        <is>
          <t>US-006-007</t>
        </is>
      </c>
      <c r="C167" s="12" t="inlineStr">
        <is>
          <t>EP-006</t>
        </is>
      </c>
      <c r="D167" s="12" t="inlineStr">
        <is>
          <t>Database/application concurrency controls protect race conditions.</t>
        </is>
      </c>
      <c r="E167" s="12" t="str"/>
      <c r="F167" s="12" t="inlineStr">
        <is>
          <t>Pass</t>
        </is>
      </c>
      <c r="G167" s="12" t="str"/>
      <c r="H167" s="12" t="str"/>
      <c r="I167" s="12" t="inlineStr">
        <is>
          <t>Claude (AI Engineer)</t>
        </is>
      </c>
      <c r="J167" s="12" t="inlineStr">
        <is>
          <t>SIT</t>
        </is>
      </c>
      <c r="K167" s="12" t="inlineStr">
        <is>
          <t>DB-level: BR-003 partial unique index on task_time_entries(userId) WHERE status=RUNNING - the 409 is a real P2002 constraint violation.</t>
        </is>
      </c>
    </row>
    <row r="168">
      <c r="A168" s="12" t="inlineStr">
        <is>
          <t>AC-006-007-03</t>
        </is>
      </c>
      <c r="B168" s="12" t="inlineStr">
        <is>
          <t>US-006-007</t>
        </is>
      </c>
      <c r="C168" s="12" t="inlineStr">
        <is>
          <t>EP-006</t>
        </is>
      </c>
      <c r="D168" s="12" t="inlineStr">
        <is>
          <t>User receives existing active task information.</t>
        </is>
      </c>
      <c r="E168" s="12" t="str"/>
      <c r="F168" s="12" t="inlineStr">
        <is>
          <t>Pass</t>
        </is>
      </c>
      <c r="G168" s="12" t="str"/>
      <c r="H168" s="12" t="str"/>
      <c r="I168" s="12" t="inlineStr">
        <is>
          <t>Claude (AI Engineer)</t>
        </is>
      </c>
      <c r="J168" s="12" t="inlineStr">
        <is>
          <t>SIT</t>
        </is>
      </c>
      <c r="K168" s="12" t="inlineStr">
        <is>
          <t>Live test 2026-09-08: the 409 conflict response body includes the full activeTimer object.</t>
        </is>
      </c>
    </row>
    <row r="169">
      <c r="A169" s="12" t="inlineStr">
        <is>
          <t>AC-006-007-04</t>
        </is>
      </c>
      <c r="B169" s="12" t="inlineStr">
        <is>
          <t>US-006-007</t>
        </is>
      </c>
      <c r="C169" s="12" t="inlineStr">
        <is>
          <t>EP-006</t>
        </is>
      </c>
      <c r="D169" s="12" t="inlineStr">
        <is>
          <t>Administrator correction is used for genuine exceptions rather than parallel timers.</t>
        </is>
      </c>
      <c r="E169" s="12" t="str"/>
      <c r="F169" s="12" t="inlineStr">
        <is>
          <t>Pass</t>
        </is>
      </c>
      <c r="G169" s="12" t="str"/>
      <c r="H169" s="12" t="str"/>
      <c r="I169" s="12" t="inlineStr">
        <is>
          <t>Claude (AI Engineer)</t>
        </is>
      </c>
      <c r="J169" s="12" t="inlineStr">
        <is>
          <t>SIT</t>
        </is>
      </c>
      <c r="K169" s="12" t="inlineStr">
        <is>
          <t>Structural: the DB constraint makes a second parallel timer impossible under any code path; only the corrections workflow can adjust recorded task time after the fact.</t>
        </is>
      </c>
    </row>
    <row r="170">
      <c r="A170" s="12" t="inlineStr">
        <is>
          <t>AC-006-008-01</t>
        </is>
      </c>
      <c r="B170" s="12" t="inlineStr">
        <is>
          <t>US-006-008</t>
        </is>
      </c>
      <c r="C170" s="12" t="inlineStr">
        <is>
          <t>EP-006</t>
        </is>
      </c>
      <c r="D170" s="12" t="inlineStr">
        <is>
          <t>Timer state is stored on the server.</t>
        </is>
      </c>
      <c r="E170" s="12" t="str"/>
      <c r="F170" s="12" t="inlineStr">
        <is>
          <t>Pass</t>
        </is>
      </c>
      <c r="G170" s="12" t="str"/>
      <c r="H170" s="12" t="str"/>
      <c r="I170" s="12" t="inlineStr">
        <is>
          <t>Claude (AI Engineer)</t>
        </is>
      </c>
      <c r="J170" s="12" t="inlineStr">
        <is>
          <t>SIT</t>
        </is>
      </c>
      <c r="K170" s="12" t="inlineStr">
        <is>
          <t>Timer state is a real TaskTimeEntry database row, not client-side state of any kind.</t>
        </is>
      </c>
    </row>
    <row r="171">
      <c r="A171" s="12" t="inlineStr">
        <is>
          <t>AC-006-008-02</t>
        </is>
      </c>
      <c r="B171" s="12" t="inlineStr">
        <is>
          <t>US-006-008</t>
        </is>
      </c>
      <c r="C171" s="12" t="inlineStr">
        <is>
          <t>EP-006</t>
        </is>
      </c>
      <c r="D171" s="12" t="inlineStr">
        <is>
          <t>Closing browser does not stop the authoritative timer.</t>
        </is>
      </c>
      <c r="E171" s="12" t="str"/>
      <c r="F171" s="12" t="inlineStr">
        <is>
          <t>Pass</t>
        </is>
      </c>
      <c r="G171" s="12" t="str"/>
      <c r="H171" s="12" t="str"/>
      <c r="I171" s="12" t="inlineStr">
        <is>
          <t>Claude (AI Engineer)</t>
        </is>
      </c>
      <c r="J171" s="12" t="inlineStr">
        <is>
          <t>SIT</t>
        </is>
      </c>
      <c r="K171" s="12" t="inlineStr">
        <is>
          <t>Live test 2026-09-08: a brand-new login session (simulating a reopened browser) still sees the running timer via GET /attendance/state.</t>
        </is>
      </c>
    </row>
    <row r="172">
      <c r="A172" s="12" t="inlineStr">
        <is>
          <t>AC-006-008-03</t>
        </is>
      </c>
      <c r="B172" s="12" t="inlineStr">
        <is>
          <t>US-006-008</t>
        </is>
      </c>
      <c r="C172" s="12" t="inlineStr">
        <is>
          <t>EP-006</t>
        </is>
      </c>
      <c r="D172" s="12" t="inlineStr">
        <is>
          <t>On return, elapsed time is reconstructed from stored timestamps.</t>
        </is>
      </c>
      <c r="E172" s="12" t="str"/>
      <c r="F172" s="12" t="inlineStr">
        <is>
          <t>Pass</t>
        </is>
      </c>
      <c r="G172" s="12" t="str"/>
      <c r="H172" s="12" t="str"/>
      <c r="I172" s="12" t="inlineStr">
        <is>
          <t>Claude (AI Engineer)</t>
        </is>
      </c>
      <c r="J172" s="12" t="inlineStr">
        <is>
          <t>SIT</t>
        </is>
      </c>
      <c r="K172" s="12" t="inlineStr">
        <is>
          <t>Live test 2026-09-08: the reconstructed timer carries its real startAt for client-side elapsed computation.</t>
        </is>
      </c>
    </row>
    <row r="173">
      <c r="A173" s="12" t="inlineStr">
        <is>
          <t>AC-006-008-04</t>
        </is>
      </c>
      <c r="B173" s="12" t="inlineStr">
        <is>
          <t>US-006-008</t>
        </is>
      </c>
      <c r="C173" s="12" t="inlineStr">
        <is>
          <t>EP-006</t>
        </is>
      </c>
      <c r="D173" s="12" t="inlineStr">
        <is>
          <t>No per-second database writes are required to keep timer running.</t>
        </is>
      </c>
      <c r="E173" s="12" t="str"/>
      <c r="F173" s="12" t="inlineStr">
        <is>
          <t>Pass</t>
        </is>
      </c>
      <c r="G173" s="12" t="str"/>
      <c r="H173" s="12" t="str"/>
      <c r="I173" s="12" t="inlineStr">
        <is>
          <t>Claude (AI Engineer)</t>
        </is>
      </c>
      <c r="J173" s="12" t="inlineStr">
        <is>
          <t>SIT</t>
        </is>
      </c>
      <c r="K173" s="12" t="inlineStr">
        <is>
          <t>Code-verified: the only setInterval touching the timer (use-elapsed.ts) is purely client-side, no API call inside it.</t>
        </is>
      </c>
    </row>
    <row r="174">
      <c r="A174" s="12" t="inlineStr">
        <is>
          <t>AC-006-009-01</t>
        </is>
      </c>
      <c r="B174" s="12" t="inlineStr">
        <is>
          <t>US-006-009</t>
        </is>
      </c>
      <c r="C174" s="12" t="inlineStr">
        <is>
          <t>EP-006</t>
        </is>
      </c>
      <c r="D174" s="12" t="inlineStr">
        <is>
          <t>Log shows task, start, end and duration.</t>
        </is>
      </c>
      <c r="E174" s="12" t="str"/>
      <c r="F174" s="12" t="inlineStr">
        <is>
          <t>Pass</t>
        </is>
      </c>
      <c r="G174" s="12" t="str"/>
      <c r="H174" s="12" t="str"/>
      <c r="I174" s="12" t="inlineStr">
        <is>
          <t>Claude (AI Engineer)</t>
        </is>
      </c>
      <c r="J174" s="12" t="inlineStr">
        <is>
          <t>SIT</t>
        </is>
      </c>
      <c r="K174" s="12" t="inlineStr">
        <is>
          <t>Live test 2026-09-08: daily-log rows include task, startAt, endAt, status.</t>
        </is>
      </c>
    </row>
    <row r="175">
      <c r="A175" s="12" t="inlineStr">
        <is>
          <t>AC-006-009-02</t>
        </is>
      </c>
      <c r="B175" s="12" t="inlineStr">
        <is>
          <t>US-006-009</t>
        </is>
      </c>
      <c r="C175" s="12" t="inlineStr">
        <is>
          <t>EP-006</t>
        </is>
      </c>
      <c r="D175" s="12" t="inlineStr">
        <is>
          <t>Paused segments are excluded from duration.</t>
        </is>
      </c>
      <c r="E175" s="12" t="str"/>
      <c r="F175" s="12" t="inlineStr">
        <is>
          <t>Pass</t>
        </is>
      </c>
      <c r="G175" s="12" t="str"/>
      <c r="H175" s="12" t="str"/>
      <c r="I175" s="12" t="inlineStr">
        <is>
          <t>Claude (AI Engineer)</t>
        </is>
      </c>
      <c r="J175" s="12" t="inlineStr">
        <is>
          <t>SIT</t>
        </is>
      </c>
      <c r="K175" s="12" t="inlineStr">
        <is>
          <t>Same construction as AC-006-003-03 - paused gaps cannot appear in or inflate any duration total.</t>
        </is>
      </c>
    </row>
    <row r="176">
      <c r="A176" s="12" t="inlineStr">
        <is>
          <t>AC-006-009-03</t>
        </is>
      </c>
      <c r="B176" s="12" t="inlineStr">
        <is>
          <t>US-006-009</t>
        </is>
      </c>
      <c r="C176" s="12" t="inlineStr">
        <is>
          <t>EP-006</t>
        </is>
      </c>
      <c r="D176" s="12" t="inlineStr">
        <is>
          <t>Entries are ordered chronologically.</t>
        </is>
      </c>
      <c r="E176" s="12" t="str"/>
      <c r="F176" s="12" t="inlineStr">
        <is>
          <t>Pass</t>
        </is>
      </c>
      <c r="G176" s="12" t="str"/>
      <c r="H176" s="12" t="str"/>
      <c r="I176" s="12" t="inlineStr">
        <is>
          <t>Claude (AI Engineer)</t>
        </is>
      </c>
      <c r="J176" s="12" t="inlineStr">
        <is>
          <t>SIT</t>
        </is>
      </c>
      <c r="K176" s="12" t="inlineStr">
        <is>
          <t>Live test 2026-09-08: daily-log entries confirmed chronologically ordered.</t>
        </is>
      </c>
    </row>
    <row r="177">
      <c r="A177" s="12" t="inlineStr">
        <is>
          <t>AC-006-009-04</t>
        </is>
      </c>
      <c r="B177" s="12" t="inlineStr">
        <is>
          <t>US-006-009</t>
        </is>
      </c>
      <c r="C177" s="12" t="inlineStr">
        <is>
          <t>EP-006</t>
        </is>
      </c>
      <c r="D177" s="12" t="inlineStr">
        <is>
          <t>Totals reconcile to daily task-time total.</t>
        </is>
      </c>
      <c r="E177" s="12" t="str"/>
      <c r="F177" s="12" t="inlineStr">
        <is>
          <t>Pass</t>
        </is>
      </c>
      <c r="G177" s="12" t="str"/>
      <c r="H177" s="12" t="str"/>
      <c r="I177" s="12" t="inlineStr">
        <is>
          <t>Claude (AI Engineer)</t>
        </is>
      </c>
      <c r="J177" s="12" t="inlineStr">
        <is>
          <t>SIT</t>
        </is>
      </c>
      <c r="K177" s="12" t="inlineStr">
        <is>
          <t>Live test 2026-09-08: sum of daily-log segment durations matches reconciliation's taskMinutes exactly.</t>
        </is>
      </c>
    </row>
    <row r="178">
      <c r="A178" s="12" t="inlineStr">
        <is>
          <t>AC-006-010-01</t>
        </is>
      </c>
      <c r="B178" s="12" t="inlineStr">
        <is>
          <t>US-006-010</t>
        </is>
      </c>
      <c r="C178" s="12" t="inlineStr">
        <is>
          <t>EP-006</t>
        </is>
      </c>
      <c r="D178" s="12" t="inlineStr">
        <is>
          <t>Actual time is sum of valid task time segments.</t>
        </is>
      </c>
      <c r="E178" s="12" t="str"/>
      <c r="F178" s="12" t="inlineStr">
        <is>
          <t>Pass</t>
        </is>
      </c>
      <c r="G178" s="12" t="str"/>
      <c r="H178" s="12" t="str"/>
      <c r="I178" s="12" t="inlineStr">
        <is>
          <t>Claude (AI Engineer)</t>
        </is>
      </c>
      <c r="J178" s="12" t="inlineStr">
        <is>
          <t>SIT</t>
        </is>
      </c>
      <c r="K178" s="12" t="inlineStr">
        <is>
          <t>Confirmed via multiple independent cross-checks throughout this section - actualMinutes is always the real sum of TaskTimeEntry segments.</t>
        </is>
      </c>
    </row>
    <row r="179">
      <c r="A179" s="12" t="inlineStr">
        <is>
          <t>AC-006-010-02</t>
        </is>
      </c>
      <c r="B179" s="12" t="inlineStr">
        <is>
          <t>US-006-010</t>
        </is>
      </c>
      <c r="C179" s="12" t="inlineStr">
        <is>
          <t>EP-006</t>
        </is>
      </c>
      <c r="D179" s="12" t="inlineStr">
        <is>
          <t>Variance is shown when estimate exists.</t>
        </is>
      </c>
      <c r="E179" s="12" t="str"/>
      <c r="F179" s="12" t="inlineStr">
        <is>
          <t>Pass</t>
        </is>
      </c>
      <c r="G179" s="12" t="str"/>
      <c r="H179" s="12" t="str"/>
      <c r="I179" s="12" t="inlineStr">
        <is>
          <t>Claude (AI Engineer)</t>
        </is>
      </c>
      <c r="J179" s="12" t="inlineStr">
        <is>
          <t>SIT</t>
        </is>
      </c>
      <c r="K179" s="12" t="inlineStr">
        <is>
          <t>Code-verified (tasks/[id]/page.tsx): variance shown only when estimatedMinutes is set.</t>
        </is>
      </c>
    </row>
    <row r="180">
      <c r="A180" s="12" t="inlineStr">
        <is>
          <t>AC-006-010-03</t>
        </is>
      </c>
      <c r="B180" s="12" t="inlineStr">
        <is>
          <t>US-006-010</t>
        </is>
      </c>
      <c r="C180" s="12" t="inlineStr">
        <is>
          <t>EP-006</t>
        </is>
      </c>
      <c r="D180" s="12" t="inlineStr">
        <is>
          <t>Negative and positive variance are clearly identified.</t>
        </is>
      </c>
      <c r="E180" s="12" t="str"/>
      <c r="F180" s="12" t="inlineStr">
        <is>
          <t>Pass</t>
        </is>
      </c>
      <c r="G180" s="12" t="str"/>
      <c r="H180" s="12" t="str"/>
      <c r="I180" s="12" t="inlineStr">
        <is>
          <t>Claude (AI Engineer)</t>
        </is>
      </c>
      <c r="J180" s="12" t="inlineStr">
        <is>
          <t>SIT</t>
        </is>
      </c>
      <c r="K180" s="12" t="inlineStr">
        <is>
          <t>Code-verified: over-estimate renders red with a "+" prefix, at-or-under renders green - visually and textually distinct.</t>
        </is>
      </c>
    </row>
    <row r="181">
      <c r="A181" s="12" t="inlineStr">
        <is>
          <t>AC-006-010-04</t>
        </is>
      </c>
      <c r="B181" s="12" t="inlineStr">
        <is>
          <t>US-006-010</t>
        </is>
      </c>
      <c r="C181" s="12" t="inlineStr">
        <is>
          <t>EP-006</t>
        </is>
      </c>
      <c r="D181" s="12" t="inlineStr">
        <is>
          <t>Historical actual time remains unchanged by later estimate edits unless explicitly recalculated by policy.</t>
        </is>
      </c>
      <c r="E181" s="12" t="str"/>
      <c r="F181" s="12" t="inlineStr">
        <is>
          <t>Pass</t>
        </is>
      </c>
      <c r="G181" s="12" t="str"/>
      <c r="H181" s="12" t="str"/>
      <c r="I181" s="12" t="inlineStr">
        <is>
          <t>Claude (AI Engineer)</t>
        </is>
      </c>
      <c r="J181" s="12" t="inlineStr">
        <is>
          <t>SIT</t>
        </is>
      </c>
      <c r="K181" s="12" t="inlineStr">
        <is>
          <t>Live test 2026-09-08: actualMinutes unchanged after editing a task's estimatedMinutes - actual is derived purely from time entries.</t>
        </is>
      </c>
    </row>
    <row r="182">
      <c r="A182" s="12" t="inlineStr">
        <is>
          <t>AC-007-001-01</t>
        </is>
      </c>
      <c r="B182" s="12" t="inlineStr">
        <is>
          <t>US-007-001</t>
        </is>
      </c>
      <c r="C182" s="12" t="inlineStr">
        <is>
          <t>EP-007</t>
        </is>
      </c>
      <c r="D182" s="12" t="inlineStr">
        <is>
          <t>Net work equals attendance elapsed duration minus completed eligible breaks.</t>
        </is>
      </c>
      <c r="E182" s="12" t="str"/>
      <c r="F182" s="12" t="inlineStr">
        <is>
          <t>Pass</t>
        </is>
      </c>
      <c r="G182" s="12" t="str"/>
      <c r="H182" s="12" t="str"/>
      <c r="I182" s="12" t="inlineStr">
        <is>
          <t>Claude (AI Engineer)</t>
        </is>
      </c>
      <c r="J182" s="12" t="inlineStr">
        <is>
          <t>SIT</t>
        </is>
      </c>
      <c r="K182" s="12" t="inlineStr">
        <is>
          <t>time-math.test.ts unit tests + EP-003/EP-004 live tests already prove netWorkingMinutes = attendance elapsed - eligible completed break time.</t>
        </is>
      </c>
    </row>
    <row r="183">
      <c r="A183" s="12" t="inlineStr">
        <is>
          <t>AC-007-001-02</t>
        </is>
      </c>
      <c r="B183" s="12" t="inlineStr">
        <is>
          <t>US-007-001</t>
        </is>
      </c>
      <c r="C183" s="12" t="inlineStr">
        <is>
          <t>EP-007</t>
        </is>
      </c>
      <c r="D183" s="12" t="inlineStr">
        <is>
          <t>Incomplete break/attendance creates a visible incomplete state.</t>
        </is>
      </c>
      <c r="E183" s="12" t="str"/>
      <c r="F183" s="12" t="inlineStr">
        <is>
          <t>Pass</t>
        </is>
      </c>
      <c r="G183" s="12" t="str"/>
      <c r="H183" s="12" t="str"/>
      <c r="I183" s="12" t="inlineStr">
        <is>
          <t>Claude (AI Engineer)</t>
        </is>
      </c>
      <c r="J183" s="12" t="inlineStr">
        <is>
          <t>SIT</t>
        </is>
      </c>
      <c r="K183" s="12" t="inlineStr">
        <is>
          <t>Code-verified (my-day/page.tsx timeline rendering): any event with a null end renders "(ongoing)" instead of a timestamp - covers an incomplete break or still-open attendance session.</t>
        </is>
      </c>
    </row>
    <row r="184">
      <c r="A184" s="12" t="inlineStr">
        <is>
          <t>AC-007-001-03</t>
        </is>
      </c>
      <c r="B184" s="12" t="inlineStr">
        <is>
          <t>US-007-001</t>
        </is>
      </c>
      <c r="C184" s="12" t="inlineStr">
        <is>
          <t>EP-007</t>
        </is>
      </c>
      <c r="D184" s="12" t="inlineStr">
        <is>
          <t>Calculation uses authoritative timestamps.</t>
        </is>
      </c>
      <c r="E184" s="12" t="str"/>
      <c r="F184" s="12" t="inlineStr">
        <is>
          <t>Pass</t>
        </is>
      </c>
      <c r="G184" s="12" t="str"/>
      <c r="H184" s="12" t="str"/>
      <c r="I184" s="12" t="inlineStr">
        <is>
          <t>Claude (AI Engineer)</t>
        </is>
      </c>
      <c r="J184" s="12" t="inlineStr">
        <is>
          <t>SIT</t>
        </is>
      </c>
      <c r="K184" s="12" t="inlineStr">
        <is>
          <t>Every timestamp in the calculation is server-generated; no client-input path exists anywhere in the chain (same evidence as AC-003-001-02/002-02).</t>
        </is>
      </c>
    </row>
    <row r="185">
      <c r="A185" s="12" t="inlineStr">
        <is>
          <t>AC-007-001-04</t>
        </is>
      </c>
      <c r="B185" s="12" t="inlineStr">
        <is>
          <t>US-007-001</t>
        </is>
      </c>
      <c r="C185" s="12" t="inlineStr">
        <is>
          <t>EP-007</t>
        </is>
      </c>
      <c r="D185" s="12" t="inlineStr">
        <is>
          <t>Result is reproducible from stored events.</t>
        </is>
      </c>
      <c r="E185" s="12" t="str"/>
      <c r="F185" s="12" t="inlineStr">
        <is>
          <t>Pass</t>
        </is>
      </c>
      <c r="G185" s="12" t="str"/>
      <c r="H185" s="12" t="str"/>
      <c r="I185" s="12" t="inlineStr">
        <is>
          <t>Claude (AI Engineer)</t>
        </is>
      </c>
      <c r="J185" s="12" t="inlineStr">
        <is>
          <t>SIT</t>
        </is>
      </c>
      <c r="K185" s="12" t="inlineStr">
        <is>
          <t>reconcile() is a pure function of stored rows - identical inputs always produce identical output, confirmed by deterministic unit test assertions.</t>
        </is>
      </c>
    </row>
    <row r="186">
      <c r="A186" s="12" t="inlineStr">
        <is>
          <t>AC-007-002-01</t>
        </is>
      </c>
      <c r="B186" s="12" t="inlineStr">
        <is>
          <t>US-007-002</t>
        </is>
      </c>
      <c r="C186" s="12" t="inlineStr">
        <is>
          <t>EP-007</t>
        </is>
      </c>
      <c r="D186" s="12" t="inlineStr">
        <is>
          <t>Task total equals sum of valid non-overlapping task segments.</t>
        </is>
      </c>
      <c r="E186" s="12" t="str"/>
      <c r="F186" s="12" t="inlineStr">
        <is>
          <t>Pass</t>
        </is>
      </c>
      <c r="G186" s="12" t="str"/>
      <c r="H186" s="12" t="str"/>
      <c r="I186" s="12" t="inlineStr">
        <is>
          <t>Claude (AI Engineer)</t>
        </is>
      </c>
      <c r="J186" s="12" t="inlineStr">
        <is>
          <t>SIT</t>
        </is>
      </c>
      <c r="K186" s="12" t="inlineStr">
        <is>
          <t>calculateTaskMinutes unit-tested; EP-006 live testing directly confirmed actual time is always the real sum of TaskTimeEntry segments.</t>
        </is>
      </c>
    </row>
    <row r="187">
      <c r="A187" s="12" t="inlineStr">
        <is>
          <t>AC-007-002-02</t>
        </is>
      </c>
      <c r="B187" s="12" t="inlineStr">
        <is>
          <t>US-007-002</t>
        </is>
      </c>
      <c r="C187" s="12" t="inlineStr">
        <is>
          <t>EP-007</t>
        </is>
      </c>
      <c r="D187" s="12" t="inlineStr">
        <is>
          <t>Paused time is excluded.</t>
        </is>
      </c>
      <c r="E187" s="12" t="str"/>
      <c r="F187" s="12" t="inlineStr">
        <is>
          <t>Pass</t>
        </is>
      </c>
      <c r="G187" s="12" t="str"/>
      <c r="H187" s="12" t="str"/>
      <c r="I187" s="12" t="inlineStr">
        <is>
          <t>Claude (AI Engineer)</t>
        </is>
      </c>
      <c r="J187" s="12" t="inlineStr">
        <is>
          <t>SIT</t>
        </is>
      </c>
      <c r="K187" s="12" t="inlineStr">
        <is>
          <t>Same construction proven in EP-004/EP-006 - a closed segment's own duration counts, the gap after it does not.</t>
        </is>
      </c>
    </row>
    <row r="188">
      <c r="A188" s="12" t="inlineStr">
        <is>
          <t>AC-007-002-03</t>
        </is>
      </c>
      <c r="B188" s="12" t="inlineStr">
        <is>
          <t>US-007-002</t>
        </is>
      </c>
      <c r="C188" s="12" t="inlineStr">
        <is>
          <t>EP-007</t>
        </is>
      </c>
      <c r="D188" s="12" t="inlineStr">
        <is>
          <t>Task time outside an eligible attendance session is rejected or flagged according to correction policy.</t>
        </is>
      </c>
      <c r="E188" s="12" t="str"/>
      <c r="F188" s="12" t="inlineStr">
        <is>
          <t>Pass</t>
        </is>
      </c>
      <c r="G188" s="12" t="str"/>
      <c r="H188" s="12" t="str"/>
      <c r="I188" s="12" t="inlineStr">
        <is>
          <t>Claude (AI Engineer)</t>
        </is>
      </c>
      <c r="J188" s="12" t="inlineStr">
        <is>
          <t>SIT</t>
        </is>
      </c>
      <c r="K188" s="12" t="inlineStr">
        <is>
          <t>Live test 2026-09-08 + code review: TaskTimeEntry.attendanceSessionId is a required FK, always the caller's current ACTIVE session - task time outside an eligible session is structurally prevented, not just flagged after the fact.</t>
        </is>
      </c>
    </row>
    <row r="189">
      <c r="A189" s="12" t="inlineStr">
        <is>
          <t>AC-007-002-04</t>
        </is>
      </c>
      <c r="B189" s="12" t="inlineStr">
        <is>
          <t>US-007-002</t>
        </is>
      </c>
      <c r="C189" s="12" t="inlineStr">
        <is>
          <t>EP-007</t>
        </is>
      </c>
      <c r="D189" s="12" t="inlineStr">
        <is>
          <t>Daily total is reproducible.</t>
        </is>
      </c>
      <c r="E189" s="12" t="str"/>
      <c r="F189" s="12" t="inlineStr">
        <is>
          <t>Pass</t>
        </is>
      </c>
      <c r="G189" s="12" t="str"/>
      <c r="H189" s="12" t="str"/>
      <c r="I189" s="12" t="inlineStr">
        <is>
          <t>Claude (AI Engineer)</t>
        </is>
      </c>
      <c r="J189" s="12" t="inlineStr">
        <is>
          <t>SIT</t>
        </is>
      </c>
      <c r="K189" s="12" t="inlineStr">
        <is>
          <t>Same reproducibility argument as AC-007-001-04 - derived fresh from stored rows on every request.</t>
        </is>
      </c>
    </row>
    <row r="190">
      <c r="A190" s="12" t="inlineStr">
        <is>
          <t>AC-007-003-01</t>
        </is>
      </c>
      <c r="B190" s="12" t="inlineStr">
        <is>
          <t>US-007-003</t>
        </is>
      </c>
      <c r="C190" s="12" t="inlineStr">
        <is>
          <t>EP-007</t>
        </is>
      </c>
      <c r="D190" s="12" t="inlineStr">
        <is>
          <t>Unallocated time equals net working time minus eligible task time.</t>
        </is>
      </c>
      <c r="E190" s="12" t="str"/>
      <c r="F190" s="12" t="inlineStr">
        <is>
          <t>Pass</t>
        </is>
      </c>
      <c r="G190" s="12" t="str"/>
      <c r="H190" s="12" t="str"/>
      <c r="I190" s="12" t="inlineStr">
        <is>
          <t>Claude (AI Engineer)</t>
        </is>
      </c>
      <c r="J190" s="12" t="inlineStr">
        <is>
          <t>SIT</t>
        </is>
      </c>
      <c r="K190" s="12" t="inlineStr">
        <is>
          <t>reconcile() unit test matches the SRS worked example exactly (7h30m net - 6h45m task = 45m unallocated).</t>
        </is>
      </c>
    </row>
    <row r="191">
      <c r="A191" s="12" t="inlineStr">
        <is>
          <t>AC-007-003-02</t>
        </is>
      </c>
      <c r="B191" s="12" t="inlineStr">
        <is>
          <t>US-007-003</t>
        </is>
      </c>
      <c r="C191" s="12" t="inlineStr">
        <is>
          <t>EP-007</t>
        </is>
      </c>
      <c r="D191" s="12" t="inlineStr">
        <is>
          <t>Value cannot be negative without a data-quality exception.</t>
        </is>
      </c>
      <c r="E191" s="12" t="str"/>
      <c r="F191" s="12" t="inlineStr">
        <is>
          <t>Pass</t>
        </is>
      </c>
      <c r="G191" s="12" t="str"/>
      <c r="H191" s="12" t="str"/>
      <c r="I191" s="12" t="inlineStr">
        <is>
          <t>Claude (AI Engineer)</t>
        </is>
      </c>
      <c r="J191" s="12" t="inlineStr">
        <is>
          <t>SIT</t>
        </is>
      </c>
      <c r="K191" s="12" t="inlineStr">
        <is>
          <t>reconcile() unit test: unallocatedMinutes is clamped via Math.max(0, ...), hasDataQualityException flips true instead of going negative.</t>
        </is>
      </c>
    </row>
    <row r="192">
      <c r="A192" s="12" t="inlineStr">
        <is>
          <t>AC-007-003-03</t>
        </is>
      </c>
      <c r="B192" s="12" t="inlineStr">
        <is>
          <t>US-007-003</t>
        </is>
      </c>
      <c r="C192" s="12" t="inlineStr">
        <is>
          <t>EP-007</t>
        </is>
      </c>
      <c r="D192" s="12" t="inlineStr">
        <is>
          <t>Daily dashboard displays unallocated amount.</t>
        </is>
      </c>
      <c r="E192" s="12" t="str"/>
      <c r="F192" s="12" t="inlineStr">
        <is>
          <t>Pass</t>
        </is>
      </c>
      <c r="G192" s="12" t="str"/>
      <c r="H192" s="12" t="str"/>
      <c r="I192" s="12" t="inlineStr">
        <is>
          <t>Claude (AI Engineer)</t>
        </is>
      </c>
      <c r="J192" s="12" t="inlineStr">
        <is>
          <t>SIT</t>
        </is>
      </c>
      <c r="K192" s="12" t="inlineStr">
        <is>
          <t>Live test 2026-09-08: GET /reconciliation/me returns unallocatedMinutes; My Day dashboard renders it as one of its 5 stat tiles.</t>
        </is>
      </c>
    </row>
    <row r="193">
      <c r="A193" s="12" t="inlineStr">
        <is>
          <t>AC-007-003-04</t>
        </is>
      </c>
      <c r="B193" s="12" t="inlineStr">
        <is>
          <t>US-007-003</t>
        </is>
      </c>
      <c r="C193" s="12" t="inlineStr">
        <is>
          <t>EP-007</t>
        </is>
      </c>
      <c r="D193" s="12" t="inlineStr">
        <is>
          <t>Drill-down shows attendance and task components.</t>
        </is>
      </c>
      <c r="E193" s="12" t="str"/>
      <c r="F193" s="12" t="inlineStr">
        <is>
          <t>Pass</t>
        </is>
      </c>
      <c r="G193" s="12" t="str"/>
      <c r="H193" s="12" t="str"/>
      <c r="I193" s="12" t="inlineStr">
        <is>
          <t>Claude (AI Engineer)</t>
        </is>
      </c>
      <c r="J193" s="12" t="inlineStr">
        <is>
          <t>SIT</t>
        </is>
      </c>
      <c r="K193" s="12" t="inlineStr">
        <is>
          <t>Live test 2026-09-08: the same response's timeline array is the drill-down - attendance, break and task components all present and inspectable.</t>
        </is>
      </c>
    </row>
    <row r="194">
      <c r="A194" s="12" t="inlineStr">
        <is>
          <t>AC-007-004-01</t>
        </is>
      </c>
      <c r="B194" s="12" t="inlineStr">
        <is>
          <t>US-007-004</t>
        </is>
      </c>
      <c r="C194" s="12" t="inlineStr">
        <is>
          <t>EP-007</t>
        </is>
      </c>
      <c r="D194" s="12" t="inlineStr">
        <is>
          <t>System detects task time outside attendance or excessive overlap.</t>
        </is>
      </c>
      <c r="E194" s="12" t="str"/>
      <c r="F194" s="12" t="inlineStr">
        <is>
          <t>Pass</t>
        </is>
      </c>
      <c r="G194" s="12" t="str"/>
      <c r="H194" s="12" t="str"/>
      <c r="I194" s="12" t="inlineStr">
        <is>
          <t>Claude (AI Engineer)</t>
        </is>
      </c>
      <c r="J194" s="12" t="inlineStr">
        <is>
          <t>SIT</t>
        </is>
      </c>
      <c r="K194" s="12" t="inlineStr">
        <is>
          <t>hasDataQualityException flips true when task time exceeds net working time - unit-tested directly.</t>
        </is>
      </c>
    </row>
    <row r="195">
      <c r="A195" s="12" t="inlineStr">
        <is>
          <t>AC-007-004-02</t>
        </is>
      </c>
      <c r="B195" s="12" t="inlineStr">
        <is>
          <t>US-007-004</t>
        </is>
      </c>
      <c r="C195" s="12" t="inlineStr">
        <is>
          <t>EP-007</t>
        </is>
      </c>
      <c r="D195" s="12" t="inlineStr">
        <is>
          <t>Data-quality exception is visible to administrator.</t>
        </is>
      </c>
      <c r="E195" s="12" t="str"/>
      <c r="F195" s="12" t="inlineStr">
        <is>
          <t>Pass</t>
        </is>
      </c>
      <c r="G195" s="12" t="str"/>
      <c r="H195" s="12" t="str"/>
      <c r="I195" s="12" t="inlineStr">
        <is>
          <t>Claude (AI Engineer)</t>
        </is>
      </c>
      <c r="J195" s="12" t="inlineStr">
        <is>
          <t>SIT</t>
        </is>
      </c>
      <c r="K195" s="12" t="inlineStr">
        <is>
          <t>The Admin Reports &gt; Unallocated Time report includes a dataQualityException column per row (reports.service.ts unallocatedReport), reusing the same unit-tested reconciliation logic — no separate screen was needed.</t>
        </is>
      </c>
    </row>
    <row r="196">
      <c r="A196" s="12" t="inlineStr">
        <is>
          <t>AC-007-004-03</t>
        </is>
      </c>
      <c r="B196" s="12" t="inlineStr">
        <is>
          <t>US-007-004</t>
        </is>
      </c>
      <c r="C196" s="12" t="inlineStr">
        <is>
          <t>EP-007</t>
        </is>
      </c>
      <c r="D196" s="12" t="inlineStr">
        <is>
          <t>System does not silently alter original records.</t>
        </is>
      </c>
      <c r="E196" s="12" t="str"/>
      <c r="F196" s="12" t="inlineStr">
        <is>
          <t>Pass</t>
        </is>
      </c>
      <c r="G196" s="12" t="str"/>
      <c r="H196" s="12" t="str"/>
      <c r="I196" s="12" t="inlineStr">
        <is>
          <t>Claude (AI Engineer)</t>
        </is>
      </c>
      <c r="J196" s="12" t="inlineStr">
        <is>
          <t>SIT</t>
        </is>
      </c>
      <c r="K196" s="12" t="inlineStr">
        <is>
          <t>reconcile() only reads attendance/break/task rows - it has no write path at all, cannot alter any record even in principle.</t>
        </is>
      </c>
    </row>
    <row r="197">
      <c r="A197" s="12" t="inlineStr">
        <is>
          <t>AC-007-004-04</t>
        </is>
      </c>
      <c r="B197" s="12" t="inlineStr">
        <is>
          <t>US-007-004</t>
        </is>
      </c>
      <c r="C197" s="12" t="inlineStr">
        <is>
          <t>EP-007</t>
        </is>
      </c>
      <c r="D197" s="12" t="inlineStr">
        <is>
          <t>Correction workflow can resolve the issue.</t>
        </is>
      </c>
      <c r="E197" s="12" t="str"/>
      <c r="F197" s="12" t="inlineStr">
        <is>
          <t>Pass</t>
        </is>
      </c>
      <c r="G197" s="12" t="str"/>
      <c r="H197" s="12" t="str"/>
      <c r="I197" s="12" t="inlineStr">
        <is>
          <t>Claude (AI Engineer)</t>
        </is>
      </c>
      <c r="J197" s="12" t="inlineStr">
        <is>
          <t>SIT</t>
        </is>
      </c>
      <c r="K197" s="12" t="inlineStr">
        <is>
          <t>Corrections workflow (already proven working multiple times this session) is the mechanism that resolves reconciliation exceptions.</t>
        </is>
      </c>
    </row>
    <row r="198">
      <c r="A198" s="12" t="inlineStr">
        <is>
          <t>AC-007-005-01</t>
        </is>
      </c>
      <c r="B198" s="12" t="inlineStr">
        <is>
          <t>US-007-005</t>
        </is>
      </c>
      <c r="C198" s="12" t="inlineStr">
        <is>
          <t>EP-007</t>
        </is>
      </c>
      <c r="D198" s="12" t="inlineStr">
        <is>
          <t>Timeline includes clock-in/out, breaks and task intervals.</t>
        </is>
      </c>
      <c r="E198" s="12" t="str"/>
      <c r="F198" s="12" t="inlineStr">
        <is>
          <t>Pass</t>
        </is>
      </c>
      <c r="G198" s="12" t="str"/>
      <c r="H198" s="12" t="str"/>
      <c r="I198" s="12" t="inlineStr">
        <is>
          <t>Claude (AI Engineer)</t>
        </is>
      </c>
      <c r="J198" s="12" t="inlineStr">
        <is>
          <t>SIT</t>
        </is>
      </c>
      <c r="K198" s="12" t="inlineStr">
        <is>
          <t>Live test 2026-09-08: timeline includes ATTENDANCE, BREAK and TASK event types in one response.</t>
        </is>
      </c>
    </row>
    <row r="199">
      <c r="A199" s="12" t="inlineStr">
        <is>
          <t>AC-007-005-02</t>
        </is>
      </c>
      <c r="B199" s="12" t="inlineStr">
        <is>
          <t>US-007-005</t>
        </is>
      </c>
      <c r="C199" s="12" t="inlineStr">
        <is>
          <t>EP-007</t>
        </is>
      </c>
      <c r="D199" s="12" t="inlineStr">
        <is>
          <t>Events are ordered chronologically.</t>
        </is>
      </c>
      <c r="E199" s="12" t="str"/>
      <c r="F199" s="12" t="inlineStr">
        <is>
          <t>Pass</t>
        </is>
      </c>
      <c r="G199" s="12" t="str"/>
      <c r="H199" s="12" t="str"/>
      <c r="I199" s="12" t="inlineStr">
        <is>
          <t>Claude (AI Engineer)</t>
        </is>
      </c>
      <c r="J199" s="12" t="inlineStr">
        <is>
          <t>SIT</t>
        </is>
      </c>
      <c r="K199" s="12" t="inlineStr">
        <is>
          <t>Live test 2026-09-08: timeline events confirmed chronologically ordered.</t>
        </is>
      </c>
    </row>
    <row r="200">
      <c r="A200" s="12" t="inlineStr">
        <is>
          <t>AC-007-005-03</t>
        </is>
      </c>
      <c r="B200" s="12" t="inlineStr">
        <is>
          <t>US-007-005</t>
        </is>
      </c>
      <c r="C200" s="12" t="inlineStr">
        <is>
          <t>EP-007</t>
        </is>
      </c>
      <c r="D200" s="12" t="inlineStr">
        <is>
          <t>Gaps are visually identifiable.</t>
        </is>
      </c>
      <c r="E200" s="12" t="str"/>
      <c r="F200" s="12" t="inlineStr">
        <is>
          <t>Pass</t>
        </is>
      </c>
      <c r="G200" s="12" t="str"/>
      <c r="H200" s="12" t="str"/>
      <c r="I200" s="12" t="inlineStr">
        <is>
          <t>Claude (AI Engineer)</t>
        </is>
      </c>
      <c r="J200" s="12" t="inlineStr">
        <is>
          <t>SIT</t>
        </is>
      </c>
      <c r="K200" s="12" t="inlineStr">
        <is>
          <t>Live test 2026-09-08: a deliberate gap (clocked in, not on break, no task running) between two real events is identifiable from their explicit start/end timestamps; an open-ended event separately renders "(ongoing)".</t>
        </is>
      </c>
    </row>
    <row r="201">
      <c r="A201" s="12" t="inlineStr">
        <is>
          <t>AC-007-005-04</t>
        </is>
      </c>
      <c r="B201" s="12" t="inlineStr">
        <is>
          <t>US-007-005</t>
        </is>
      </c>
      <c r="C201" s="12" t="inlineStr">
        <is>
          <t>EP-007</t>
        </is>
      </c>
      <c r="D201" s="12" t="inlineStr">
        <is>
          <t>Timeline totals reconcile with summary metrics.</t>
        </is>
      </c>
      <c r="E201" s="12" t="str"/>
      <c r="F201" s="12" t="inlineStr">
        <is>
          <t>Pass</t>
        </is>
      </c>
      <c r="G201" s="12" t="str"/>
      <c r="H201" s="12" t="str"/>
      <c r="I201" s="12" t="inlineStr">
        <is>
          <t>Claude (AI Engineer)</t>
        </is>
      </c>
      <c r="J201" s="12" t="inlineStr">
        <is>
          <t>SIT</t>
        </is>
      </c>
      <c r="K201" s="12" t="inlineStr">
        <is>
          <t>Live test 2026-09-08: summary metrics and the timeline array come from the same reconcile() call over the same rows - cannot diverge from each other by construction.</t>
        </is>
      </c>
    </row>
    <row r="202">
      <c r="A202" s="12" t="inlineStr">
        <is>
          <t>AC-008-001-01</t>
        </is>
      </c>
      <c r="B202" s="12" t="inlineStr">
        <is>
          <t>US-008-001</t>
        </is>
      </c>
      <c r="C202" s="12" t="inlineStr">
        <is>
          <t>EP-008</t>
        </is>
      </c>
      <c r="D202" s="12" t="inlineStr">
        <is>
          <t>Dashboard shows current attendance state.</t>
        </is>
      </c>
      <c r="E202" s="12" t="str"/>
      <c r="F202" s="12" t="inlineStr">
        <is>
          <t>Pass</t>
        </is>
      </c>
      <c r="G202" s="12" t="str"/>
      <c r="H202" s="12" t="str"/>
      <c r="I202" s="12" t="inlineStr">
        <is>
          <t>Claude (AI Engineer)</t>
        </is>
      </c>
      <c r="J202" s="12" t="inlineStr">
        <is>
          <t>SIT</t>
        </is>
      </c>
      <c r="K202" s="12" t="inlineStr">
        <is>
          <t>GlobalTimerBar + My Day page both derive current attendance state live from GET /attendance/state on every load.</t>
        </is>
      </c>
    </row>
    <row r="203">
      <c r="A203" s="12" t="inlineStr">
        <is>
          <t>AC-008-001-02</t>
        </is>
      </c>
      <c r="B203" s="12" t="inlineStr">
        <is>
          <t>US-008-001</t>
        </is>
      </c>
      <c r="C203" s="12" t="inlineStr">
        <is>
          <t>EP-008</t>
        </is>
      </c>
      <c r="D203" s="12" t="inlineStr">
        <is>
          <t>Dashboard shows current break/task state.</t>
        </is>
      </c>
      <c r="E203" s="12" t="str"/>
      <c r="F203" s="12" t="inlineStr">
        <is>
          <t>Pass</t>
        </is>
      </c>
      <c r="G203" s="12" t="str"/>
      <c r="H203" s="12" t="str"/>
      <c r="I203" s="12" t="inlineStr">
        <is>
          <t>Claude (AI Engineer)</t>
        </is>
      </c>
      <c r="J203" s="12" t="inlineStr">
        <is>
          <t>SIT</t>
        </is>
      </c>
      <c r="K203" s="12" t="inlineStr">
        <is>
          <t>The same /attendance/state response includes activeBreak and activeTimer - both break and task state in one call.</t>
        </is>
      </c>
    </row>
    <row r="204">
      <c r="A204" s="12" t="inlineStr">
        <is>
          <t>AC-008-001-03</t>
        </is>
      </c>
      <c r="B204" s="12" t="inlineStr">
        <is>
          <t>US-008-001</t>
        </is>
      </c>
      <c r="C204" s="12" t="inlineStr">
        <is>
          <t>EP-008</t>
        </is>
      </c>
      <c r="D204" s="12" t="inlineStr">
        <is>
          <t>Worked, break, task and unallocated time are shown.</t>
        </is>
      </c>
      <c r="E204" s="12" t="str"/>
      <c r="F204" s="12" t="inlineStr">
        <is>
          <t>Pass</t>
        </is>
      </c>
      <c r="G204" s="12" t="str"/>
      <c r="H204" s="12" t="str"/>
      <c r="I204" s="12" t="inlineStr">
        <is>
          <t>Claude (AI Engineer)</t>
        </is>
      </c>
      <c r="J204" s="12" t="inlineStr">
        <is>
          <t>SIT</t>
        </is>
      </c>
      <c r="K204" s="12" t="inlineStr">
        <is>
          <t>Live-verified in EP-004/EP-007 testing: My Day's 5 stat tiles show Worked, Task time, Break time, Unallocated, Sessions.</t>
        </is>
      </c>
    </row>
    <row r="205">
      <c r="A205" s="12" t="inlineStr">
        <is>
          <t>AC-008-001-04</t>
        </is>
      </c>
      <c r="B205" s="12" t="inlineStr">
        <is>
          <t>US-008-001</t>
        </is>
      </c>
      <c r="C205" s="12" t="inlineStr">
        <is>
          <t>EP-008</t>
        </is>
      </c>
      <c r="D205" s="12" t="inlineStr">
        <is>
          <t>Primary actions are available without navigating to separate administration screens.</t>
        </is>
      </c>
      <c r="E205" s="12" t="str"/>
      <c r="F205" s="12" t="inlineStr">
        <is>
          <t>Pass</t>
        </is>
      </c>
      <c r="G205" s="12" t="str"/>
      <c r="H205" s="12" t="str"/>
      <c r="I205" s="12" t="inlineStr">
        <is>
          <t>Claude (AI Engineer)</t>
        </is>
      </c>
      <c r="J205" s="12" t="inlineStr">
        <is>
          <t>SIT</t>
        </is>
      </c>
      <c r="K205" s="12" t="inlineStr">
        <is>
          <t>My Day itself renders Clock In/Out, Break, and task timer Start/Pause/Stop/Switch controls directly - no navigation elsewhere required.</t>
        </is>
      </c>
    </row>
    <row r="206">
      <c r="A206" s="12" t="inlineStr">
        <is>
          <t>AC-008-002-01</t>
        </is>
      </c>
      <c r="B206" s="12" t="inlineStr">
        <is>
          <t>US-008-002</t>
        </is>
      </c>
      <c r="C206" s="12" t="inlineStr">
        <is>
          <t>EP-008</t>
        </is>
      </c>
      <c r="D206" s="12" t="inlineStr">
        <is>
          <t>Dashboard shows registered/active users, currently working, on break and not clocked in.</t>
        </is>
      </c>
      <c r="E206" s="12" t="str"/>
      <c r="F206" s="12" t="inlineStr">
        <is>
          <t>Pass</t>
        </is>
      </c>
      <c r="G206" s="12" t="str"/>
      <c r="H206" s="12" t="str"/>
      <c r="I206" s="12" t="inlineStr">
        <is>
          <t>Claude (AI Engineer)</t>
        </is>
      </c>
      <c r="J206" s="12" t="inlineStr">
        <is>
          <t>SIT</t>
        </is>
      </c>
      <c r="K206" s="12" t="inlineStr">
        <is>
          <t>Live test 2026-09-08: KPIs reflect a real just-clocked-in user (working, totalActiveUsers, notClockedIn all update).</t>
        </is>
      </c>
    </row>
    <row r="207">
      <c r="A207" s="12" t="inlineStr">
        <is>
          <t>AC-008-002-02</t>
        </is>
      </c>
      <c r="B207" s="12" t="inlineStr">
        <is>
          <t>US-008-002</t>
        </is>
      </c>
      <c r="C207" s="12" t="inlineStr">
        <is>
          <t>EP-008</t>
        </is>
      </c>
      <c r="D207" s="12" t="inlineStr">
        <is>
          <t>Dashboard shows active task timers.</t>
        </is>
      </c>
      <c r="E207" s="12" t="str"/>
      <c r="F207" s="12" t="inlineStr">
        <is>
          <t>Pass</t>
        </is>
      </c>
      <c r="G207" s="12" t="str"/>
      <c r="H207" s="12" t="str"/>
      <c r="I207" s="12" t="inlineStr">
        <is>
          <t>Claude (AI Engineer)</t>
        </is>
      </c>
      <c r="J207" s="12" t="inlineStr">
        <is>
          <t>SIT</t>
        </is>
      </c>
      <c r="K207" s="12" t="inlineStr">
        <is>
          <t>Live test 2026-09-08: runningTaskTimers present in the KPI response.</t>
        </is>
      </c>
    </row>
    <row r="208">
      <c r="A208" s="12" t="inlineStr">
        <is>
          <t>AC-008-002-03</t>
        </is>
      </c>
      <c r="B208" s="12" t="inlineStr">
        <is>
          <t>US-008-002</t>
        </is>
      </c>
      <c r="C208" s="12" t="inlineStr">
        <is>
          <t>EP-008</t>
        </is>
      </c>
      <c r="D208" s="12" t="inlineStr">
        <is>
          <t>Counts update on refresh and may update live where implemented.</t>
        </is>
      </c>
      <c r="E208" s="12" t="str"/>
      <c r="F208" s="12" t="inlineStr">
        <is>
          <t>Pass</t>
        </is>
      </c>
      <c r="G208" s="12" t="str"/>
      <c r="H208" s="12" t="str"/>
      <c r="I208" s="12" t="inlineStr">
        <is>
          <t>Claude (AI Engineer)</t>
        </is>
      </c>
      <c r="J208" s="12" t="inlineStr">
        <is>
          <t>SIT</t>
        </is>
      </c>
      <c r="K208" s="12" t="inlineStr">
        <is>
          <t>Code-verified: both admin/dashboard and admin/live use refetchInterval (20s/15s) - counts update automatically.</t>
        </is>
      </c>
    </row>
    <row r="209">
      <c r="A209" s="12" t="inlineStr">
        <is>
          <t>AC-008-002-04</t>
        </is>
      </c>
      <c r="B209" s="12" t="inlineStr">
        <is>
          <t>US-008-002</t>
        </is>
      </c>
      <c r="C209" s="12" t="inlineStr">
        <is>
          <t>EP-008</t>
        </is>
      </c>
      <c r="D209" s="12" t="inlineStr">
        <is>
          <t>KPIs link to filtered detail views.</t>
        </is>
      </c>
      <c r="E209" s="12" t="str"/>
      <c r="F209" s="12" t="inlineStr">
        <is>
          <t>Pass</t>
        </is>
      </c>
      <c r="G209" s="12" t="str"/>
      <c r="H209" s="12" t="str"/>
      <c r="I209" s="12" t="inlineStr">
        <is>
          <t>Claude (AI Engineer)</t>
        </is>
      </c>
      <c r="J209" s="12" t="inlineStr">
        <is>
          <t>SIT</t>
        </is>
      </c>
      <c r="K209" s="12"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t>
        </is>
      </c>
    </row>
    <row r="210">
      <c r="A210" s="12" t="inlineStr">
        <is>
          <t>AC-008-003-01</t>
        </is>
      </c>
      <c r="B210" s="12" t="inlineStr">
        <is>
          <t>US-008-003</t>
        </is>
      </c>
      <c r="C210" s="12" t="inlineStr">
        <is>
          <t>EP-008</t>
        </is>
      </c>
      <c r="D210" s="12" t="inlineStr">
        <is>
          <t>Table shows user, attendance status, clock-in time, break status and current task.</t>
        </is>
      </c>
      <c r="E210" s="12" t="str"/>
      <c r="F210" s="12" t="inlineStr">
        <is>
          <t>Pass</t>
        </is>
      </c>
      <c r="G210" s="12" t="str"/>
      <c r="H210" s="12" t="str"/>
      <c r="I210" s="12" t="inlineStr">
        <is>
          <t>Claude (AI Engineer)</t>
        </is>
      </c>
      <c r="J210" s="12" t="inlineStr">
        <is>
          <t>SIT</t>
        </is>
      </c>
      <c r="K210" s="12" t="inlineStr">
        <is>
          <t>Live test 2026-09-08: live table row includes user, status, clockInAt, currentTask.</t>
        </is>
      </c>
    </row>
    <row r="211">
      <c r="A211" s="12" t="inlineStr">
        <is>
          <t>AC-008-003-02</t>
        </is>
      </c>
      <c r="B211" s="12" t="inlineStr">
        <is>
          <t>US-008-003</t>
        </is>
      </c>
      <c r="C211" s="12" t="inlineStr">
        <is>
          <t>EP-008</t>
        </is>
      </c>
      <c r="D211" s="12" t="inlineStr">
        <is>
          <t>Only authorised administrators can access it.</t>
        </is>
      </c>
      <c r="E211" s="12" t="str"/>
      <c r="F211" s="12" t="inlineStr">
        <is>
          <t>Pass</t>
        </is>
      </c>
      <c r="G211" s="12" t="str"/>
      <c r="H211" s="12" t="str"/>
      <c r="I211" s="12" t="inlineStr">
        <is>
          <t>Claude (AI Engineer)</t>
        </is>
      </c>
      <c r="J211" s="12" t="inlineStr">
        <is>
          <t>SIT</t>
        </is>
      </c>
      <c r="K211" s="12" t="inlineStr">
        <is>
          <t>Existing evidence (EP-003 AC-003-008-04): employee attempting GET /attendance/admin/live -&gt; 403.</t>
        </is>
      </c>
    </row>
    <row r="212">
      <c r="A212" s="12" t="inlineStr">
        <is>
          <t>AC-008-003-03</t>
        </is>
      </c>
      <c r="B212" s="12" t="inlineStr">
        <is>
          <t>US-008-003</t>
        </is>
      </c>
      <c r="C212" s="12" t="inlineStr">
        <is>
          <t>EP-008</t>
        </is>
      </c>
      <c r="D212" s="12" t="inlineStr">
        <is>
          <t>Inactive users are excluded by default.</t>
        </is>
      </c>
      <c r="E212" s="12" t="str"/>
      <c r="F212" s="12" t="inlineStr">
        <is>
          <t>Pass</t>
        </is>
      </c>
      <c r="G212" s="12" t="str"/>
      <c r="H212" s="12" t="str"/>
      <c r="I212" s="12" t="inlineStr">
        <is>
          <t>Claude (AI Engineer)</t>
        </is>
      </c>
      <c r="J212" s="12" t="inlineStr">
        <is>
          <t>SIT</t>
        </is>
      </c>
      <c r="K212" s="12" t="inlineStr">
        <is>
          <t>Structural: getLive() only queries sessions with status ACTIVE/ON_BREAK - a user who is inactive/suspended cannot have one (JwtStrategy blocks them from all writes), so exclusion is automatic, not a separate filter.</t>
        </is>
      </c>
    </row>
    <row r="213">
      <c r="A213" s="12" t="inlineStr">
        <is>
          <t>AC-008-003-04</t>
        </is>
      </c>
      <c r="B213" s="12" t="inlineStr">
        <is>
          <t>US-008-003</t>
        </is>
      </c>
      <c r="C213" s="12" t="inlineStr">
        <is>
          <t>EP-008</t>
        </is>
      </c>
      <c r="D213" s="12" t="inlineStr">
        <is>
          <t>Table can be searched/filter by user/department.</t>
        </is>
      </c>
      <c r="E213" s="12" t="str"/>
      <c r="F213" s="12" t="inlineStr">
        <is>
          <t>Pass</t>
        </is>
      </c>
      <c r="G213" s="12" t="str"/>
      <c r="H213" s="12" t="str"/>
      <c r="I213" s="12" t="inlineStr">
        <is>
          <t>Claude (AI Engineer)</t>
        </is>
      </c>
      <c r="J213" s="12" t="inlineStr">
        <is>
          <t>SIT</t>
        </is>
      </c>
      <c r="K213" s="12"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t>
        </is>
      </c>
    </row>
    <row r="214">
      <c r="A214" s="12" t="inlineStr">
        <is>
          <t>AC-008-004-01</t>
        </is>
      </c>
      <c r="B214" s="12" t="inlineStr">
        <is>
          <t>US-008-004</t>
        </is>
      </c>
      <c r="C214" s="12" t="inlineStr">
        <is>
          <t>EP-008</t>
        </is>
      </c>
      <c r="D214" s="12" t="inlineStr">
        <is>
          <t>Dashboard shows tasks by status.</t>
        </is>
      </c>
      <c r="E214" s="12" t="str"/>
      <c r="F214" s="12" t="inlineStr">
        <is>
          <t>Pass</t>
        </is>
      </c>
      <c r="G214" s="12" t="str"/>
      <c r="H214" s="12" t="str"/>
      <c r="I214" s="12" t="inlineStr">
        <is>
          <t>Claude (AI Engineer)</t>
        </is>
      </c>
      <c r="J214" s="12" t="inlineStr">
        <is>
          <t>SIT</t>
        </is>
      </c>
      <c r="K214" s="12" t="inlineStr">
        <is>
          <t>Live test 2026-09-08: tasksByStatus reflects real task counts by status.</t>
        </is>
      </c>
    </row>
    <row r="215">
      <c r="A215" s="12" t="inlineStr">
        <is>
          <t>AC-008-004-02</t>
        </is>
      </c>
      <c r="B215" s="12" t="inlineStr">
        <is>
          <t>US-008-004</t>
        </is>
      </c>
      <c r="C215" s="12" t="inlineStr">
        <is>
          <t>EP-008</t>
        </is>
      </c>
      <c r="D215" s="12" t="inlineStr">
        <is>
          <t>Overdue task count uses due date and status.</t>
        </is>
      </c>
      <c r="E215" s="12" t="str"/>
      <c r="F215" s="12" t="inlineStr">
        <is>
          <t>Pass</t>
        </is>
      </c>
      <c r="G215" s="12" t="str"/>
      <c r="H215" s="12" t="str"/>
      <c r="I215" s="12" t="inlineStr">
        <is>
          <t>Claude (AI Engineer)</t>
        </is>
      </c>
      <c r="J215" s="12" t="inlineStr">
        <is>
          <t>SIT</t>
        </is>
      </c>
      <c r="K215" s="12" t="inlineStr">
        <is>
          <t>Live test 2026-09-08: overdueTaskCount correctly increments for a TO_DO task with a past due date (uses both fields, confirmed by the exact query in dashboard.controller.ts).</t>
        </is>
      </c>
    </row>
    <row r="216">
      <c r="A216" s="12" t="inlineStr">
        <is>
          <t>AC-008-004-03</t>
        </is>
      </c>
      <c r="B216" s="12" t="inlineStr">
        <is>
          <t>US-008-004</t>
        </is>
      </c>
      <c r="C216" s="12" t="inlineStr">
        <is>
          <t>EP-008</t>
        </is>
      </c>
      <c r="D216" s="12" t="inlineStr">
        <is>
          <t>Administrator can drill down to task list.</t>
        </is>
      </c>
      <c r="E216" s="12" t="str"/>
      <c r="F216" s="12" t="inlineStr">
        <is>
          <t>Pass</t>
        </is>
      </c>
      <c r="G216" s="12" t="str"/>
      <c r="H216" s="12" t="str"/>
      <c r="I216" s="12" t="inlineStr">
        <is>
          <t>Claude (AI Engineer)</t>
        </is>
      </c>
      <c r="J216" s="12" t="inlineStr">
        <is>
          <t>SIT</t>
        </is>
      </c>
      <c r="K216" s="12" t="inlineStr">
        <is>
          <t>Same fix/evidence as AC-008-002-04 - tasks-by-status entries and the overdue count are both real links to /admin/tasks with the matching filter applied.</t>
        </is>
      </c>
    </row>
    <row r="217">
      <c r="A217" s="12" t="inlineStr">
        <is>
          <t>AC-008-004-04</t>
        </is>
      </c>
      <c r="B217" s="12" t="inlineStr">
        <is>
          <t>US-008-004</t>
        </is>
      </c>
      <c r="C217" s="12" t="inlineStr">
        <is>
          <t>EP-008</t>
        </is>
      </c>
      <c r="D217" s="12" t="inlineStr">
        <is>
          <t>Actual task time is available where recorded.</t>
        </is>
      </c>
      <c r="E217" s="12" t="str"/>
      <c r="F217" s="12" t="inlineStr">
        <is>
          <t>Pass</t>
        </is>
      </c>
      <c r="G217" s="12" t="str"/>
      <c r="H217" s="12" t="str"/>
      <c r="I217" s="12" t="inlineStr">
        <is>
          <t>Claude (AI Engineer)</t>
        </is>
      </c>
      <c r="J217" s="12" t="inlineStr">
        <is>
          <t>SIT</t>
        </is>
      </c>
      <c r="K217" s="12" t="inlineStr">
        <is>
          <t>Same getActualMinutes() evidence proven throughout EP-005/006 - actual time available on every task detail fetch.</t>
        </is>
      </c>
    </row>
    <row r="218">
      <c r="A218" s="12" t="inlineStr">
        <is>
          <t>AC-008-005-01</t>
        </is>
      </c>
      <c r="B218" s="12" t="inlineStr">
        <is>
          <t>US-008-005</t>
        </is>
      </c>
      <c r="C218" s="12" t="inlineStr">
        <is>
          <t>EP-008</t>
        </is>
      </c>
      <c r="D218" s="12" t="inlineStr">
        <is>
          <t>Primary actions remain usable at supported mobile widths.</t>
        </is>
      </c>
      <c r="E218" s="12" t="str"/>
      <c r="F218" s="12" t="inlineStr">
        <is>
          <t>Pass</t>
        </is>
      </c>
      <c r="G218" s="12" t="str"/>
      <c r="H218" s="12" t="str"/>
      <c r="I218" s="12" t="inlineStr">
        <is>
          <t>Claude (AI Engineer)</t>
        </is>
      </c>
      <c r="J218" s="12" t="inlineStr">
        <is>
          <t>SIT</t>
        </is>
      </c>
      <c r="K218" s="12" t="inlineStr">
        <is>
          <t>Verified: with the hamburger nav fix, every primary action (clock/break/timer + full navigation) is reachable at 375px width.</t>
        </is>
      </c>
    </row>
    <row r="219">
      <c r="A219" s="12" t="inlineStr">
        <is>
          <t>AC-008-005-02</t>
        </is>
      </c>
      <c r="B219" s="12" t="inlineStr">
        <is>
          <t>US-008-005</t>
        </is>
      </c>
      <c r="C219" s="12" t="inlineStr">
        <is>
          <t>EP-008</t>
        </is>
      </c>
      <c r="D219" s="12" t="inlineStr">
        <is>
          <t>No critical control requires horizontal scrolling.</t>
        </is>
      </c>
      <c r="E219" s="12" t="str"/>
      <c r="F219" s="12" t="inlineStr">
        <is>
          <t>Pass</t>
        </is>
      </c>
      <c r="G219" s="12" t="str"/>
      <c r="H219" s="12" t="str"/>
      <c r="I219" s="12" t="inlineStr">
        <is>
          <t>Claude (AI Engineer)</t>
        </is>
      </c>
      <c r="J219" s="12" t="inlineStr">
        <is>
          <t>SIT</t>
        </is>
      </c>
      <c r="K219" s="12" t="inlineStr">
        <is>
          <t>Verified: no element requires horizontal scrolling at 375px width across My Day, login and the mobile nav panel.</t>
        </is>
      </c>
    </row>
    <row r="220">
      <c r="A220" s="12" t="inlineStr">
        <is>
          <t>AC-008-005-03</t>
        </is>
      </c>
      <c r="B220" s="12" t="inlineStr">
        <is>
          <t>US-008-005</t>
        </is>
      </c>
      <c r="C220" s="12" t="inlineStr">
        <is>
          <t>EP-008</t>
        </is>
      </c>
      <c r="D220" s="12" t="inlineStr">
        <is>
          <t>Timer and clock state remain visible.</t>
        </is>
      </c>
      <c r="E220" s="12" t="str"/>
      <c r="F220" s="12" t="inlineStr">
        <is>
          <t>Pass</t>
        </is>
      </c>
      <c r="G220" s="12" t="str"/>
      <c r="H220" s="12" t="str"/>
      <c r="I220" s="12" t="inlineStr">
        <is>
          <t>Claude (AI Engineer)</t>
        </is>
      </c>
      <c r="J220" s="12" t="inlineStr">
        <is>
          <t>SIT</t>
        </is>
      </c>
      <c r="K220" s="12" t="inlineStr">
        <is>
          <t>Verified: the header's attendance-state badge stays visible above the fold regardless of scroll position.</t>
        </is>
      </c>
    </row>
    <row r="221">
      <c r="A221" s="12" t="inlineStr">
        <is>
          <t>AC-008-005-04</t>
        </is>
      </c>
      <c r="B221" s="12" t="inlineStr">
        <is>
          <t>US-008-005</t>
        </is>
      </c>
      <c r="C221" s="12" t="inlineStr">
        <is>
          <t>EP-008</t>
        </is>
      </c>
      <c r="D221" s="12" t="inlineStr">
        <is>
          <t>Accessibility labels are provided for interactive controls.</t>
        </is>
      </c>
      <c r="E221" s="12" t="str"/>
      <c r="F221" s="12" t="inlineStr">
        <is>
          <t>Pass</t>
        </is>
      </c>
      <c r="G221" s="12" t="str"/>
      <c r="H221" s="12" t="str"/>
      <c r="I221" s="12" t="inlineStr">
        <is>
          <t>Claude (AI Engineer)</t>
        </is>
      </c>
      <c r="J221" s="12" t="inlineStr">
        <is>
          <t>SIT</t>
        </is>
      </c>
      <c r="K221" s="12" t="inlineStr">
        <is>
          <t>Verified: the mobile menu toggle has aria-label and aria-expanded attributes.</t>
        </is>
      </c>
    </row>
    <row r="222">
      <c r="A222" s="12" t="inlineStr">
        <is>
          <t>AC-009-001-01</t>
        </is>
      </c>
      <c r="B222" s="12" t="inlineStr">
        <is>
          <t>US-009-001</t>
        </is>
      </c>
      <c r="C222" s="12" t="inlineStr">
        <is>
          <t>EP-009</t>
        </is>
      </c>
      <c r="D222" s="12" t="inlineStr">
        <is>
          <t>User can identify the attendance record and proposed correction.</t>
        </is>
      </c>
      <c r="E222" s="12" t="str"/>
      <c r="F222" s="12" t="inlineStr">
        <is>
          <t>Pass</t>
        </is>
      </c>
      <c r="G222" s="12" t="str"/>
      <c r="H222" s="12" t="str"/>
      <c r="I222" s="12" t="inlineStr">
        <is>
          <t>Claude (AI Engineer)</t>
        </is>
      </c>
      <c r="J222" s="12" t="inlineStr">
        <is>
          <t>SIT</t>
        </is>
      </c>
      <c r="K222" s="12" t="inlineStr">
        <is>
          <t>Live test 2026-09-08: POST /corrections identifying an exact target session -&gt; 201.</t>
        </is>
      </c>
    </row>
    <row r="223">
      <c r="A223" s="12" t="inlineStr">
        <is>
          <t>AC-009-001-02</t>
        </is>
      </c>
      <c r="B223" s="12" t="inlineStr">
        <is>
          <t>US-009-001</t>
        </is>
      </c>
      <c r="C223" s="12" t="inlineStr">
        <is>
          <t>EP-009</t>
        </is>
      </c>
      <c r="D223" s="12" t="inlineStr">
        <is>
          <t>Reason is mandatory.</t>
        </is>
      </c>
      <c r="E223" s="12" t="str"/>
      <c r="F223" s="12" t="inlineStr">
        <is>
          <t>Pass</t>
        </is>
      </c>
      <c r="G223" s="12" t="str"/>
      <c r="H223" s="12" t="str"/>
      <c r="I223" s="12" t="inlineStr">
        <is>
          <t>Claude (AI Engineer)</t>
        </is>
      </c>
      <c r="J223" s="12" t="inlineStr">
        <is>
          <t>SIT</t>
        </is>
      </c>
      <c r="K223" s="12" t="inlineStr">
        <is>
          <t>Live test 2026-09-08: POST /corrections with no reason -&gt; 400 "reason: Required".</t>
        </is>
      </c>
    </row>
    <row r="224">
      <c r="A224" s="12" t="inlineStr">
        <is>
          <t>AC-009-001-03</t>
        </is>
      </c>
      <c r="B224" s="12" t="inlineStr">
        <is>
          <t>US-009-001</t>
        </is>
      </c>
      <c r="C224" s="12" t="inlineStr">
        <is>
          <t>EP-009</t>
        </is>
      </c>
      <c r="D224" s="12" t="inlineStr">
        <is>
          <t>Request does not overwrite original values before approval.</t>
        </is>
      </c>
      <c r="E224" s="12" t="str"/>
      <c r="F224" s="12" t="inlineStr">
        <is>
          <t>Pass</t>
        </is>
      </c>
      <c r="G224" s="12" t="str"/>
      <c r="H224" s="12" t="str"/>
      <c r="I224" s="12" t="inlineStr">
        <is>
          <t>Claude (AI Engineer)</t>
        </is>
      </c>
      <c r="J224" s="12" t="inlineStr">
        <is>
          <t>SIT</t>
        </is>
      </c>
      <c r="K224" s="12" t="inlineStr">
        <is>
          <t>Live test 2026-09-08: original clockInAt unchanged immediately after requesting a correction, before any approval.</t>
        </is>
      </c>
    </row>
    <row r="225">
      <c r="A225" s="12" t="inlineStr">
        <is>
          <t>AC-009-001-04</t>
        </is>
      </c>
      <c r="B225" s="12" t="inlineStr">
        <is>
          <t>US-009-001</t>
        </is>
      </c>
      <c r="C225" s="12" t="inlineStr">
        <is>
          <t>EP-009</t>
        </is>
      </c>
      <c r="D225" s="12" t="inlineStr">
        <is>
          <t>Request status is visible to user.</t>
        </is>
      </c>
      <c r="E225" s="12" t="str"/>
      <c r="F225" s="12" t="inlineStr">
        <is>
          <t>Pass</t>
        </is>
      </c>
      <c r="G225" s="12" t="str"/>
      <c r="H225" s="12" t="str"/>
      <c r="I225" s="12" t="inlineStr">
        <is>
          <t>Claude (AI Engineer)</t>
        </is>
      </c>
      <c r="J225" s="12" t="inlineStr">
        <is>
          <t>SIT</t>
        </is>
      </c>
      <c r="K225" s="12" t="inlineStr">
        <is>
          <t>Live test 2026-09-08: GET /corrections/mine shows status=PENDING for the just-submitted request.</t>
        </is>
      </c>
    </row>
    <row r="226">
      <c r="A226" s="12" t="inlineStr">
        <is>
          <t>AC-009-002-01</t>
        </is>
      </c>
      <c r="B226" s="12" t="inlineStr">
        <is>
          <t>US-009-002</t>
        </is>
      </c>
      <c r="C226" s="12" t="inlineStr">
        <is>
          <t>EP-009</t>
        </is>
      </c>
      <c r="D226" s="12" t="inlineStr">
        <is>
          <t>Administrator sees original, proposed value and reason.</t>
        </is>
      </c>
      <c r="E226" s="12" t="str"/>
      <c r="F226" s="12" t="inlineStr">
        <is>
          <t>Pass</t>
        </is>
      </c>
      <c r="G226" s="12" t="str"/>
      <c r="H226" s="12" t="str"/>
      <c r="I226" s="12" t="inlineStr">
        <is>
          <t>Claude (AI Engineer)</t>
        </is>
      </c>
      <c r="J226" s="12" t="inlineStr">
        <is>
          <t>SIT</t>
        </is>
      </c>
      <c r="K226" s="12"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t>
        </is>
      </c>
    </row>
    <row r="227">
      <c r="A227" s="12" t="inlineStr">
        <is>
          <t>AC-009-002-02</t>
        </is>
      </c>
      <c r="B227" s="12" t="inlineStr">
        <is>
          <t>US-009-002</t>
        </is>
      </c>
      <c r="C227" s="12" t="inlineStr">
        <is>
          <t>EP-009</t>
        </is>
      </c>
      <c r="D227" s="12" t="inlineStr">
        <is>
          <t>Approval creates corrected effective values while retaining original audit history.</t>
        </is>
      </c>
      <c r="E227" s="12" t="str"/>
      <c r="F227" s="12" t="inlineStr">
        <is>
          <t>Pass</t>
        </is>
      </c>
      <c r="G227" s="12" t="str"/>
      <c r="H227" s="12" t="str"/>
      <c r="I227" s="12" t="inlineStr">
        <is>
          <t>Claude (AI Engineer)</t>
        </is>
      </c>
      <c r="J227" s="12" t="inlineStr">
        <is>
          <t>SIT</t>
        </is>
      </c>
      <c r="K227" s="12" t="inlineStr">
        <is>
          <t>Live test 2026-09-08: approve -&gt; 201 (NestJS default for POST, no @HttpCode override), status=APPROVED, record shows the corrected value immediately after.</t>
        </is>
      </c>
    </row>
    <row r="228">
      <c r="A228" s="12" t="inlineStr">
        <is>
          <t>AC-009-002-03</t>
        </is>
      </c>
      <c r="B228" s="12" t="inlineStr">
        <is>
          <t>US-009-002</t>
        </is>
      </c>
      <c r="C228" s="12" t="inlineStr">
        <is>
          <t>EP-009</t>
        </is>
      </c>
      <c r="D228" s="12" t="inlineStr">
        <is>
          <t>Rejection records decision and optional comment.</t>
        </is>
      </c>
      <c r="E228" s="12" t="str"/>
      <c r="F228" s="12" t="inlineStr">
        <is>
          <t>Pass</t>
        </is>
      </c>
      <c r="G228" s="12" t="str"/>
      <c r="H228" s="12" t="str"/>
      <c r="I228" s="12" t="inlineStr">
        <is>
          <t>Claude (AI Engineer)</t>
        </is>
      </c>
      <c r="J228" s="12" t="inlineStr">
        <is>
          <t>SIT</t>
        </is>
      </c>
      <c r="K228" s="12" t="inlineStr">
        <is>
          <t>Live test 2026-09-08: reject with a comment -&gt; 201, status=REJECTED, decisionComment persisted exactly as submitted.</t>
        </is>
      </c>
    </row>
    <row r="229">
      <c r="A229" s="12" t="inlineStr">
        <is>
          <t>AC-009-002-04</t>
        </is>
      </c>
      <c r="B229" s="12" t="inlineStr">
        <is>
          <t>US-009-002</t>
        </is>
      </c>
      <c r="C229" s="12" t="inlineStr">
        <is>
          <t>EP-009</t>
        </is>
      </c>
      <c r="D229" s="12" t="inlineStr">
        <is>
          <t>Decision is audited.</t>
        </is>
      </c>
      <c r="E229" s="12" t="str"/>
      <c r="F229" s="12" t="inlineStr">
        <is>
          <t>Pass</t>
        </is>
      </c>
      <c r="G229" s="12" t="str"/>
      <c r="H229" s="12" t="str"/>
      <c r="I229" s="12" t="inlineStr">
        <is>
          <t>Claude (AI Engineer)</t>
        </is>
      </c>
      <c r="J229" s="12" t="inlineStr">
        <is>
          <t>SIT</t>
        </is>
      </c>
      <c r="K229" s="12" t="inlineStr">
        <is>
          <t>Live test 2026-09-08: audit log contains CORRECTION_APPROVED with real before/after values.</t>
        </is>
      </c>
    </row>
    <row r="230">
      <c r="A230" s="12" t="inlineStr">
        <is>
          <t>AC-009-003-01</t>
        </is>
      </c>
      <c r="B230" s="12" t="inlineStr">
        <is>
          <t>US-009-003</t>
        </is>
      </c>
      <c r="C230" s="12" t="inlineStr">
        <is>
          <t>EP-009</t>
        </is>
      </c>
      <c r="D230" s="12" t="inlineStr">
        <is>
          <t>User selects affected task interval.</t>
        </is>
      </c>
      <c r="E230" s="12" t="str"/>
      <c r="F230" s="12" t="inlineStr">
        <is>
          <t>Pass</t>
        </is>
      </c>
      <c r="G230" s="12" t="str"/>
      <c r="H230" s="12" t="str"/>
      <c r="I230" s="12" t="inlineStr">
        <is>
          <t>Claude (AI Engineer)</t>
        </is>
      </c>
      <c r="J230" s="12" t="inlineStr">
        <is>
          <t>SIT</t>
        </is>
      </c>
      <c r="K230" s="12" t="inlineStr">
        <is>
          <t>Live test 2026-09-08: correction request targets the exact TaskTimeEntry id.</t>
        </is>
      </c>
    </row>
    <row r="231">
      <c r="A231" s="12" t="inlineStr">
        <is>
          <t>AC-009-003-02</t>
        </is>
      </c>
      <c r="B231" s="12" t="inlineStr">
        <is>
          <t>US-009-003</t>
        </is>
      </c>
      <c r="C231" s="12" t="inlineStr">
        <is>
          <t>EP-009</t>
        </is>
      </c>
      <c r="D231" s="12" t="inlineStr">
        <is>
          <t>Proposed start/end/duration and reason are captured.</t>
        </is>
      </c>
      <c r="E231" s="12" t="str"/>
      <c r="F231" s="12" t="inlineStr">
        <is>
          <t>Pass</t>
        </is>
      </c>
      <c r="G231" s="12" t="str"/>
      <c r="H231" s="12" t="str"/>
      <c r="I231" s="12" t="inlineStr">
        <is>
          <t>Claude (AI Engineer)</t>
        </is>
      </c>
      <c r="J231" s="12" t="inlineStr">
        <is>
          <t>SIT</t>
        </is>
      </c>
      <c r="K231" s="12" t="inlineStr">
        <is>
          <t>Live test 2026-09-08: proposed start, end and reason all captured on the request record.</t>
        </is>
      </c>
    </row>
    <row r="232">
      <c r="A232" s="12" t="inlineStr">
        <is>
          <t>AC-009-003-03</t>
        </is>
      </c>
      <c r="B232" s="12" t="inlineStr">
        <is>
          <t>US-009-003</t>
        </is>
      </c>
      <c r="C232" s="12" t="inlineStr">
        <is>
          <t>EP-009</t>
        </is>
      </c>
      <c r="D232" s="12" t="inlineStr">
        <is>
          <t>Original interval remains intact until approval.</t>
        </is>
      </c>
      <c r="E232" s="12" t="str"/>
      <c r="F232" s="12" t="inlineStr">
        <is>
          <t>Pass</t>
        </is>
      </c>
      <c r="G232" s="12" t="str"/>
      <c r="H232" s="12" t="str"/>
      <c r="I232" s="12" t="inlineStr">
        <is>
          <t>Claude (AI Engineer)</t>
        </is>
      </c>
      <c r="J232" s="12" t="inlineStr">
        <is>
          <t>SIT</t>
        </is>
      </c>
      <c r="K232" s="12" t="inlineStr">
        <is>
          <t>Live test 2026-09-08: the task time entry's endAt is unchanged immediately after requesting, before approval.</t>
        </is>
      </c>
    </row>
    <row r="233">
      <c r="A233" s="12" t="inlineStr">
        <is>
          <t>AC-009-003-04</t>
        </is>
      </c>
      <c r="B233" s="12" t="inlineStr">
        <is>
          <t>US-009-003</t>
        </is>
      </c>
      <c r="C233" s="12" t="inlineStr">
        <is>
          <t>EP-009</t>
        </is>
      </c>
      <c r="D233" s="12" t="inlineStr">
        <is>
          <t>Overlaps are validated before approval.</t>
        </is>
      </c>
      <c r="E233" s="12" t="str"/>
      <c r="F233" s="12" t="inlineStr">
        <is>
          <t>Pass</t>
        </is>
      </c>
      <c r="G233" s="12" t="str"/>
      <c r="H233" s="12" t="str"/>
      <c r="I233" s="12" t="inlineStr">
        <is>
          <t>Claude (AI Engineer)</t>
        </is>
      </c>
      <c r="J233" s="12" t="inlineStr">
        <is>
          <t>SIT</t>
        </is>
      </c>
      <c r="K233" s="12" t="inlineStr">
        <is>
          <t>Live test 2026-09-08: approving a correction whose proposed end now overlaps a second, later-recorded task segment -&gt; 400 "Proposed times overlap another recorded task time entry" - validated at approval time, not just at request time.</t>
        </is>
      </c>
    </row>
    <row r="234">
      <c r="A234" s="12" t="inlineStr">
        <is>
          <t>AC-009-004-01</t>
        </is>
      </c>
      <c r="B234" s="12" t="inlineStr">
        <is>
          <t>US-009-004</t>
        </is>
      </c>
      <c r="C234" s="12" t="inlineStr">
        <is>
          <t>EP-009</t>
        </is>
      </c>
      <c r="D234" s="12" t="inlineStr">
        <is>
          <t>Correction requires reason.</t>
        </is>
      </c>
      <c r="E234" s="12" t="str"/>
      <c r="F234" s="12" t="inlineStr">
        <is>
          <t>Pass</t>
        </is>
      </c>
      <c r="G234" s="12" t="str"/>
      <c r="H234" s="12" t="str"/>
      <c r="I234" s="12" t="inlineStr">
        <is>
          <t>Claude (AI Engineer)</t>
        </is>
      </c>
      <c r="J234" s="12" t="inlineStr">
        <is>
          <t>SIT</t>
        </is>
      </c>
      <c r="K234" s="12" t="inlineStr">
        <is>
          <t>Live test 2026-09-08: a reason under the 10-character minimum -&gt; 400 (same validation shared with attendance/break corrections).</t>
        </is>
      </c>
    </row>
    <row r="235">
      <c r="A235" s="12" t="inlineStr">
        <is>
          <t>AC-009-004-02</t>
        </is>
      </c>
      <c r="B235" s="12" t="inlineStr">
        <is>
          <t>US-009-004</t>
        </is>
      </c>
      <c r="C235" s="12" t="inlineStr">
        <is>
          <t>EP-009</t>
        </is>
      </c>
      <c r="D235" s="12" t="inlineStr">
        <is>
          <t>Before and after values are captured.</t>
        </is>
      </c>
      <c r="E235" s="12" t="str"/>
      <c r="F235" s="12" t="inlineStr">
        <is>
          <t>Pass</t>
        </is>
      </c>
      <c r="G235" s="12" t="str"/>
      <c r="H235" s="12" t="str"/>
      <c r="I235" s="12" t="inlineStr">
        <is>
          <t>Claude (AI Engineer)</t>
        </is>
      </c>
      <c r="J235" s="12" t="inlineStr">
        <is>
          <t>SIT</t>
        </is>
      </c>
      <c r="K235" s="12" t="inlineStr">
        <is>
          <t>Live test 2026-09-08: audit before/after values captured for a task time correction the same way as an attendance correction.</t>
        </is>
      </c>
    </row>
    <row r="236">
      <c r="A236" s="12" t="inlineStr">
        <is>
          <t>AC-009-004-03</t>
        </is>
      </c>
      <c r="B236" s="12" t="inlineStr">
        <is>
          <t>US-009-004</t>
        </is>
      </c>
      <c r="C236" s="12" t="inlineStr">
        <is>
          <t>EP-009</t>
        </is>
      </c>
      <c r="D236" s="12" t="inlineStr">
        <is>
          <t>Correction cannot create invalid overlapping active records.</t>
        </is>
      </c>
      <c r="E236" s="12" t="str"/>
      <c r="F236" s="12" t="inlineStr">
        <is>
          <t>Pass</t>
        </is>
      </c>
      <c r="G236" s="12" t="str"/>
      <c r="H236" s="12" t="str"/>
      <c r="I236" s="12" t="inlineStr">
        <is>
          <t>Claude (AI Engineer)</t>
        </is>
      </c>
      <c r="J236" s="12" t="inlineStr">
        <is>
          <t>SIT</t>
        </is>
      </c>
      <c r="K236" s="12" t="inlineStr">
        <is>
          <t>Same overlap-validation evidence as AC-009-003-04 - prevents an approval from creating an invalid overlapping active record.</t>
        </is>
      </c>
    </row>
    <row r="237">
      <c r="A237" s="12" t="inlineStr">
        <is>
          <t>AC-009-004-04</t>
        </is>
      </c>
      <c r="B237" s="12" t="inlineStr">
        <is>
          <t>US-009-004</t>
        </is>
      </c>
      <c r="C237" s="12" t="inlineStr">
        <is>
          <t>EP-009</t>
        </is>
      </c>
      <c r="D237" s="12" t="inlineStr">
        <is>
          <t>Action is written to audit log.</t>
        </is>
      </c>
      <c r="E237" s="12" t="str"/>
      <c r="F237" s="12" t="inlineStr">
        <is>
          <t>Pass</t>
        </is>
      </c>
      <c r="G237" s="12" t="str"/>
      <c r="H237" s="12" t="str"/>
      <c r="I237" s="12" t="inlineStr">
        <is>
          <t>Claude (AI Engineer)</t>
        </is>
      </c>
      <c r="J237" s="12" t="inlineStr">
        <is>
          <t>SIT</t>
        </is>
      </c>
      <c r="K237" s="12" t="inlineStr">
        <is>
          <t>Same audit entry evidence as AC-009-002-04 - every correction decision, on any target type, is written to the audit log.</t>
        </is>
      </c>
    </row>
    <row r="238">
      <c r="A238" s="12" t="inlineStr">
        <is>
          <t>AC-009-005-01</t>
        </is>
      </c>
      <c r="B238" s="12" t="inlineStr">
        <is>
          <t>US-009-005</t>
        </is>
      </c>
      <c r="C238" s="12" t="inlineStr">
        <is>
          <t>EP-009</t>
        </is>
      </c>
      <c r="D238" s="12" t="inlineStr">
        <is>
          <t>Audit captures actor, action, timestamp, object and change details.</t>
        </is>
      </c>
      <c r="E238" s="12" t="str"/>
      <c r="F238" s="12" t="inlineStr">
        <is>
          <t>Pass</t>
        </is>
      </c>
      <c r="G238" s="12" t="str"/>
      <c r="H238" s="12" t="str"/>
      <c r="I238" s="12" t="inlineStr">
        <is>
          <t>Claude (AI Engineer)</t>
        </is>
      </c>
      <c r="J238" s="12" t="inlineStr">
        <is>
          <t>SIT</t>
        </is>
      </c>
      <c r="K238" s="12" t="inlineStr">
        <is>
          <t>Live test 2026-09-08: a single audit entry carries actorId, action, createdAt, targetType, targetId, and before/after change details.</t>
        </is>
      </c>
    </row>
    <row r="239">
      <c r="A239" s="12" t="inlineStr">
        <is>
          <t>AC-009-005-02</t>
        </is>
      </c>
      <c r="B239" s="12" t="inlineStr">
        <is>
          <t>US-009-005</t>
        </is>
      </c>
      <c r="C239" s="12" t="inlineStr">
        <is>
          <t>EP-009</t>
        </is>
      </c>
      <c r="D239" s="12" t="inlineStr">
        <is>
          <t>Ordinary employees cannot edit audit records.</t>
        </is>
      </c>
      <c r="E239" s="12" t="str"/>
      <c r="F239" s="12" t="inlineStr">
        <is>
          <t>Pass</t>
        </is>
      </c>
      <c r="G239" s="12" t="str"/>
      <c r="H239" s="12" t="str"/>
      <c r="I239" s="12" t="inlineStr">
        <is>
          <t>Claude (AI Engineer)</t>
        </is>
      </c>
      <c r="J239" s="12" t="inlineStr">
        <is>
          <t>SIT</t>
        </is>
      </c>
      <c r="K239" s="12" t="inlineStr">
        <is>
          <t>Live test 2026-09-08: employee GET /audit -&gt; 403. No edit route exists on audit records for anyone, admin included - they are write-once by design.</t>
        </is>
      </c>
    </row>
    <row r="240">
      <c r="A240" s="12" t="inlineStr">
        <is>
          <t>AC-009-005-03</t>
        </is>
      </c>
      <c r="B240" s="12" t="inlineStr">
        <is>
          <t>US-009-005</t>
        </is>
      </c>
      <c r="C240" s="12" t="inlineStr">
        <is>
          <t>EP-009</t>
        </is>
      </c>
      <c r="D240" s="12" t="inlineStr">
        <is>
          <t>Audit can be filtered by user/date/action.</t>
        </is>
      </c>
      <c r="E240" s="12" t="str"/>
      <c r="F240" s="12" t="inlineStr">
        <is>
          <t>Pass</t>
        </is>
      </c>
      <c r="G240" s="12" t="str"/>
      <c r="H240" s="12" t="str"/>
      <c r="I240" s="12" t="inlineStr">
        <is>
          <t>Claude (AI Engineer)</t>
        </is>
      </c>
      <c r="J240" s="12" t="inlineStr">
        <is>
          <t>SIT</t>
        </is>
      </c>
      <c r="K240" s="12" t="inlineStr">
        <is>
          <t>Live test 2026-09-08: GET /audit?action=X returns only matching entries; actorId/from/to filters proven the same way elsewhere this session (EP-002 testing).</t>
        </is>
      </c>
    </row>
    <row r="241">
      <c r="A241" s="12" t="inlineStr">
        <is>
          <t>AC-009-005-04</t>
        </is>
      </c>
      <c r="B241" s="12" t="inlineStr">
        <is>
          <t>US-009-005</t>
        </is>
      </c>
      <c r="C241" s="12" t="inlineStr">
        <is>
          <t>EP-009</t>
        </is>
      </c>
      <c r="D241" s="12" t="inlineStr">
        <is>
          <t>Sensitive secrets/password data are never logged.</t>
        </is>
      </c>
      <c r="E241" s="12" t="str"/>
      <c r="F241" s="12" t="inlineStr">
        <is>
          <t>Pass</t>
        </is>
      </c>
      <c r="G241" s="12" t="str"/>
      <c r="H241" s="12" t="str"/>
      <c r="I241" s="12" t="inlineStr">
        <is>
          <t>Claude (AI Engineer)</t>
        </is>
      </c>
      <c r="J241" s="12" t="inlineStr">
        <is>
          <t>SIT</t>
        </is>
      </c>
      <c r="K241" s="12" t="inlineStr">
        <is>
          <t>Code-verified (apps/api/src/config/logger.ts): cookie/authorization headers redacted, request bodies never logged by default - confirmed manually earlier this session (AC-012-004-03).</t>
        </is>
      </c>
    </row>
    <row r="242">
      <c r="A242" s="12" t="inlineStr">
        <is>
          <t>AC-010-001-01</t>
        </is>
      </c>
      <c r="B242" s="12" t="inlineStr">
        <is>
          <t>US-010-001</t>
        </is>
      </c>
      <c r="C242" s="12" t="inlineStr">
        <is>
          <t>EP-010</t>
        </is>
      </c>
      <c r="D242" s="12" t="inlineStr">
        <is>
          <t>Report includes clock-in/out, break total and net work.</t>
        </is>
      </c>
      <c r="E242" s="12" t="str"/>
      <c r="F242" s="12" t="inlineStr">
        <is>
          <t>Pass</t>
        </is>
      </c>
      <c r="G242" s="12" t="str"/>
      <c r="H242" s="12" t="str"/>
      <c r="I242" s="12" t="inlineStr">
        <is>
          <t>Claude (AI Engineer)</t>
        </is>
      </c>
      <c r="J242" s="12" t="inlineStr">
        <is>
          <t>SIT</t>
        </is>
      </c>
      <c r="K242" s="12" t="inlineStr">
        <is>
          <t>PASS - live GET /reports/attendance?format=json against Azure: row carries clockIn, clockOut, breakMinutes, netWorkingMinutes as real ISO timestamps/numbers for a real clock-in/break/clock-out session.</t>
        </is>
      </c>
    </row>
    <row r="243">
      <c r="A243" s="12" t="inlineStr">
        <is>
          <t>AC-010-001-02</t>
        </is>
      </c>
      <c r="B243" s="12" t="inlineStr">
        <is>
          <t>US-010-001</t>
        </is>
      </c>
      <c r="C243" s="12" t="inlineStr">
        <is>
          <t>EP-010</t>
        </is>
      </c>
      <c r="D243" s="12" t="inlineStr">
        <is>
          <t>Report can filter by date and user/department.</t>
        </is>
      </c>
      <c r="E243" s="12" t="str"/>
      <c r="F243" s="12" t="inlineStr">
        <is>
          <t>Pass</t>
        </is>
      </c>
      <c r="G243" s="12" t="str"/>
      <c r="H243" s="12" t="str"/>
      <c r="I243" s="12" t="inlineStr">
        <is>
          <t>Claude (AI Engineer)</t>
        </is>
      </c>
      <c r="J243" s="12" t="inlineStr">
        <is>
          <t>SIT</t>
        </is>
      </c>
      <c r="K243" s="12" t="inlineStr">
        <is>
          <t>PASS - live test: ?userId=&lt;empA&gt; returns only empA's row; ?departmentId=&lt;deptB&gt; returns only the employee actually in that department (empB), with a second employee in a different department correctly excluded.</t>
        </is>
      </c>
    </row>
    <row r="244">
      <c r="A244" s="12" t="inlineStr">
        <is>
          <t>AC-010-001-03</t>
        </is>
      </c>
      <c r="B244" s="12" t="inlineStr">
        <is>
          <t>US-010-001</t>
        </is>
      </c>
      <c r="C244" s="12" t="inlineStr">
        <is>
          <t>EP-010</t>
        </is>
      </c>
      <c r="D244" s="12" t="inlineStr">
        <is>
          <t>Incomplete records are clearly flagged.</t>
        </is>
      </c>
      <c r="E244" s="12" t="str"/>
      <c r="F244" s="12" t="inlineStr">
        <is>
          <t>Pass</t>
        </is>
      </c>
      <c r="G244" s="12" t="str"/>
      <c r="H244" s="12" t="str"/>
      <c r="I244" s="12" t="inlineStr">
        <is>
          <t>Claude (AI Engineer)</t>
        </is>
      </c>
      <c r="J244" s="12" t="inlineStr">
        <is>
          <t>SIT</t>
        </is>
      </c>
      <c r="K244" s="12" t="inlineStr">
        <is>
          <t>PASS - live test: a session left clocked-in with no clock-out reports incomplete=true; a completed session reports incomplete=false.</t>
        </is>
      </c>
    </row>
    <row r="245">
      <c r="A245" s="12" t="inlineStr">
        <is>
          <t>AC-010-001-04</t>
        </is>
      </c>
      <c r="B245" s="12" t="inlineStr">
        <is>
          <t>US-010-001</t>
        </is>
      </c>
      <c r="C245" s="12" t="inlineStr">
        <is>
          <t>EP-010</t>
        </is>
      </c>
      <c r="D245" s="12" t="inlineStr">
        <is>
          <t>Totals are derived from source records.</t>
        </is>
      </c>
      <c r="E245" s="12" t="str"/>
      <c r="F245" s="12" t="inlineStr">
        <is>
          <t>Pass</t>
        </is>
      </c>
      <c r="G245" s="12" t="str"/>
      <c r="H245" s="12" t="str"/>
      <c r="I245" s="12" t="inlineStr">
        <is>
          <t>Claude (AI Engineer)</t>
        </is>
      </c>
      <c r="J245" s="12" t="inlineStr">
        <is>
          <t>SIT</t>
        </is>
      </c>
      <c r="K245" s="12" t="inlineStr">
        <is>
          <t>PASS - live test: independently recomputed net = gross(clockOut-clockIn) - breakMinutes from the raw timestamps and matched the report's netWorkingMinutes within rounding, confirming totals are derived from source records, not a separate stored value.</t>
        </is>
      </c>
    </row>
    <row r="246">
      <c r="A246" s="12" t="inlineStr">
        <is>
          <t>AC-010-002-01</t>
        </is>
      </c>
      <c r="B246" s="12" t="inlineStr">
        <is>
          <t>US-010-002</t>
        </is>
      </c>
      <c r="C246" s="12" t="inlineStr">
        <is>
          <t>EP-010</t>
        </is>
      </c>
      <c r="D246" s="12" t="inlineStr">
        <is>
          <t>Report aggregates net work and break hours by user.</t>
        </is>
      </c>
      <c r="E246" s="12" t="str"/>
      <c r="F246" s="12" t="inlineStr">
        <is>
          <t>Pass</t>
        </is>
      </c>
      <c r="G246" s="12" t="str"/>
      <c r="H246" s="12" t="str"/>
      <c r="I246" s="12" t="inlineStr">
        <is>
          <t>Claude (AI Engineer)</t>
        </is>
      </c>
      <c r="J246" s="12" t="inlineStr">
        <is>
          <t>SIT</t>
        </is>
      </c>
      <c r="K246" s="12"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t>
        </is>
      </c>
    </row>
    <row r="247">
      <c r="A247" s="12" t="inlineStr">
        <is>
          <t>AC-010-002-02</t>
        </is>
      </c>
      <c r="B247" s="12" t="inlineStr">
        <is>
          <t>US-010-002</t>
        </is>
      </c>
      <c r="C247" s="12" t="inlineStr">
        <is>
          <t>EP-010</t>
        </is>
      </c>
      <c r="D247" s="12" t="inlineStr">
        <is>
          <t>Date period can be selected.</t>
        </is>
      </c>
      <c r="E247" s="12" t="str"/>
      <c r="F247" s="12" t="inlineStr">
        <is>
          <t>Pass</t>
        </is>
      </c>
      <c r="G247" s="12" t="str"/>
      <c r="H247" s="12" t="str"/>
      <c r="I247" s="12" t="inlineStr">
        <is>
          <t>Claude (AI Engineer)</t>
        </is>
      </c>
      <c r="J247" s="12" t="inlineStr">
        <is>
          <t>SIT</t>
        </is>
      </c>
      <c r="K247" s="12" t="inlineStr">
        <is>
          <t>PASS - the summary view reuses the same From/To date inputs as daily detail; live-verified the summary title reflects the selected period ("TOTALS BY EMPLOYEE, 2026-08-10 - 2026-09-09") and updates when Run is re-clicked.</t>
        </is>
      </c>
    </row>
    <row r="248">
      <c r="A248" s="12" t="inlineStr">
        <is>
          <t>AC-010-002-03</t>
        </is>
      </c>
      <c r="B248" s="12" t="inlineStr">
        <is>
          <t>US-010-002</t>
        </is>
      </c>
      <c r="C248" s="12" t="inlineStr">
        <is>
          <t>EP-010</t>
        </is>
      </c>
      <c r="D248" s="12" t="inlineStr">
        <is>
          <t>Daily detail can be drilled from summary.</t>
        </is>
      </c>
      <c r="E248" s="12" t="str"/>
      <c r="F248" s="12" t="inlineStr">
        <is>
          <t>Pass</t>
        </is>
      </c>
      <c r="G248" s="12" t="str"/>
      <c r="H248" s="12" t="str"/>
      <c r="I248" s="12" t="inlineStr">
        <is>
          <t>Claude (AI Engineer)</t>
        </is>
      </c>
      <c r="J248" s="12" t="inlineStr">
        <is>
          <t>SIT</t>
        </is>
      </c>
      <c r="K248" s="12" t="inlineStr">
        <is>
          <t>PASS (after fix) - live-verified: clicking "View daily detail" on a summary row drills into exactly that employee's raw sessions (2 rows for a 2-day employee), with a working "Back to summary" link.</t>
        </is>
      </c>
    </row>
    <row r="249">
      <c r="A249" s="12" t="inlineStr">
        <is>
          <t>AC-010-002-04</t>
        </is>
      </c>
      <c r="B249" s="12" t="inlineStr">
        <is>
          <t>US-010-002</t>
        </is>
      </c>
      <c r="C249" s="12" t="inlineStr">
        <is>
          <t>EP-010</t>
        </is>
      </c>
      <c r="D249" s="12" t="inlineStr">
        <is>
          <t>Aggregate totals reconcile to daily records.</t>
        </is>
      </c>
      <c r="E249" s="12" t="str"/>
      <c r="F249" s="12" t="inlineStr">
        <is>
          <t>Pass</t>
        </is>
      </c>
      <c r="G249" s="12" t="str"/>
      <c r="H249" s="12" t="str"/>
      <c r="I249" s="12" t="inlineStr">
        <is>
          <t>Claude (AI Engineer)</t>
        </is>
      </c>
      <c r="J249" s="12" t="inlineStr">
        <is>
          <t>SIT</t>
        </is>
      </c>
      <c r="K249" s="12"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t>
        </is>
      </c>
    </row>
    <row r="250">
      <c r="A250" s="12" t="inlineStr">
        <is>
          <t>AC-010-003-01</t>
        </is>
      </c>
      <c r="B250" s="12" t="inlineStr">
        <is>
          <t>US-010-003</t>
        </is>
      </c>
      <c r="C250" s="12" t="inlineStr">
        <is>
          <t>EP-010</t>
        </is>
      </c>
      <c r="D250" s="12" t="inlineStr">
        <is>
          <t>Report can group by user, task and date.</t>
        </is>
      </c>
      <c r="E250" s="12" t="str"/>
      <c r="F250" s="12" t="inlineStr">
        <is>
          <t>Pass</t>
        </is>
      </c>
      <c r="G250" s="12" t="str"/>
      <c r="H250" s="12" t="str"/>
      <c r="I250" s="12" t="inlineStr">
        <is>
          <t>Claude (AI Engineer)</t>
        </is>
      </c>
      <c r="J250" s="12" t="inlineStr">
        <is>
          <t>SIT</t>
        </is>
      </c>
      <c r="K250" s="12" t="inlineStr">
        <is>
          <t>PASS - live test: ?taskId=&lt;x&gt; scopes the task-time report to exactly 1 row for that task; ?userId=&lt;empA&gt; scopes to that employee's entries only (2 rows, both tasks); date field present on every row.</t>
        </is>
      </c>
    </row>
    <row r="251">
      <c r="A251" s="12" t="inlineStr">
        <is>
          <t>AC-010-003-02</t>
        </is>
      </c>
      <c r="B251" s="12" t="inlineStr">
        <is>
          <t>US-010-003</t>
        </is>
      </c>
      <c r="C251" s="12" t="inlineStr">
        <is>
          <t>EP-010</t>
        </is>
      </c>
      <c r="D251" s="12" t="inlineStr">
        <is>
          <t>Shows actual duration and task status.</t>
        </is>
      </c>
      <c r="E251" s="12" t="str"/>
      <c r="F251" s="12" t="inlineStr">
        <is>
          <t>Pass</t>
        </is>
      </c>
      <c r="G251" s="12" t="str"/>
      <c r="H251" s="12" t="str"/>
      <c r="I251" s="12" t="inlineStr">
        <is>
          <t>Claude (AI Engineer)</t>
        </is>
      </c>
      <c r="J251" s="12" t="inlineStr">
        <is>
          <t>SIT</t>
        </is>
      </c>
      <c r="K251" s="12" t="inlineStr">
        <is>
          <t>PASS - live test: row carries durationMinutes (numeric, correctly rounds a sub-minute timer run to 0 per Math.round((end-start)/60000) in reports.service.ts) and taskStatus=IN_PROGRESS (auto-transitioned from TO_DO on timer start).</t>
        </is>
      </c>
    </row>
    <row r="252">
      <c r="A252" s="12" t="inlineStr">
        <is>
          <t>AC-010-003-03</t>
        </is>
      </c>
      <c r="B252" s="12" t="inlineStr">
        <is>
          <t>US-010-003</t>
        </is>
      </c>
      <c r="C252" s="12" t="inlineStr">
        <is>
          <t>EP-010</t>
        </is>
      </c>
      <c r="D252" s="12" t="inlineStr">
        <is>
          <t>Estimate versus actual is shown where estimate exists.</t>
        </is>
      </c>
      <c r="E252" s="12" t="str"/>
      <c r="F252" s="12" t="inlineStr">
        <is>
          <t>Pass</t>
        </is>
      </c>
      <c r="G252" s="12" t="str"/>
      <c r="H252" s="12" t="str"/>
      <c r="I252" s="12" t="inlineStr">
        <is>
          <t>Claude (AI Engineer)</t>
        </is>
      </c>
      <c r="J252" s="12" t="inlineStr">
        <is>
          <t>SIT</t>
        </is>
      </c>
      <c r="K252" s="12" t="inlineStr">
        <is>
          <t>PASS - live test: a task created with estimatedMinutes=120 shows estimatedMinutes=120 in the report; a task created with no estimate shows null.</t>
        </is>
      </c>
    </row>
    <row r="253">
      <c r="A253" s="12" t="inlineStr">
        <is>
          <t>AC-010-003-04</t>
        </is>
      </c>
      <c r="B253" s="12" t="inlineStr">
        <is>
          <t>US-010-003</t>
        </is>
      </c>
      <c r="C253" s="12" t="inlineStr">
        <is>
          <t>EP-010</t>
        </is>
      </c>
      <c r="D253" s="12" t="inlineStr">
        <is>
          <t>Filters apply consistently to export.</t>
        </is>
      </c>
      <c r="E253" s="12" t="str"/>
      <c r="F253" s="12" t="inlineStr">
        <is>
          <t>Pass</t>
        </is>
      </c>
      <c r="G253" s="12" t="str"/>
      <c r="H253" s="12" t="str"/>
      <c r="I253" s="12" t="inlineStr">
        <is>
          <t>Claude (AI Engineer)</t>
        </is>
      </c>
      <c r="J253" s="12" t="inlineStr">
        <is>
          <t>SIT</t>
        </is>
      </c>
      <c r="K253" s="12" t="inlineStr">
        <is>
          <t>PASS - live test: CSV export with ?taskId=&lt;x&gt; returned exactly 1 data row, matching the JSON response's row count for the same filter.</t>
        </is>
      </c>
    </row>
    <row r="254">
      <c r="A254" s="12" t="inlineStr">
        <is>
          <t>AC-010-004-01</t>
        </is>
      </c>
      <c r="B254" s="12" t="inlineStr">
        <is>
          <t>US-010-004</t>
        </is>
      </c>
      <c r="C254" s="12" t="inlineStr">
        <is>
          <t>EP-010</t>
        </is>
      </c>
      <c r="D254" s="12" t="inlineStr">
        <is>
          <t>Report shows net work, task time and unallocated time.</t>
        </is>
      </c>
      <c r="E254" s="12" t="str"/>
      <c r="F254" s="12" t="inlineStr">
        <is>
          <t>Pass</t>
        </is>
      </c>
      <c r="G254" s="12" t="str"/>
      <c r="H254" s="12" t="str"/>
      <c r="I254" s="12" t="inlineStr">
        <is>
          <t>Claude (AI Engineer)</t>
        </is>
      </c>
      <c r="J254" s="12" t="inlineStr">
        <is>
          <t>SIT</t>
        </is>
      </c>
      <c r="K254" s="12" t="inlineStr">
        <is>
          <t>PASS - live test: unallocated-report row carries netWorkingMinutes, taskMinutes and unallocatedMinutes as real computed numbers (reconcile() from packages/shared/time-math.ts).</t>
        </is>
      </c>
    </row>
    <row r="255">
      <c r="A255" s="12" t="inlineStr">
        <is>
          <t>AC-010-004-02</t>
        </is>
      </c>
      <c r="B255" s="12" t="inlineStr">
        <is>
          <t>US-010-004</t>
        </is>
      </c>
      <c r="C255" s="12" t="inlineStr">
        <is>
          <t>EP-010</t>
        </is>
      </c>
      <c r="D255" s="12" t="inlineStr">
        <is>
          <t>Users/days with zero unallocated time can be included/excluded.</t>
        </is>
      </c>
      <c r="E255" s="12" t="str"/>
      <c r="F255" s="12" t="inlineStr">
        <is>
          <t>Pass</t>
        </is>
      </c>
      <c r="G255" s="12" t="str"/>
      <c r="H255" s="12" t="str"/>
      <c r="I255" s="12" t="inlineStr">
        <is>
          <t>Claude (AI Engineer)</t>
        </is>
      </c>
      <c r="J255" s="12" t="inlineStr">
        <is>
          <t>SIT</t>
        </is>
      </c>
      <c r="K255" s="12"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t>
        </is>
      </c>
    </row>
    <row r="256">
      <c r="A256" s="12" t="inlineStr">
        <is>
          <t>AC-010-004-03</t>
        </is>
      </c>
      <c r="B256" s="12" t="inlineStr">
        <is>
          <t>US-010-004</t>
        </is>
      </c>
      <c r="C256" s="12" t="inlineStr">
        <is>
          <t>EP-010</t>
        </is>
      </c>
      <c r="D256" s="12" t="inlineStr">
        <is>
          <t>Negative/impossible values are flagged as exceptions.</t>
        </is>
      </c>
      <c r="E256" s="12" t="str"/>
      <c r="F256" s="12" t="inlineStr">
        <is>
          <t>Pass</t>
        </is>
      </c>
      <c r="G256" s="12" t="str"/>
      <c r="H256" s="12" t="str"/>
      <c r="I256" s="12" t="inlineStr">
        <is>
          <t>Claude (AI Engineer)</t>
        </is>
      </c>
      <c r="J256" s="12" t="inlineStr">
        <is>
          <t>SIT</t>
        </is>
      </c>
      <c r="K256" s="12"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t>
        </is>
      </c>
    </row>
    <row r="257">
      <c r="A257" s="12" t="inlineStr">
        <is>
          <t>AC-010-004-04</t>
        </is>
      </c>
      <c r="B257" s="12" t="inlineStr">
        <is>
          <t>US-010-004</t>
        </is>
      </c>
      <c r="C257" s="12" t="inlineStr">
        <is>
          <t>EP-010</t>
        </is>
      </c>
      <c r="D257" s="12" t="inlineStr">
        <is>
          <t>Report supports date and user filters.</t>
        </is>
      </c>
      <c r="E257" s="12" t="str"/>
      <c r="F257" s="12" t="inlineStr">
        <is>
          <t>Pass</t>
        </is>
      </c>
      <c r="G257" s="12" t="str"/>
      <c r="H257" s="12" t="str"/>
      <c r="I257" s="12" t="inlineStr">
        <is>
          <t>Claude (AI Engineer)</t>
        </is>
      </c>
      <c r="J257" s="12" t="inlineStr">
        <is>
          <t>SIT</t>
        </is>
      </c>
      <c r="K257" s="12" t="inlineStr">
        <is>
          <t>PASS - ?userId= filter proven above (scoped to 1 employee); ?from/?to are required by parseRange() and drive every row in the report, same mechanism proven for AC-010-001-02.</t>
        </is>
      </c>
    </row>
    <row r="258">
      <c r="A258" s="12" t="inlineStr">
        <is>
          <t>AC-010-005-01</t>
        </is>
      </c>
      <c r="B258" s="12" t="inlineStr">
        <is>
          <t>US-010-005</t>
        </is>
      </c>
      <c r="C258" s="12" t="inlineStr">
        <is>
          <t>EP-010</t>
        </is>
      </c>
      <c r="D258" s="12" t="inlineStr">
        <is>
          <t>MVP supports CSV and XLSX export.</t>
        </is>
      </c>
      <c r="E258" s="12" t="str"/>
      <c r="F258" s="12" t="inlineStr">
        <is>
          <t>Pass</t>
        </is>
      </c>
      <c r="G258" s="12" t="str"/>
      <c r="H258" s="12" t="str"/>
      <c r="I258" s="12" t="inlineStr">
        <is>
          <t>Claude (AI Engineer)</t>
        </is>
      </c>
      <c r="J258" s="12" t="inlineStr">
        <is>
          <t>SIT</t>
        </is>
      </c>
      <c r="K258" s="12" t="inlineStr">
        <is>
          <t>PASS - live test: GET .../attendance?format=csv -&gt; 200, content-type text/csv; XLSX format exercised (and timed) in AC-010-005-04.</t>
        </is>
      </c>
    </row>
    <row r="259">
      <c r="A259" s="12" t="inlineStr">
        <is>
          <t>AC-010-005-02</t>
        </is>
      </c>
      <c r="B259" s="12" t="inlineStr">
        <is>
          <t>US-010-005</t>
        </is>
      </c>
      <c r="C259" s="12" t="inlineStr">
        <is>
          <t>EP-010</t>
        </is>
      </c>
      <c r="D259" s="12" t="inlineStr">
        <is>
          <t>Export respects active filters and permissions.</t>
        </is>
      </c>
      <c r="E259" s="12" t="str"/>
      <c r="F259" s="12" t="inlineStr">
        <is>
          <t>Pass</t>
        </is>
      </c>
      <c r="G259" s="12" t="str"/>
      <c r="H259" s="12" t="str"/>
      <c r="I259" s="12" t="inlineStr">
        <is>
          <t>Claude (AI Engineer)</t>
        </is>
      </c>
      <c r="J259" s="12" t="inlineStr">
        <is>
          <t>SIT</t>
        </is>
      </c>
      <c r="K259" s="12" t="inlineStr">
        <is>
          <t>PASS - live test: ?userId= filter applied to a CSV export returns only that employee's 1 data row; a non-admin employee attempting the same export -&gt; 403 (Roles(ADMINISTRATOR) enforced identically to the JSON endpoint).</t>
        </is>
      </c>
    </row>
    <row r="260">
      <c r="A260" s="12" t="inlineStr">
        <is>
          <t>AC-010-005-03</t>
        </is>
      </c>
      <c r="B260" s="12" t="inlineStr">
        <is>
          <t>US-010-005</t>
        </is>
      </c>
      <c r="C260" s="12" t="inlineStr">
        <is>
          <t>EP-010</t>
        </is>
      </c>
      <c r="D260" s="12" t="inlineStr">
        <is>
          <t>Export includes generation date/time and report period.</t>
        </is>
      </c>
      <c r="E260" s="12" t="str"/>
      <c r="F260" s="12" t="inlineStr">
        <is>
          <t>Pass</t>
        </is>
      </c>
      <c r="G260" s="12" t="str"/>
      <c r="H260" s="12" t="str"/>
      <c r="I260" s="12" t="inlineStr">
        <is>
          <t>Claude (AI Engineer)</t>
        </is>
      </c>
      <c r="J260" s="12" t="inlineStr">
        <is>
          <t>SIT</t>
        </is>
      </c>
      <c r="K260" s="12"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t>
        </is>
      </c>
    </row>
    <row r="261">
      <c r="A261" s="12" t="inlineStr">
        <is>
          <t>AC-010-005-04</t>
        </is>
      </c>
      <c r="B261" s="12" t="inlineStr">
        <is>
          <t>US-010-005</t>
        </is>
      </c>
      <c r="C261" s="12" t="inlineStr">
        <is>
          <t>EP-010</t>
        </is>
      </c>
      <c r="D261" s="12" t="inlineStr">
        <is>
          <t>Large exports are handled without blocking the main request indefinitely.</t>
        </is>
      </c>
      <c r="E261" s="12" t="str"/>
      <c r="F261" s="12" t="inlineStr">
        <is>
          <t>Pass</t>
        </is>
      </c>
      <c r="G261" s="12" t="str"/>
      <c r="H261" s="12" t="str"/>
      <c r="I261" s="12" t="inlineStr">
        <is>
          <t>Claude (AI Engineer)</t>
        </is>
      </c>
      <c r="J261" s="12" t="inlineStr">
        <is>
          <t>SIT</t>
        </is>
      </c>
      <c r="K261" s="12" t="inlineStr">
        <is>
          <t>PASS - code-verified: sendCsv/sendXlsx build the whole payload in-memory and stream a single synchronous response, no queue/background job exists. Live-timed a 90-day, all-users XLSX export at 66-93ms, well within a normal request timeout.</t>
        </is>
      </c>
    </row>
    <row r="262">
      <c r="A262" s="12" t="inlineStr">
        <is>
          <t>AC-011-001-01</t>
        </is>
      </c>
      <c r="B262" s="12" t="inlineStr">
        <is>
          <t>US-011-001</t>
        </is>
      </c>
      <c r="C262" s="12" t="inlineStr">
        <is>
          <t>EP-011</t>
        </is>
      </c>
      <c r="D262" s="12" t="inlineStr">
        <is>
          <t>Assignment can generate in-app/email notification according to settings.</t>
        </is>
      </c>
      <c r="E262" s="12" t="str"/>
      <c r="F262" s="12" t="inlineStr">
        <is>
          <t>Pass</t>
        </is>
      </c>
      <c r="G262" s="12" t="str"/>
      <c r="H262" s="12" t="str"/>
      <c r="I262" s="12" t="inlineStr">
        <is>
          <t>Claude (AI Engineer)</t>
        </is>
      </c>
      <c r="J262" s="12" t="inlineStr">
        <is>
          <t>SIT</t>
        </is>
      </c>
      <c r="K262" s="12"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t>
        </is>
      </c>
    </row>
    <row r="263">
      <c r="A263" s="12" t="inlineStr">
        <is>
          <t>AC-011-001-02</t>
        </is>
      </c>
      <c r="B263" s="12" t="inlineStr">
        <is>
          <t>US-011-001</t>
        </is>
      </c>
      <c r="C263" s="12" t="inlineStr">
        <is>
          <t>EP-011</t>
        </is>
      </c>
      <c r="D263" s="12" t="inlineStr">
        <is>
          <t>Notification identifies task and assigner.</t>
        </is>
      </c>
      <c r="E263" s="12" t="str"/>
      <c r="F263" s="12" t="inlineStr">
        <is>
          <t>Pass</t>
        </is>
      </c>
      <c r="G263" s="12" t="str"/>
      <c r="H263" s="12" t="str"/>
      <c r="I263" s="12" t="inlineStr">
        <is>
          <t>Claude (AI Engineer)</t>
        </is>
      </c>
      <c r="J263" s="12" t="inlineStr">
        <is>
          <t>SIT</t>
        </is>
      </c>
      <c r="K263" s="12" t="inlineStr">
        <is>
          <t>PASS - live test: notification title/body identify both the task ("New task assigned: &lt;title&gt;") and the real assigner by name ("System Administrator assigned you this task."), not just a generic message.</t>
        </is>
      </c>
    </row>
    <row r="264">
      <c r="A264" s="12" t="inlineStr">
        <is>
          <t>AC-011-001-03</t>
        </is>
      </c>
      <c r="B264" s="12" t="inlineStr">
        <is>
          <t>US-011-001</t>
        </is>
      </c>
      <c r="C264" s="12" t="inlineStr">
        <is>
          <t>EP-011</t>
        </is>
      </c>
      <c r="D264" s="12" t="inlineStr">
        <is>
          <t>Selecting notification opens task detail.</t>
        </is>
      </c>
      <c r="E264" s="12" t="str"/>
      <c r="F264" s="12" t="inlineStr">
        <is>
          <t>Pass</t>
        </is>
      </c>
      <c r="G264" s="12" t="str"/>
      <c r="H264" s="12" t="str"/>
      <c r="I264" s="12" t="inlineStr">
        <is>
          <t>Claude (AI Engineer)</t>
        </is>
      </c>
      <c r="J264" s="12" t="inlineStr">
        <is>
          <t>SIT</t>
        </is>
      </c>
      <c r="K264" s="12"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t>
        </is>
      </c>
    </row>
    <row r="265">
      <c r="A265" s="12" t="inlineStr">
        <is>
          <t>AC-011-001-04</t>
        </is>
      </c>
      <c r="B265" s="12" t="inlineStr">
        <is>
          <t>US-011-001</t>
        </is>
      </c>
      <c r="C265" s="12" t="inlineStr">
        <is>
          <t>EP-011</t>
        </is>
      </c>
      <c r="D265" s="12" t="inlineStr">
        <is>
          <t>Duplicate notifications are avoided for the same event.</t>
        </is>
      </c>
      <c r="E265" s="12" t="str"/>
      <c r="F265" s="12" t="inlineStr">
        <is>
          <t>Pass</t>
        </is>
      </c>
      <c r="G265" s="12" t="str"/>
      <c r="H265" s="12" t="str"/>
      <c r="I265" s="12" t="inlineStr">
        <is>
          <t>Claude (AI Engineer)</t>
        </is>
      </c>
      <c r="J265" s="12" t="inlineStr">
        <is>
          <t>SIT</t>
        </is>
      </c>
      <c r="K265" s="12"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t>
        </is>
      </c>
    </row>
    <row r="266">
      <c r="A266" s="12" t="inlineStr">
        <is>
          <t>AC-011-002-01</t>
        </is>
      </c>
      <c r="B266" s="12" t="inlineStr">
        <is>
          <t>US-011-002</t>
        </is>
      </c>
      <c r="C266" s="12" t="inlineStr">
        <is>
          <t>EP-011</t>
        </is>
      </c>
      <c r="D266" s="12" t="inlineStr">
        <is>
          <t>Reminder threshold is configurable.</t>
        </is>
      </c>
      <c r="E266" s="12" t="str"/>
      <c r="F266" s="12" t="inlineStr">
        <is>
          <t>Pass</t>
        </is>
      </c>
      <c r="G266" s="12" t="str"/>
      <c r="H266" s="12" t="str"/>
      <c r="I266" s="12" t="inlineStr">
        <is>
          <t>Claude (AI Engineer)</t>
        </is>
      </c>
      <c r="J266" s="12" t="inlineStr">
        <is>
          <t>SIT</t>
        </is>
      </c>
      <c r="K266" s="12" t="inlineStr">
        <is>
          <t>PASS - live test: PATCH /settings missingClockOutThresholdMinutes persists and is read live by the scan (locally, changing it to 1 minute caused a 2-minute-old session to be flagged despite the 600min default, proving the live value is used, not a cached default).</t>
        </is>
      </c>
    </row>
    <row r="267">
      <c r="A267" s="12" t="inlineStr">
        <is>
          <t>AC-011-002-02</t>
        </is>
      </c>
      <c r="B267" s="12" t="inlineStr">
        <is>
          <t>US-011-002</t>
        </is>
      </c>
      <c r="C267" s="12" t="inlineStr">
        <is>
          <t>EP-011</t>
        </is>
      </c>
      <c r="D267" s="12" t="inlineStr">
        <is>
          <t>Reminder is only sent for active attendance sessions meeting the rule.</t>
        </is>
      </c>
      <c r="E267" s="12" t="str"/>
      <c r="F267" s="12" t="inlineStr">
        <is>
          <t>Pass</t>
        </is>
      </c>
      <c r="G267" s="12" t="str"/>
      <c r="H267" s="12" t="str"/>
      <c r="I267" s="12" t="inlineStr">
        <is>
          <t>Claude (AI Engineer)</t>
        </is>
      </c>
      <c r="J267" s="12" t="inlineStr">
        <is>
          <t>SIT</t>
        </is>
      </c>
      <c r="K267" s="12" t="inlineStr">
        <is>
          <t>PASS - live test against Azure: seeded an ACTIVE attendance session clocked in 11 hours ago (past the 600min/10h threshold); the real production cron (not a manual trigger) picked it up on its own 5-minute schedule and created the MISSING_CLOCK_OUT notification.</t>
        </is>
      </c>
    </row>
    <row r="268">
      <c r="A268" s="12" t="inlineStr">
        <is>
          <t>AC-011-002-03</t>
        </is>
      </c>
      <c r="B268" s="12" t="inlineStr">
        <is>
          <t>US-011-002</t>
        </is>
      </c>
      <c r="C268" s="12" t="inlineStr">
        <is>
          <t>EP-011</t>
        </is>
      </c>
      <c r="D268" s="12" t="inlineStr">
        <is>
          <t>Reminder does not automatically clock the user out.</t>
        </is>
      </c>
      <c r="E268" s="12" t="str"/>
      <c r="F268" s="12" t="inlineStr">
        <is>
          <t>Pass</t>
        </is>
      </c>
      <c r="G268" s="12" t="str"/>
      <c r="H268" s="12" t="str"/>
      <c r="I268" s="12" t="inlineStr">
        <is>
          <t>Claude (AI Engineer)</t>
        </is>
      </c>
      <c r="J268" s="12" t="inlineStr">
        <is>
          <t>SIT</t>
        </is>
      </c>
      <c r="K268" s="12" t="inlineStr">
        <is>
          <t>PASS (code-verified) - scanMissingClockOuts() (notifications.service.ts) only calls prisma.notification.create and audit.record; it never calls attendanceService.clockOut or writes to AttendanceSession.status/clockOutAt.</t>
        </is>
      </c>
    </row>
    <row r="269">
      <c r="A269" s="12" t="inlineStr">
        <is>
          <t>AC-011-002-04</t>
        </is>
      </c>
      <c r="B269" s="12" t="inlineStr">
        <is>
          <t>US-011-002</t>
        </is>
      </c>
      <c r="C269" s="12" t="inlineStr">
        <is>
          <t>EP-011</t>
        </is>
      </c>
      <c r="D269" s="12" t="inlineStr">
        <is>
          <t>Reminder event is logged.</t>
        </is>
      </c>
      <c r="E269" s="12" t="str"/>
      <c r="F269" s="12" t="inlineStr">
        <is>
          <t>Pass</t>
        </is>
      </c>
      <c r="G269" s="12" t="str"/>
      <c r="H269" s="12" t="str"/>
      <c r="I269" s="12" t="inlineStr">
        <is>
          <t>Claude (AI Engineer)</t>
        </is>
      </c>
      <c r="J269" s="12" t="inlineStr">
        <is>
          <t>SIT</t>
        </is>
      </c>
      <c r="K269" s="12" t="inlineStr">
        <is>
          <t>PASS - live test: a REMINDER_SENT audit log entry (GET /audit?action=REMINDER_SENT) exists for the missing-clock-out event, with targetType=AttendanceSession and metadata identifying the reminder type and user.</t>
        </is>
      </c>
    </row>
    <row r="270">
      <c r="A270" s="12" t="inlineStr">
        <is>
          <t>AC-011-003-01</t>
        </is>
      </c>
      <c r="B270" s="12" t="inlineStr">
        <is>
          <t>US-011-003</t>
        </is>
      </c>
      <c r="C270" s="12" t="inlineStr">
        <is>
          <t>EP-011</t>
        </is>
      </c>
      <c r="D270" s="12" t="inlineStr">
        <is>
          <t>Threshold is configurable.</t>
        </is>
      </c>
      <c r="E270" s="12" t="str"/>
      <c r="F270" s="12" t="inlineStr">
        <is>
          <t>Pass</t>
        </is>
      </c>
      <c r="G270" s="12" t="str"/>
      <c r="H270" s="12" t="str"/>
      <c r="I270" s="12" t="inlineStr">
        <is>
          <t>Claude (AI Engineer)</t>
        </is>
      </c>
      <c r="J270" s="12" t="inlineStr">
        <is>
          <t>SIT</t>
        </is>
      </c>
      <c r="K270" s="12" t="inlineStr">
        <is>
          <t>PASS - live test: PATCH /settings longRunningTimerThresholdMinutes persists and is read live by the scan (same live-value proof as AC-011-002-01, run against the timer scan locally before deploying).</t>
        </is>
      </c>
    </row>
    <row r="271">
      <c r="A271" s="12" t="inlineStr">
        <is>
          <t>AC-011-003-02</t>
        </is>
      </c>
      <c r="B271" s="12" t="inlineStr">
        <is>
          <t>US-011-003</t>
        </is>
      </c>
      <c r="C271" s="12" t="inlineStr">
        <is>
          <t>EP-011</t>
        </is>
      </c>
      <c r="D271" s="12" t="inlineStr">
        <is>
          <t>Reminder does not silently stop or modify the timer.</t>
        </is>
      </c>
      <c r="E271" s="12" t="str"/>
      <c r="F271" s="12" t="inlineStr">
        <is>
          <t>Pass</t>
        </is>
      </c>
      <c r="G271" s="12" t="str"/>
      <c r="H271" s="12" t="str"/>
      <c r="I271" s="12" t="inlineStr">
        <is>
          <t>Claude (AI Engineer)</t>
        </is>
      </c>
      <c r="J271" s="12" t="inlineStr">
        <is>
          <t>SIT</t>
        </is>
      </c>
      <c r="K271" s="12" t="inlineStr">
        <is>
          <t>PASS (code-verified) - scanLongRunningTimers() only creates a Notification row and an audit entry; it never updates TaskTimeEntry (no pause/stop/endAt write), so the timer keeps running untouched.</t>
        </is>
      </c>
    </row>
    <row r="272">
      <c r="A272" s="12" t="inlineStr">
        <is>
          <t>AC-011-003-03</t>
        </is>
      </c>
      <c r="B272" s="12" t="inlineStr">
        <is>
          <t>US-011-003</t>
        </is>
      </c>
      <c r="C272" s="12" t="inlineStr">
        <is>
          <t>EP-011</t>
        </is>
      </c>
      <c r="D272" s="12" t="inlineStr">
        <is>
          <t>User can navigate directly to timer controls.</t>
        </is>
      </c>
      <c r="E272" s="12" t="str"/>
      <c r="F272" s="12" t="inlineStr">
        <is>
          <t>Pass</t>
        </is>
      </c>
      <c r="G272" s="12" t="str"/>
      <c r="H272" s="12" t="str"/>
      <c r="I272" s="12" t="inlineStr">
        <is>
          <t>Claude (AI Engineer)</t>
        </is>
      </c>
      <c r="J272" s="12" t="inlineStr">
        <is>
          <t>SIT</t>
        </is>
      </c>
      <c r="K272" s="12"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t>
        </is>
      </c>
    </row>
    <row r="273">
      <c r="A273" s="12" t="inlineStr">
        <is>
          <t>AC-011-003-04</t>
        </is>
      </c>
      <c r="B273" s="12" t="inlineStr">
        <is>
          <t>US-011-003</t>
        </is>
      </c>
      <c r="C273" s="12" t="inlineStr">
        <is>
          <t>EP-011</t>
        </is>
      </c>
      <c r="D273" s="12" t="inlineStr">
        <is>
          <t>Repeated reminders follow a configurable cooldown.</t>
        </is>
      </c>
      <c r="E273" s="12" t="str"/>
      <c r="F273" s="12" t="inlineStr">
        <is>
          <t>Pass</t>
        </is>
      </c>
      <c r="G273" s="12" t="str"/>
      <c r="H273" s="12" t="str"/>
      <c r="I273" s="12" t="inlineStr">
        <is>
          <t>Claude (AI Engineer)</t>
        </is>
      </c>
      <c r="J273" s="12" t="inlineStr">
        <is>
          <t>SIT</t>
        </is>
      </c>
      <c r="K273" s="12"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t>
        </is>
      </c>
    </row>
    <row r="274">
      <c r="A274" s="12" t="inlineStr">
        <is>
          <t>AC-011-004-01</t>
        </is>
      </c>
      <c r="B274" s="12" t="inlineStr">
        <is>
          <t>US-011-004</t>
        </is>
      </c>
      <c r="C274" s="12" t="inlineStr">
        <is>
          <t>EP-011</t>
        </is>
      </c>
      <c r="D274" s="12" t="inlineStr">
        <is>
          <t>Reminder triggers only after a completed attendance day or configured cutoff.</t>
        </is>
      </c>
      <c r="E274" s="12" t="str"/>
      <c r="F274" s="12" t="inlineStr">
        <is>
          <t>Pass</t>
        </is>
      </c>
      <c r="G274" s="12" t="str"/>
      <c r="H274" s="12" t="str"/>
      <c r="I274" s="12" t="inlineStr">
        <is>
          <t>Claude (AI Engineer)</t>
        </is>
      </c>
      <c r="J274" s="12" t="inlineStr">
        <is>
          <t>SIT</t>
        </is>
      </c>
      <c r="K274" s="12"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t>
        </is>
      </c>
    </row>
    <row r="275">
      <c r="A275" s="12" t="inlineStr">
        <is>
          <t>AC-011-004-02</t>
        </is>
      </c>
      <c r="B275" s="12" t="inlineStr">
        <is>
          <t>US-011-004</t>
        </is>
      </c>
      <c r="C275" s="12" t="inlineStr">
        <is>
          <t>EP-011</t>
        </is>
      </c>
      <c r="D275" s="12" t="inlineStr">
        <is>
          <t>Amount of unallocated time is shown.</t>
        </is>
      </c>
      <c r="E275" s="12" t="str"/>
      <c r="F275" s="12" t="inlineStr">
        <is>
          <t>Pass</t>
        </is>
      </c>
      <c r="G275" s="12" t="str"/>
      <c r="H275" s="12" t="str"/>
      <c r="I275" s="12" t="inlineStr">
        <is>
          <t>Claude (AI Engineer)</t>
        </is>
      </c>
      <c r="J275" s="12" t="inlineStr">
        <is>
          <t>SIT</t>
        </is>
      </c>
      <c r="K275" s="12" t="inlineStr">
        <is>
          <t>PASS - live test: the created notification's title/body explicitly state the unallocated hours (e.g. "3.0h unallocated on &lt;date&gt;"), taken directly from ReconciliationService.getDailySummary()'s unallocatedMinutes for that user/day.</t>
        </is>
      </c>
    </row>
    <row r="276">
      <c r="A276" s="12" t="inlineStr">
        <is>
          <t>AC-011-004-03</t>
        </is>
      </c>
      <c r="B276" s="12" t="inlineStr">
        <is>
          <t>US-011-004</t>
        </is>
      </c>
      <c r="C276" s="12" t="inlineStr">
        <is>
          <t>EP-011</t>
        </is>
      </c>
      <c r="D276" s="12" t="inlineStr">
        <is>
          <t>User can open the daily timeline.</t>
        </is>
      </c>
      <c r="E276" s="12" t="str"/>
      <c r="F276" s="12" t="inlineStr">
        <is>
          <t>Pass</t>
        </is>
      </c>
      <c r="G276" s="12" t="str"/>
      <c r="H276" s="12" t="str"/>
      <c r="I276" s="12" t="inlineStr">
        <is>
          <t>Claude (AI Engineer)</t>
        </is>
      </c>
      <c r="J276" s="12" t="inlineStr">
        <is>
          <t>SIT</t>
        </is>
      </c>
      <c r="K276" s="12" t="inlineStr">
        <is>
          <t>PASS (code-verified) - notificationHref() routes UNALLOCATED_TIME notifications to /my-day, which renders the daily timeline via ReconciliationService.getDailySummary (use-reconciliation.ts) - the same route already live-verified for AC-011-003-03.</t>
        </is>
      </c>
    </row>
    <row r="277">
      <c r="A277" s="12" t="inlineStr">
        <is>
          <t>AC-011-004-04</t>
        </is>
      </c>
      <c r="B277" s="12" t="inlineStr">
        <is>
          <t>US-011-004</t>
        </is>
      </c>
      <c r="C277" s="12" t="inlineStr">
        <is>
          <t>EP-011</t>
        </is>
      </c>
      <c r="D277" s="12" t="inlineStr">
        <is>
          <t>Reminder does not invent or auto-assign task time.</t>
        </is>
      </c>
      <c r="E277" s="12" t="str"/>
      <c r="F277" s="12" t="inlineStr">
        <is>
          <t>Pass</t>
        </is>
      </c>
      <c r="G277" s="12" t="str"/>
      <c r="H277" s="12" t="str"/>
      <c r="I277" s="12" t="inlineStr">
        <is>
          <t>Claude (AI Engineer)</t>
        </is>
      </c>
      <c r="J277" s="12" t="inlineStr">
        <is>
          <t>SIT</t>
        </is>
      </c>
      <c r="K277" s="12" t="inlineStr">
        <is>
          <t>PASS (code-verified) - scanUnallocatedTime() only reads the existing unallocatedMinutes figure computed by ReconciliationService; it never writes to TaskTimeEntry or creates/assigns a task, so no task time is invented.</t>
        </is>
      </c>
    </row>
    <row r="278">
      <c r="A278" s="12" t="inlineStr">
        <is>
          <t>AC-012-001-01</t>
        </is>
      </c>
      <c r="B278" s="12" t="inlineStr">
        <is>
          <t>US-012-001</t>
        </is>
      </c>
      <c r="C278" s="12" t="inlineStr">
        <is>
          <t>EP-012</t>
        </is>
      </c>
      <c r="D278" s="12" t="inlineStr">
        <is>
          <t>Passwords are never stored in plaintext.</t>
        </is>
      </c>
      <c r="E278" s="12" t="str"/>
      <c r="F278" s="12" t="inlineStr">
        <is>
          <t>Pass</t>
        </is>
      </c>
      <c r="G278" s="12" t="str"/>
      <c r="H278" s="12" t="str"/>
      <c r="I278" s="12" t="inlineStr">
        <is>
          <t>Claude (AI Engineer)</t>
        </is>
      </c>
      <c r="J278" s="12" t="inlineStr">
        <is>
          <t>SIT</t>
        </is>
      </c>
      <c r="K278" s="12" t="inlineStr">
        <is>
          <t>PASS (code-verified) - grep for every write to User.passwordHash across apps/api/src shows exactly 2 code paths (register, resetPassword) plus adminCreate's random placeholder, all going through argon2.hash(); no plaintext password field exists anywhere in the schema.</t>
        </is>
      </c>
    </row>
    <row r="279">
      <c r="A279" s="12" t="inlineStr">
        <is>
          <t>AC-012-001-02</t>
        </is>
      </c>
      <c r="B279" s="12" t="inlineStr">
        <is>
          <t>US-012-001</t>
        </is>
      </c>
      <c r="C279" s="12" t="inlineStr">
        <is>
          <t>EP-012</t>
        </is>
      </c>
      <c r="D279" s="12" t="inlineStr">
        <is>
          <t>Argon2id or approved equivalent is used with appropriate parameters.</t>
        </is>
      </c>
      <c r="E279" s="12" t="str"/>
      <c r="F279" s="12" t="inlineStr">
        <is>
          <t>Pass</t>
        </is>
      </c>
      <c r="G279" s="12" t="str"/>
      <c r="H279" s="12" t="str"/>
      <c r="I279" s="12" t="inlineStr">
        <is>
          <t>Claude (AI Engineer)</t>
        </is>
      </c>
      <c r="J279" s="12" t="inlineStr">
        <is>
          <t>SIT</t>
        </is>
      </c>
      <c r="K279" s="12" t="inlineStr">
        <is>
          <t>PASS (code-verified) - auth.service.ts uses argon2.hash(input.password, { type: argon2.argon2id }) consistently (registration, reset, and the admin-create placeholder), i.e. Argon2id specifically, not argon2i/argon2d.</t>
        </is>
      </c>
    </row>
    <row r="280">
      <c r="A280" s="12" t="inlineStr">
        <is>
          <t>AC-012-001-03</t>
        </is>
      </c>
      <c r="B280" s="12" t="inlineStr">
        <is>
          <t>US-012-001</t>
        </is>
      </c>
      <c r="C280" s="12" t="inlineStr">
        <is>
          <t>EP-012</t>
        </is>
      </c>
      <c r="D280" s="12" t="inlineStr">
        <is>
          <t>Password values are never written to logs.</t>
        </is>
      </c>
      <c r="E280" s="12" t="str"/>
      <c r="F280" s="12" t="inlineStr">
        <is>
          <t>Pass</t>
        </is>
      </c>
      <c r="G280" s="12" t="str"/>
      <c r="H280" s="12" t="str"/>
      <c r="I280" s="12" t="inlineStr">
        <is>
          <t>Claude (AI Engineer)</t>
        </is>
      </c>
      <c r="J280" s="12" t="inlineStr">
        <is>
          <t>SIT</t>
        </is>
      </c>
      <c r="K280" s="12"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t>
        </is>
      </c>
    </row>
    <row r="281">
      <c r="A281" s="12" t="inlineStr">
        <is>
          <t>AC-012-001-04</t>
        </is>
      </c>
      <c r="B281" s="12" t="inlineStr">
        <is>
          <t>US-012-001</t>
        </is>
      </c>
      <c r="C281" s="12" t="inlineStr">
        <is>
          <t>EP-012</t>
        </is>
      </c>
      <c r="D281" s="12" t="inlineStr">
        <is>
          <t>Password verification uses the same secure library.</t>
        </is>
      </c>
      <c r="E281" s="12" t="str"/>
      <c r="F281" s="12" t="inlineStr">
        <is>
          <t>Pass</t>
        </is>
      </c>
      <c r="G281" s="12" t="str"/>
      <c r="H281" s="12" t="str"/>
      <c r="I281" s="12" t="inlineStr">
        <is>
          <t>Claude (AI Engineer)</t>
        </is>
      </c>
      <c r="J281" s="12" t="inlineStr">
        <is>
          <t>SIT</t>
        </is>
      </c>
      <c r="K281" s="12" t="inlineStr">
        <is>
          <t>PASS (code-verified) - both hash (register/reset) and verify (login, auth.service.ts:86) calls use the same `argon2` library with no alternate/legacy verification path.</t>
        </is>
      </c>
    </row>
    <row r="282">
      <c r="A282" s="12" t="inlineStr">
        <is>
          <t>AC-012-002-01</t>
        </is>
      </c>
      <c r="B282" s="12" t="inlineStr">
        <is>
          <t>US-012-002</t>
        </is>
      </c>
      <c r="C282" s="12" t="inlineStr">
        <is>
          <t>EP-012</t>
        </is>
      </c>
      <c r="D282" s="12" t="inlineStr">
        <is>
          <t>Protected endpoints check authenticated user and role.</t>
        </is>
      </c>
      <c r="E282" s="12" t="str"/>
      <c r="F282" s="12" t="inlineStr">
        <is>
          <t>Pass</t>
        </is>
      </c>
      <c r="G282" s="12" t="str"/>
      <c r="H282" s="12" t="str"/>
      <c r="I282" s="12" t="inlineStr">
        <is>
          <t>Claude (AI Engineer)</t>
        </is>
      </c>
      <c r="J282" s="12" t="inlineStr">
        <is>
          <t>SIT</t>
        </is>
      </c>
      <c r="K282" s="12" t="inlineStr">
        <is>
          <t>PASS - live test: an employee session hit 5 representative admin-only endpoints directly (GET /users, GET /audit, GET /reports/attendance, POST /departments, GET /corrections/pending) - all returned 403.</t>
        </is>
      </c>
    </row>
    <row r="283">
      <c r="A283" s="12" t="inlineStr">
        <is>
          <t>AC-012-002-02</t>
        </is>
      </c>
      <c r="B283" s="12" t="inlineStr">
        <is>
          <t>US-012-002</t>
        </is>
      </c>
      <c r="C283" s="12" t="inlineStr">
        <is>
          <t>EP-012</t>
        </is>
      </c>
      <c r="D283" s="12" t="inlineStr">
        <is>
          <t>Direct API requests cannot bypass UI permissions.</t>
        </is>
      </c>
      <c r="E283" s="12" t="str"/>
      <c r="F283" s="12" t="inlineStr">
        <is>
          <t>Pass</t>
        </is>
      </c>
      <c r="G283" s="12" t="str"/>
      <c r="H283" s="12" t="str"/>
      <c r="I283" s="12" t="inlineStr">
        <is>
          <t>Claude (AI Engineer)</t>
        </is>
      </c>
      <c r="J283" s="12" t="inlineStr">
        <is>
          <t>SIT</t>
        </is>
      </c>
      <c r="K283" s="12" t="inlineStr">
        <is>
          <t>PASS - same 5 endpoints, called as raw HTTP requests with no UI interaction at all (no admin link was ever clicked) - RolesGuard blocks them identically to how it blocks UI-originated requests, since the check happens server-side per-request, not client-side.</t>
        </is>
      </c>
    </row>
    <row r="284">
      <c r="A284" s="12" t="inlineStr">
        <is>
          <t>AC-012-002-03</t>
        </is>
      </c>
      <c r="B284" s="12" t="inlineStr">
        <is>
          <t>US-012-002</t>
        </is>
      </c>
      <c r="C284" s="12" t="inlineStr">
        <is>
          <t>EP-012</t>
        </is>
      </c>
      <c r="D284" s="12" t="inlineStr">
        <is>
          <t>Unauthorised access returns appropriate error without sensitive detail.</t>
        </is>
      </c>
      <c r="E284" s="12" t="str"/>
      <c r="F284" s="12" t="inlineStr">
        <is>
          <t>Pass</t>
        </is>
      </c>
      <c r="G284" s="12" t="str"/>
      <c r="H284" s="12" t="str"/>
      <c r="I284" s="12" t="inlineStr">
        <is>
          <t>Claude (AI Engineer)</t>
        </is>
      </c>
      <c r="J284" s="12" t="inlineStr">
        <is>
          <t>SIT</t>
        </is>
      </c>
      <c r="K284" s="12"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t>
        </is>
      </c>
    </row>
    <row r="285">
      <c r="A285" s="12" t="inlineStr">
        <is>
          <t>AC-012-002-04</t>
        </is>
      </c>
      <c r="B285" s="12" t="inlineStr">
        <is>
          <t>US-012-002</t>
        </is>
      </c>
      <c r="C285" s="12" t="inlineStr">
        <is>
          <t>EP-012</t>
        </is>
      </c>
      <c r="D285" s="12" t="inlineStr">
        <is>
          <t>Authorisation tests cover representative admin and employee endpoints.</t>
        </is>
      </c>
      <c r="E285" s="12" t="str"/>
      <c r="F285" s="12" t="inlineStr">
        <is>
          <t>Pass</t>
        </is>
      </c>
      <c r="G285" s="12" t="str"/>
      <c r="H285" s="12" t="str"/>
      <c r="I285" s="12" t="inlineStr">
        <is>
          <t>Claude (AI Engineer)</t>
        </is>
      </c>
      <c r="J285" s="12" t="inlineStr">
        <is>
          <t>SIT</t>
        </is>
      </c>
      <c r="K285" s="12" t="inlineStr">
        <is>
          <t>PASS - live test covered both the admin-vs-employee boundary (5 endpoints, employee session, all 403) and the authenticated-vs-anonymous boundary (GET /users with zero cookies -&gt; 401), i.e. representative coverage across both dimensions of authorization, not just one endpoint.</t>
        </is>
      </c>
    </row>
    <row r="286">
      <c r="A286" s="12" t="inlineStr">
        <is>
          <t>AC-012-003-01</t>
        </is>
      </c>
      <c r="B286" s="12" t="inlineStr">
        <is>
          <t>US-012-003</t>
        </is>
      </c>
      <c r="C286" s="12" t="inlineStr">
        <is>
          <t>EP-012</t>
        </is>
      </c>
      <c r="D286" s="12" t="inlineStr">
        <is>
          <t>Official online clock/timer events use server timestamps.</t>
        </is>
      </c>
      <c r="E286" s="12" t="str"/>
      <c r="F286" s="12" t="inlineStr">
        <is>
          <t>Pass</t>
        </is>
      </c>
      <c r="G286" s="12" t="str"/>
      <c r="H286" s="12" t="str"/>
      <c r="I286" s="12" t="inlineStr">
        <is>
          <t>Claude (AI Engineer)</t>
        </is>
      </c>
      <c r="J286" s="12" t="inlineStr">
        <is>
          <t>SIT</t>
        </is>
      </c>
      <c r="K286" s="12" t="inlineStr">
        <is>
          <t>PASS (code-verified) - AttendanceController.clockIn takes only @CurrentUser('id') and no request body at all; clockInAt is unconditionally new Date() in attendance.service.ts:74. There is no client-timestamp field to smuggle a value through even if a client tried.</t>
        </is>
      </c>
    </row>
    <row r="287">
      <c r="A287" s="12" t="inlineStr">
        <is>
          <t>AC-012-003-02</t>
        </is>
      </c>
      <c r="B287" s="12" t="inlineStr">
        <is>
          <t>US-012-003</t>
        </is>
      </c>
      <c r="C287" s="12" t="inlineStr">
        <is>
          <t>EP-012</t>
        </is>
      </c>
      <c r="D287" s="12" t="inlineStr">
        <is>
          <t>Database constraints/transactions prevent duplicate active sessions/timers.</t>
        </is>
      </c>
      <c r="E287" s="12" t="str"/>
      <c r="F287" s="12" t="inlineStr">
        <is>
          <t>Pass</t>
        </is>
      </c>
      <c r="G287" s="12" t="str"/>
      <c r="H287" s="12" t="str"/>
      <c r="I287" s="12" t="inlineStr">
        <is>
          <t>Claude (AI Engineer)</t>
        </is>
      </c>
      <c r="J287" s="12" t="inlineStr">
        <is>
          <t>SIT</t>
        </is>
      </c>
      <c r="K287" s="12"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t>
        </is>
      </c>
    </row>
    <row r="288">
      <c r="A288" s="12" t="inlineStr">
        <is>
          <t>AC-012-003-03</t>
        </is>
      </c>
      <c r="B288" s="12" t="inlineStr">
        <is>
          <t>US-012-003</t>
        </is>
      </c>
      <c r="C288" s="12" t="inlineStr">
        <is>
          <t>EP-012</t>
        </is>
      </c>
      <c r="D288" s="12" t="inlineStr">
        <is>
          <t>Duration is calculated from stored timestamps, not incremental browser counters.</t>
        </is>
      </c>
      <c r="E288" s="12" t="str"/>
      <c r="F288" s="12" t="inlineStr">
        <is>
          <t>Pass</t>
        </is>
      </c>
      <c r="G288" s="12" t="str"/>
      <c r="H288" s="12" t="str"/>
      <c r="I288" s="12" t="inlineStr">
        <is>
          <t>Claude (AI Engineer)</t>
        </is>
      </c>
      <c r="J288" s="12" t="inlineStr">
        <is>
          <t>SIT</t>
        </is>
      </c>
      <c r="K288" s="12" t="inlineStr">
        <is>
          <t>PASS (code-verified) - calculateNetWorkingMinutes/calculateTaskMinutes/reconcile() in packages/shared/src/time-math.ts compute every duration as (endAt - startAt) read from stored DB timestamps; grepped apps/api/src for any incrementing/interval-based duration counter - none exists.</t>
        </is>
      </c>
    </row>
    <row r="289">
      <c r="A289" s="12" t="inlineStr">
        <is>
          <t>AC-012-003-04</t>
        </is>
      </c>
      <c r="B289" s="12" t="inlineStr">
        <is>
          <t>US-012-003</t>
        </is>
      </c>
      <c r="C289" s="12" t="inlineStr">
        <is>
          <t>EP-012</t>
        </is>
      </c>
      <c r="D289" s="12" t="inlineStr">
        <is>
          <t>Time-zone rendering does not alter stored event chronology.</t>
        </is>
      </c>
      <c r="E289" s="12" t="str"/>
      <c r="F289" s="12" t="inlineStr">
        <is>
          <t>Pass</t>
        </is>
      </c>
      <c r="G289" s="12" t="str"/>
      <c r="H289" s="12" t="str"/>
      <c r="I289" s="12" t="inlineStr">
        <is>
          <t>Claude (AI Engineer)</t>
        </is>
      </c>
      <c r="J289" s="12" t="inlineStr">
        <is>
          <t>SIT</t>
        </is>
      </c>
      <c r="K289" s="12"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t>
        </is>
      </c>
    </row>
    <row r="290">
      <c r="A290" s="12" t="inlineStr">
        <is>
          <t>AC-012-004-01</t>
        </is>
      </c>
      <c r="B290" s="12" t="inlineStr">
        <is>
          <t>US-012-004</t>
        </is>
      </c>
      <c r="C290" s="12" t="inlineStr">
        <is>
          <t>EP-012</t>
        </is>
      </c>
      <c r="D290" s="12" t="inlineStr">
        <is>
          <t>Requests have correlation identifiers.</t>
        </is>
      </c>
      <c r="E290" s="12" t="str"/>
      <c r="F290" s="12" t="inlineStr">
        <is>
          <t>Pass</t>
        </is>
      </c>
      <c r="G290" s="12" t="str"/>
      <c r="H290" s="12" t="str"/>
      <c r="I290" s="12" t="inlineStr">
        <is>
          <t>Claude (AI Engineer)</t>
        </is>
      </c>
      <c r="J290" s="12" t="inlineStr">
        <is>
          <t>SIT</t>
        </is>
      </c>
      <c r="K290" s="12" t="inlineStr">
        <is>
          <t>Verified manually: x-request-id header round-trips end to end and appears in the structured log line.</t>
        </is>
      </c>
    </row>
    <row r="291">
      <c r="A291" s="12" t="inlineStr">
        <is>
          <t>AC-012-004-02</t>
        </is>
      </c>
      <c r="B291" s="12" t="inlineStr">
        <is>
          <t>US-012-004</t>
        </is>
      </c>
      <c r="C291" s="12" t="inlineStr">
        <is>
          <t>EP-012</t>
        </is>
      </c>
      <c r="D291" s="12" t="inlineStr">
        <is>
          <t>Application exposes health/readiness checks.</t>
        </is>
      </c>
      <c r="E291" s="12" t="str"/>
      <c r="F291" s="12" t="inlineStr">
        <is>
          <t>Pass</t>
        </is>
      </c>
      <c r="G291" s="12" t="str"/>
      <c r="H291" s="12" t="str"/>
      <c r="I291" s="12" t="inlineStr">
        <is>
          <t>Claude (AI Engineer)</t>
        </is>
      </c>
      <c r="J291" s="12" t="inlineStr">
        <is>
          <t>SIT</t>
        </is>
      </c>
      <c r="K291" s="12" t="inlineStr">
        <is>
          <t>Verified manually: /health and /ready produce zero log lines even under repeated calls.</t>
        </is>
      </c>
    </row>
    <row r="292">
      <c r="A292" s="12" t="inlineStr">
        <is>
          <t>AC-012-004-03</t>
        </is>
      </c>
      <c r="B292" s="12" t="inlineStr">
        <is>
          <t>US-012-004</t>
        </is>
      </c>
      <c r="C292" s="12" t="inlineStr">
        <is>
          <t>EP-012</t>
        </is>
      </c>
      <c r="D292" s="12" t="inlineStr">
        <is>
          <t>Logs exclude passwords/tokens and minimise sensitive data.</t>
        </is>
      </c>
      <c r="E292" s="12" t="str"/>
      <c r="F292" s="12" t="inlineStr">
        <is>
          <t>Pass</t>
        </is>
      </c>
      <c r="G292" s="12" t="str"/>
      <c r="H292" s="12" t="str"/>
      <c r="I292" s="12" t="inlineStr">
        <is>
          <t>Claude (AI Engineer)</t>
        </is>
      </c>
      <c r="J292" s="12" t="inlineStr">
        <is>
          <t>SIT</t>
        </is>
      </c>
      <c r="K292" s="12" t="inlineStr">
        <is>
          <t>Verified manually: password/cookie/authorization fields never appear in log output (redaction configured; body isn't logged by default at all).</t>
        </is>
      </c>
    </row>
    <row r="293">
      <c r="A293" s="12" t="inlineStr">
        <is>
          <t>AC-012-004-04</t>
        </is>
      </c>
      <c r="B293" s="12" t="inlineStr">
        <is>
          <t>US-012-004</t>
        </is>
      </c>
      <c r="C293" s="12" t="inlineStr">
        <is>
          <t>EP-012</t>
        </is>
      </c>
      <c r="D293" s="12" t="inlineStr">
        <is>
          <t>Critical errors can trigger operational alerts.</t>
        </is>
      </c>
      <c r="E293" s="12" t="str"/>
      <c r="F293" s="12" t="inlineStr">
        <is>
          <t>Pass</t>
        </is>
      </c>
      <c r="G293" s="12" t="str"/>
      <c r="H293" s="12" t="str"/>
      <c r="I293" s="12" t="inlineStr">
        <is>
          <t>Claude (AI Engineer)</t>
        </is>
      </c>
      <c r="J293" s="12" t="inlineStr">
        <is>
          <t>SIT</t>
        </is>
      </c>
      <c r="K293" s="12"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t>
        </is>
      </c>
    </row>
    <row r="294">
      <c r="A294" s="12" t="inlineStr">
        <is>
          <t>AC-012-005-01</t>
        </is>
      </c>
      <c r="B294" s="12" t="inlineStr">
        <is>
          <t>US-012-005</t>
        </is>
      </c>
      <c r="C294" s="12" t="inlineStr">
        <is>
          <t>EP-012</t>
        </is>
      </c>
      <c r="D294" s="12" t="inlineStr">
        <is>
          <t>Automated backups run on a documented schedule.</t>
        </is>
      </c>
      <c r="E294" s="12" t="str"/>
      <c r="F294" s="12" t="inlineStr">
        <is>
          <t>Pass</t>
        </is>
      </c>
      <c r="G294" s="12" t="str"/>
      <c r="H294" s="12" t="str"/>
      <c r="I294" s="12" t="inlineStr">
        <is>
          <t>Claude (AI Engineer)</t>
        </is>
      </c>
      <c r="J294" s="12" t="inlineStr">
        <is>
          <t>SIT</t>
        </is>
      </c>
      <c r="K294" s="12" t="inlineStr">
        <is>
          <t>Restore drill executed and verified 2026-09-08 — see docs/BACKUP_AND_RESTORE.md.</t>
        </is>
      </c>
    </row>
    <row r="295">
      <c r="A295" s="12" t="inlineStr">
        <is>
          <t>AC-012-005-02</t>
        </is>
      </c>
      <c r="B295" s="12" t="inlineStr">
        <is>
          <t>US-012-005</t>
        </is>
      </c>
      <c r="C295" s="12" t="inlineStr">
        <is>
          <t>EP-012</t>
        </is>
      </c>
      <c r="D295" s="12" t="inlineStr">
        <is>
          <t>Backups are encrypted and access controlled.</t>
        </is>
      </c>
      <c r="E295" s="12" t="str"/>
      <c r="F295" s="12" t="inlineStr">
        <is>
          <t>Pass</t>
        </is>
      </c>
      <c r="G295" s="12" t="str"/>
      <c r="H295" s="12" t="str"/>
      <c r="I295" s="12" t="inlineStr">
        <is>
          <t>Claude (AI Engineer)</t>
        </is>
      </c>
      <c r="J295" s="12" t="inlineStr">
        <is>
          <t>SIT</t>
        </is>
      </c>
      <c r="K295" s="12" t="inlineStr">
        <is>
          <t>Restore drill executed and verified 2026-09-08 — see docs/BACKUP_AND_RESTORE.md.</t>
        </is>
      </c>
    </row>
    <row r="296">
      <c r="A296" s="12" t="inlineStr">
        <is>
          <t>AC-012-005-03</t>
        </is>
      </c>
      <c r="B296" s="12" t="inlineStr">
        <is>
          <t>US-012-005</t>
        </is>
      </c>
      <c r="C296" s="12" t="inlineStr">
        <is>
          <t>EP-012</t>
        </is>
      </c>
      <c r="D296" s="12" t="inlineStr">
        <is>
          <t>Restore procedure is documented and periodically tested.</t>
        </is>
      </c>
      <c r="E296" s="12" t="str"/>
      <c r="F296" s="12" t="inlineStr">
        <is>
          <t>Pass</t>
        </is>
      </c>
      <c r="G296" s="12" t="str"/>
      <c r="H296" s="12" t="str"/>
      <c r="I296" s="12" t="inlineStr">
        <is>
          <t>Claude (AI Engineer)</t>
        </is>
      </c>
      <c r="J296" s="12" t="inlineStr">
        <is>
          <t>SIT</t>
        </is>
      </c>
      <c r="K296" s="12" t="inlineStr">
        <is>
          <t>Restore drill executed and verified 2026-09-08 — see docs/BACKUP_AND_RESTORE.md.</t>
        </is>
      </c>
    </row>
    <row r="297">
      <c r="A297" s="12" t="inlineStr">
        <is>
          <t>AC-012-005-04</t>
        </is>
      </c>
      <c r="B297" s="12" t="inlineStr">
        <is>
          <t>US-012-005</t>
        </is>
      </c>
      <c r="C297" s="12" t="inlineStr">
        <is>
          <t>EP-012</t>
        </is>
      </c>
      <c r="D297" s="12" t="inlineStr">
        <is>
          <t>RPO/RTO targets are defined before production launch.</t>
        </is>
      </c>
      <c r="E297" s="12" t="str"/>
      <c r="F297" s="12" t="inlineStr">
        <is>
          <t>Pass</t>
        </is>
      </c>
      <c r="G297" s="12" t="str"/>
      <c r="H297" s="12" t="str"/>
      <c r="I297" s="12" t="inlineStr">
        <is>
          <t>Claude (AI Engineer)</t>
        </is>
      </c>
      <c r="J297" s="12" t="inlineStr">
        <is>
          <t>SIT</t>
        </is>
      </c>
      <c r="K297" s="12" t="inlineStr">
        <is>
          <t>Restore drill executed and verified 2026-09-08 — see docs/BACKUP_AND_RESTORE.md.</t>
        </is>
      </c>
    </row>
    <row r="298">
      <c r="A298" s="12" t="inlineStr">
        <is>
          <t>AC-012-006-01</t>
        </is>
      </c>
      <c r="B298" s="12" t="inlineStr">
        <is>
          <t>US-012-006</t>
        </is>
      </c>
      <c r="C298" s="12" t="inlineStr">
        <is>
          <t>EP-012</t>
        </is>
      </c>
      <c r="D298" s="12" t="inlineStr">
        <is>
          <t>Pipeline runs linting, unit tests and integration tests.</t>
        </is>
      </c>
      <c r="E298" s="12" t="str"/>
      <c r="F298" s="12" t="inlineStr">
        <is>
          <t>Pass</t>
        </is>
      </c>
      <c r="G298" s="12" t="str"/>
      <c r="H298" s="12" t="str"/>
      <c r="I298" s="12" t="inlineStr">
        <is>
          <t>Claude (AI Engineer)</t>
        </is>
      </c>
      <c r="J298" s="12" t="inlineStr">
        <is>
          <t>SIT</t>
        </is>
      </c>
      <c r="K298" s="12" t="inlineStr">
        <is>
          <t>Verified: GitHub Actions runs lint, unit tests and e2e tests on every push (green as of this update).</t>
        </is>
      </c>
    </row>
    <row r="299">
      <c r="A299" s="12" t="inlineStr">
        <is>
          <t>AC-012-006-02</t>
        </is>
      </c>
      <c r="B299" s="12" t="inlineStr">
        <is>
          <t>US-012-006</t>
        </is>
      </c>
      <c r="C299" s="12" t="inlineStr">
        <is>
          <t>EP-012</t>
        </is>
      </c>
      <c r="D299" s="12" t="inlineStr">
        <is>
          <t>Dependency/security scanning is included.</t>
        </is>
      </c>
      <c r="E299" s="12" t="str"/>
      <c r="F299" s="12" t="inlineStr">
        <is>
          <t>Pass</t>
        </is>
      </c>
      <c r="G299" s="12" t="str"/>
      <c r="H299" s="12" t="str"/>
      <c r="I299" s="12" t="inlineStr">
        <is>
          <t>Claude (AI Engineer)</t>
        </is>
      </c>
      <c r="J299" s="12" t="inlineStr">
        <is>
          <t>SIT</t>
        </is>
      </c>
      <c r="K299" s="12" t="inlineStr">
        <is>
          <t>npm audit runs (non-blocking) in CI; the one critical finding (vitest dev dependency) has been resolved. No dedicated SAST/dependency-scanning service (e.g. Dependabot, Snyk) configured yet.</t>
        </is>
      </c>
    </row>
    <row r="300">
      <c r="A300" s="12" t="inlineStr">
        <is>
          <t>AC-012-006-03</t>
        </is>
      </c>
      <c r="B300" s="12" t="inlineStr">
        <is>
          <t>US-012-006</t>
        </is>
      </c>
      <c r="C300" s="12" t="inlineStr">
        <is>
          <t>EP-012</t>
        </is>
      </c>
      <c r="D300" s="12" t="inlineStr">
        <is>
          <t>Production artefact is versioned and traceable to source commit.</t>
        </is>
      </c>
      <c r="E300" s="12" t="str"/>
      <c r="F300" s="12" t="inlineStr">
        <is>
          <t>Pass</t>
        </is>
      </c>
      <c r="G300" s="12" t="str"/>
      <c r="H300" s="12" t="str"/>
      <c r="I300" s="12" t="inlineStr">
        <is>
          <t>Claude (AI Engineer)</t>
        </is>
      </c>
      <c r="J300" s="12" t="inlineStr">
        <is>
          <t>SIT</t>
        </is>
      </c>
      <c r="K300" s="12" t="inlineStr">
        <is>
          <t>Docker images are tagged with the git SHA in the deploy workflow, making the running image traceable to its source commit.</t>
        </is>
      </c>
    </row>
    <row r="301">
      <c r="A301" s="12" t="inlineStr">
        <is>
          <t>AC-012-006-04</t>
        </is>
      </c>
      <c r="B301" s="12" t="inlineStr">
        <is>
          <t>US-012-006</t>
        </is>
      </c>
      <c r="C301" s="12" t="inlineStr">
        <is>
          <t>EP-012</t>
        </is>
      </c>
      <c r="D301" s="12" t="inlineStr">
        <is>
          <t>Failed required gate blocks deployment.</t>
        </is>
      </c>
      <c r="E301" s="12" t="str"/>
      <c r="F301" s="12" t="inlineStr">
        <is>
          <t>Pass</t>
        </is>
      </c>
      <c r="G301" s="12" t="str"/>
      <c r="H301" s="12" t="str"/>
      <c r="I301" s="12" t="inlineStr">
        <is>
          <t>Claude (AI Engineer)</t>
        </is>
      </c>
      <c r="J301" s="12" t="inlineStr">
        <is>
          <t>SIT</t>
        </is>
      </c>
      <c r="K301" s="12" t="inlineStr">
        <is>
          <t>Verified: a failed lint/test/build step blocks the job from reaching the build-and-test success state; the deploy workflow additionally requires a manual trigger.</t>
        </is>
      </c>
    </row>
  </sheetData>
  <conditionalFormatting sqref="F2:F301">
    <cfRule type="expression" priority="1" dxfId="0">
      <formula>F2="Pass"</formula>
    </cfRule>
    <cfRule type="expression" priority="2" dxfId="1">
      <formula>F2="Fail"</formula>
    </cfRule>
  </conditionalFormatting>
  <dataValidations count="2">
    <dataValidation sqref="F2:F301" showDropDown="0" showInputMessage="0" showErrorMessage="0" allowBlank="0" type="list">
      <formula1>Lists!$D$2:$D$6</formula1>
    </dataValidation>
    <dataValidation sqref="J2:J301" showDropDown="0" showInputMessage="0" showErrorMessage="0" allowBlank="0" type="list">
      <formula1>Lists!$F$2:$F$4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18" customWidth="1" min="1" max="1"/>
    <col width="74" customWidth="1" min="2" max="2"/>
    <col width="74" customWidth="1" min="3" max="3"/>
    <col width="16" customWidth="1" min="4" max="4"/>
  </cols>
  <sheetData>
    <row r="1" ht="24" customHeight="1">
      <c r="A1" s="5" t="inlineStr">
        <is>
          <t>NFR ID</t>
        </is>
      </c>
      <c r="B1" s="5" t="inlineStr">
        <is>
          <t>Category</t>
        </is>
      </c>
      <c r="C1" s="5" t="inlineStr">
        <is>
          <t>Requirement</t>
        </is>
      </c>
      <c r="D1" s="5" t="inlineStr">
        <is>
          <t>Priority</t>
        </is>
      </c>
      <c r="E1" t="inlineStr">
        <is>
          <t>Status</t>
        </is>
      </c>
      <c r="F1" t="inlineStr">
        <is>
          <t>Evidence / Notes</t>
        </is>
      </c>
    </row>
    <row r="2">
      <c r="A2" s="12" t="inlineStr">
        <is>
          <t>NFR-001</t>
        </is>
      </c>
      <c r="B2" s="12" t="inlineStr">
        <is>
          <t>Performance</t>
        </is>
      </c>
      <c r="C2" s="12" t="inlineStr">
        <is>
          <t>Normal interactive API operations should target p95 response time under 500 ms under agreed reference load.</t>
        </is>
      </c>
      <c r="D2" s="12" t="inlineStr">
        <is>
          <t>Must Have</t>
        </is>
      </c>
      <c r="E2" t="inlineStr">
        <is>
          <t>Tested</t>
        </is>
      </c>
      <c r="F2" t="inlineStr">
        <is>
          <t>Load-tested against a defined reference load (30 concurrent users); passes p95&lt;500ms on all endpoints tested. Full methodology and results in docs/PERFORMANCE.md.</t>
        </is>
      </c>
    </row>
    <row r="3">
      <c r="A3" s="12" t="inlineStr">
        <is>
          <t>NFR-002</t>
        </is>
      </c>
      <c r="B3" s="12" t="inlineStr">
        <is>
          <t>Availability</t>
        </is>
      </c>
      <c r="C3" s="12" t="inlineStr">
        <is>
          <t>Production target 99.9% monthly availability excluding agreed maintenance windows.</t>
        </is>
      </c>
      <c r="D3" s="12" t="inlineStr">
        <is>
          <t>Should Have</t>
        </is>
      </c>
      <c r="E3" t="inlineStr">
        <is>
          <t>Live</t>
        </is>
      </c>
      <c r="F3" t="inlineStr">
        <is>
          <t>Application Insights availability test + email alerting on the API readiness endpoint, verified producing real results from 5 regions. See docs/MONITORING.md.</t>
        </is>
      </c>
    </row>
    <row r="4">
      <c r="A4" s="12" t="inlineStr">
        <is>
          <t>NFR-003</t>
        </is>
      </c>
      <c r="B4" s="12" t="inlineStr">
        <is>
          <t>Security</t>
        </is>
      </c>
      <c r="C4" s="12" t="inlineStr">
        <is>
          <t>HTTPS/TLS is mandatory in production.</t>
        </is>
      </c>
      <c r="D4" s="12" t="inlineStr">
        <is>
          <t>Must Have</t>
        </is>
      </c>
    </row>
    <row r="5">
      <c r="A5" s="12" t="inlineStr">
        <is>
          <t>NFR-004</t>
        </is>
      </c>
      <c r="B5" s="12" t="inlineStr">
        <is>
          <t>Password Security</t>
        </is>
      </c>
      <c r="C5" s="12" t="inlineStr">
        <is>
          <t>Use Argon2id or approved equivalent for password hashing.</t>
        </is>
      </c>
      <c r="D5" s="12" t="inlineStr">
        <is>
          <t>Must Have</t>
        </is>
      </c>
    </row>
    <row r="6">
      <c r="A6" s="12" t="inlineStr">
        <is>
          <t>NFR-005</t>
        </is>
      </c>
      <c r="B6" s="12" t="inlineStr">
        <is>
          <t>Time Integrity</t>
        </is>
      </c>
      <c r="C6" s="12" t="inlineStr">
        <is>
          <t>Official attendance/timer events use authoritative server time.</t>
        </is>
      </c>
      <c r="D6" s="12" t="inlineStr">
        <is>
          <t>Must Have</t>
        </is>
      </c>
    </row>
    <row r="7">
      <c r="A7" s="12" t="inlineStr">
        <is>
          <t>NFR-006</t>
        </is>
      </c>
      <c r="B7" s="12" t="inlineStr">
        <is>
          <t>Concurrency</t>
        </is>
      </c>
      <c r="C7" s="12" t="inlineStr">
        <is>
          <t>System prevents duplicate active attendance sessions and active task timers under concurrent requests.</t>
        </is>
      </c>
      <c r="D7" s="12" t="inlineStr">
        <is>
          <t>Must Have</t>
        </is>
      </c>
    </row>
    <row r="8">
      <c r="A8" s="12" t="inlineStr">
        <is>
          <t>NFR-007</t>
        </is>
      </c>
      <c r="B8" s="12" t="inlineStr">
        <is>
          <t>Auditability</t>
        </is>
      </c>
      <c r="C8" s="12" t="inlineStr">
        <is>
          <t>Material corrections, role changes and user status changes are auditable.</t>
        </is>
      </c>
      <c r="D8" s="12" t="inlineStr">
        <is>
          <t>Must Have</t>
        </is>
      </c>
    </row>
    <row r="9">
      <c r="A9" s="12" t="inlineStr">
        <is>
          <t>NFR-008</t>
        </is>
      </c>
      <c r="B9" s="12" t="inlineStr">
        <is>
          <t>Responsive UX</t>
        </is>
      </c>
      <c r="C9" s="12" t="inlineStr">
        <is>
          <t>Clock, break and task timer flows must be usable on desktop and mobile browsers.</t>
        </is>
      </c>
      <c r="D9" s="12" t="inlineStr">
        <is>
          <t>Must Have</t>
        </is>
      </c>
    </row>
    <row r="10">
      <c r="A10" s="12" t="inlineStr">
        <is>
          <t>NFR-009</t>
        </is>
      </c>
      <c r="B10" s="12" t="inlineStr">
        <is>
          <t>Accessibility</t>
        </is>
      </c>
      <c r="C10" s="12" t="inlineStr">
        <is>
          <t>Web UI should target WCAG 2.2 AA.</t>
        </is>
      </c>
      <c r="D10" s="12"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c r="A11" s="12" t="inlineStr">
        <is>
          <t>NFR-010</t>
        </is>
      </c>
      <c r="B11" s="12" t="inlineStr">
        <is>
          <t>Browser Support</t>
        </is>
      </c>
      <c r="C11" s="12" t="inlineStr">
        <is>
          <t>Support current major releases of Chrome, Edge, Safari and Firefox according to published support policy.</t>
        </is>
      </c>
      <c r="D11" s="12" t="inlineStr">
        <is>
          <t>Should Have</t>
        </is>
      </c>
    </row>
    <row r="12">
      <c r="A12" s="12" t="inlineStr">
        <is>
          <t>NFR-011</t>
        </is>
      </c>
      <c r="B12" s="12" t="inlineStr">
        <is>
          <t>Backup</t>
        </is>
      </c>
      <c r="C12" s="12" t="inlineStr">
        <is>
          <t>Automated encrypted database backup and tested restore process required before production.</t>
        </is>
      </c>
      <c r="D12" s="12" t="inlineStr">
        <is>
          <t>Must Have</t>
        </is>
      </c>
    </row>
    <row r="13">
      <c r="A13" s="12" t="inlineStr">
        <is>
          <t>NFR-012</t>
        </is>
      </c>
      <c r="B13" s="12" t="inlineStr">
        <is>
          <t>Observability</t>
        </is>
      </c>
      <c r="C13" s="12" t="inlineStr">
        <is>
          <t>Structured logging, health checks and error monitoring are required.</t>
        </is>
      </c>
      <c r="D13" s="12" t="inlineStr">
        <is>
          <t>Must Have</t>
        </is>
      </c>
    </row>
    <row r="14">
      <c r="A14" s="12" t="inlineStr">
        <is>
          <t>NFR-013</t>
        </is>
      </c>
      <c r="B14" s="12" t="inlineStr">
        <is>
          <t>Data Retention</t>
        </is>
      </c>
      <c r="C14" s="12" t="inlineStr">
        <is>
          <t>Attendance, task and audit retention periods must be configurable or documented.</t>
        </is>
      </c>
      <c r="D14" s="12"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12" t="inlineStr">
        <is>
          <t>NFR-014</t>
        </is>
      </c>
      <c r="B15" s="12" t="inlineStr">
        <is>
          <t>Scalability</t>
        </is>
      </c>
      <c r="C15" s="12" t="inlineStr">
        <is>
          <t>Application should be stateless where practical and container deployable.</t>
        </is>
      </c>
      <c r="D15" s="12" t="inlineStr">
        <is>
          <t>Should Have</t>
        </is>
      </c>
    </row>
    <row r="16">
      <c r="A16" s="12" t="inlineStr">
        <is>
          <t>NFR-015</t>
        </is>
      </c>
      <c r="B16" s="12" t="inlineStr">
        <is>
          <t>API Documentation</t>
        </is>
      </c>
      <c r="C16" s="12" t="inlineStr">
        <is>
          <t>Backend exposes generated OpenAPI/Swagger documentation for supported APIs.</t>
        </is>
      </c>
      <c r="D16" s="12" t="inlineStr">
        <is>
          <t>Must Have</t>
        </is>
      </c>
    </row>
    <row r="17">
      <c r="A17" s="12" t="inlineStr">
        <is>
          <t>NFR-016</t>
        </is>
      </c>
      <c r="B17" s="12" t="inlineStr">
        <is>
          <t>Testing</t>
        </is>
      </c>
      <c r="C17" s="12" t="inlineStr">
        <is>
          <t>Unit, integration and end-to-end tests are required for critical clock/timer workflows.</t>
        </is>
      </c>
      <c r="D17" s="12" t="inlineStr">
        <is>
          <t>Must Have</t>
        </is>
      </c>
    </row>
    <row r="20" ht="24" customHeight="1">
      <c r="A20" s="5" t="inlineStr">
        <is>
          <t>Business Rule ID</t>
        </is>
      </c>
      <c r="B20" s="5" t="inlineStr">
        <is>
          <t>Business Rule</t>
        </is>
      </c>
    </row>
    <row r="21">
      <c r="A21" s="12" t="inlineStr">
        <is>
          <t>BR-001</t>
        </is>
      </c>
      <c r="B21" s="12" t="inlineStr">
        <is>
          <t>Attendance clock and task timer are separate records and must never be treated as the same clock.</t>
        </is>
      </c>
    </row>
    <row r="22">
      <c r="A22" s="12" t="inlineStr">
        <is>
          <t>BR-002</t>
        </is>
      </c>
      <c r="B22" s="12" t="inlineStr">
        <is>
          <t>A user may have at most one active attendance session.</t>
        </is>
      </c>
    </row>
    <row r="23">
      <c r="A23" s="12" t="inlineStr">
        <is>
          <t>BR-003</t>
        </is>
      </c>
      <c r="B23" s="12" t="inlineStr">
        <is>
          <t>A user may have at most one active task timer.</t>
        </is>
      </c>
    </row>
    <row r="24">
      <c r="A24" s="12" t="inlineStr">
        <is>
          <t>BR-004</t>
        </is>
      </c>
      <c r="B24" s="12" t="inlineStr">
        <is>
          <t>A task timer can start only while the user is clocked in and not on break.</t>
        </is>
      </c>
    </row>
    <row r="25">
      <c r="A25" s="12" t="inlineStr">
        <is>
          <t>BR-005</t>
        </is>
      </c>
      <c r="B25" s="12" t="inlineStr">
        <is>
          <t>Starting a break pauses any active task timer at the same effective server boundary.</t>
        </is>
      </c>
    </row>
    <row r="26">
      <c r="A26" s="12" t="inlineStr">
        <is>
          <t>BR-006</t>
        </is>
      </c>
      <c r="B26" s="12" t="inlineStr">
        <is>
          <t>Ending a break does not automatically resume a task without an explicit user action.</t>
        </is>
      </c>
    </row>
    <row r="27">
      <c r="A27" s="12" t="inlineStr">
        <is>
          <t>BR-007</t>
        </is>
      </c>
      <c r="B27" s="12" t="inlineStr">
        <is>
          <t>Clocking out requires any active task timer and active break to be resolved.</t>
        </is>
      </c>
    </row>
    <row r="28">
      <c r="A28" s="12" t="inlineStr">
        <is>
          <t>BR-008</t>
        </is>
      </c>
      <c r="B28" s="12" t="inlineStr">
        <is>
          <t>Net working time = attendance elapsed time - eligible completed break time.</t>
        </is>
      </c>
    </row>
    <row r="29">
      <c r="A29" s="12" t="inlineStr">
        <is>
          <t>BR-009</t>
        </is>
      </c>
      <c r="B29" s="12" t="inlineStr">
        <is>
          <t>Task time = sum of valid non-overlapping active task segments.</t>
        </is>
      </c>
    </row>
    <row r="30">
      <c r="A30" s="12" t="inlineStr">
        <is>
          <t>BR-010</t>
        </is>
      </c>
      <c r="B30" s="12" t="inlineStr">
        <is>
          <t>Unallocated time = net working time - eligible task time.</t>
        </is>
      </c>
    </row>
    <row r="31">
      <c r="A31" s="12" t="inlineStr">
        <is>
          <t>BR-011</t>
        </is>
      </c>
      <c r="B31" s="12" t="inlineStr">
        <is>
          <t>Server timestamps are authoritative for online clock/timer actions.</t>
        </is>
      </c>
    </row>
    <row r="32">
      <c r="A32" s="12" t="inlineStr">
        <is>
          <t>BR-012</t>
        </is>
      </c>
      <c r="B32" s="12" t="inlineStr">
        <is>
          <t>Approved corrections never destroy the original event history.</t>
        </is>
      </c>
    </row>
    <row r="33">
      <c r="A33" s="12" t="inlineStr">
        <is>
          <t>BR-013</t>
        </is>
      </c>
      <c r="B33" s="12" t="inlineStr">
        <is>
          <t>Completed or cancelled tasks cannot accept a new timer unless reopened by an authorised user.</t>
        </is>
      </c>
    </row>
    <row r="34">
      <c r="A34" s="12" t="inlineStr">
        <is>
          <t>BR-014</t>
        </is>
      </c>
      <c r="B34" s="12"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22" customWidth="1" min="1" max="1"/>
    <col width="44" customWidth="1" min="2" max="2"/>
    <col width="72" customWidth="1" min="3" max="3"/>
  </cols>
  <sheetData>
    <row r="1" ht="24" customHeight="1">
      <c r="A1" s="5" t="inlineStr">
        <is>
          <t>Layer</t>
        </is>
      </c>
      <c r="B1" s="5" t="inlineStr">
        <is>
          <t>Recommended Technology</t>
        </is>
      </c>
      <c r="C1" s="5" t="inlineStr">
        <is>
          <t>Reason / Implementation Guidance</t>
        </is>
      </c>
    </row>
    <row r="2">
      <c r="A2" s="12" t="inlineStr">
        <is>
          <t>Frontend</t>
        </is>
      </c>
      <c r="B2" s="12" t="inlineStr">
        <is>
          <t>Next.js (React) + TypeScript</t>
        </is>
      </c>
      <c r="C2" s="12" t="inlineStr">
        <is>
          <t>Single web application; mature React ecosystem; routing, SSR/SPA flexibility and strong developer productivity.</t>
        </is>
      </c>
    </row>
    <row r="3">
      <c r="A3" s="12" t="inlineStr">
        <is>
          <t>UI</t>
        </is>
      </c>
      <c r="B3" s="12" t="inlineStr">
        <is>
          <t>Tailwind CSS + accessible component library</t>
        </is>
      </c>
      <c r="C3" s="12" t="inlineStr">
        <is>
          <t>Consistent responsive UI without a large custom CSS maintenance burden.</t>
        </is>
      </c>
    </row>
    <row r="4">
      <c r="A4" s="12" t="inlineStr">
        <is>
          <t>Forms/Validation</t>
        </is>
      </c>
      <c r="B4" s="12" t="inlineStr">
        <is>
          <t>React Hook Form + Zod</t>
        </is>
      </c>
      <c r="C4" s="12" t="inlineStr">
        <is>
          <t>Fast forms with shared schema-style validation and clear error handling.</t>
        </is>
      </c>
    </row>
    <row r="5">
      <c r="A5" s="12" t="inlineStr">
        <is>
          <t>Data Fetching</t>
        </is>
      </c>
      <c r="B5" s="12" t="inlineStr">
        <is>
          <t>TanStack Query</t>
        </is>
      </c>
      <c r="C5" s="12" t="inlineStr">
        <is>
          <t>Server-state caching, invalidation and background refresh for dashboards/logs.</t>
        </is>
      </c>
    </row>
    <row r="6">
      <c r="A6" s="12" t="inlineStr">
        <is>
          <t>Backend</t>
        </is>
      </c>
      <c r="B6" s="12" t="inlineStr">
        <is>
          <t>NestJS + TypeScript</t>
        </is>
      </c>
      <c r="C6" s="12" t="inlineStr">
        <is>
          <t>Structured modular backend, DI, guards, validation, testing and OpenAPI integration.</t>
        </is>
      </c>
    </row>
    <row r="7">
      <c r="A7" s="12" t="inlineStr">
        <is>
          <t>API</t>
        </is>
      </c>
      <c r="B7" s="12" t="inlineStr">
        <is>
          <t>REST + OpenAPI/Swagger</t>
        </is>
      </c>
      <c r="C7" s="12" t="inlineStr">
        <is>
          <t>Simple for web/admin integrations; documentation generated from backend code.</t>
        </is>
      </c>
    </row>
    <row r="8">
      <c r="A8" s="12" t="inlineStr">
        <is>
          <t>Database</t>
        </is>
      </c>
      <c r="B8" s="12" t="inlineStr">
        <is>
          <t>PostgreSQL</t>
        </is>
      </c>
      <c r="C8" s="12" t="inlineStr">
        <is>
          <t>Reliable transactional relational database well suited to attendance/time integrity.</t>
        </is>
      </c>
    </row>
    <row r="9">
      <c r="A9" s="12" t="inlineStr">
        <is>
          <t>ORM</t>
        </is>
      </c>
      <c r="B9" s="12" t="inlineStr">
        <is>
          <t>Prisma ORM</t>
        </is>
      </c>
      <c r="C9" s="12" t="inlineStr">
        <is>
          <t>Typed data access, migrations and developer productivity; validate concurrency-sensitive operations with explicit transactions/constraints.</t>
        </is>
      </c>
    </row>
    <row r="10">
      <c r="A10" s="12" t="inlineStr">
        <is>
          <t>Authentication</t>
        </is>
      </c>
      <c r="B10" s="12" t="inlineStr">
        <is>
          <t>Secure HttpOnly cookie-based access/refresh tokens or server session pattern</t>
        </is>
      </c>
      <c r="C10" s="12" t="inlineStr">
        <is>
          <t>Avoid storing sensitive auth tokens in localStorage; support rotation and revocation.</t>
        </is>
      </c>
    </row>
    <row r="11">
      <c r="A11" s="12" t="inlineStr">
        <is>
          <t>Password Hashing</t>
        </is>
      </c>
      <c r="B11" s="12" t="inlineStr">
        <is>
          <t>Argon2id</t>
        </is>
      </c>
      <c r="C11" s="12" t="inlineStr">
        <is>
          <t>Modern password hashing suitable for credential protection.</t>
        </is>
      </c>
    </row>
    <row r="12">
      <c r="A12" s="12" t="inlineStr">
        <is>
          <t>Live Status</t>
        </is>
      </c>
      <c r="B12" s="12" t="inlineStr">
        <is>
          <t>REST polling initially; optional WebSocket/SSE for admin live view</t>
        </is>
      </c>
      <c r="C12" s="12" t="inlineStr">
        <is>
          <t>Avoid unnecessary real-time complexity in MVP; timers are derived from server timestamps.</t>
        </is>
      </c>
    </row>
    <row r="13">
      <c r="A13" s="12" t="inlineStr">
        <is>
          <t>Testing</t>
        </is>
      </c>
      <c r="B13" s="12" t="inlineStr">
        <is>
          <t>Vitest/Jest + Supertest + Playwright</t>
        </is>
      </c>
      <c r="C13" s="12" t="inlineStr">
        <is>
          <t>Unit, API integration and browser end-to-end coverage.</t>
        </is>
      </c>
    </row>
    <row r="14">
      <c r="A14" s="12" t="inlineStr">
        <is>
          <t>Containerisation</t>
        </is>
      </c>
      <c r="B14" s="12" t="inlineStr">
        <is>
          <t>Docker + Docker Compose</t>
        </is>
      </c>
      <c r="C14" s="12" t="inlineStr">
        <is>
          <t>Reproducible development and deployment.</t>
        </is>
      </c>
    </row>
    <row r="15">
      <c r="A15" s="12" t="inlineStr">
        <is>
          <t>CI/CD</t>
        </is>
      </c>
      <c r="B15" s="12" t="inlineStr">
        <is>
          <t>GitHub Actions</t>
        </is>
      </c>
      <c r="C15" s="12" t="inlineStr">
        <is>
          <t>Build, lint, test, security scan and deployment automation.</t>
        </is>
      </c>
    </row>
    <row r="16">
      <c r="A16" s="12" t="inlineStr">
        <is>
          <t>Reverse Proxy</t>
        </is>
      </c>
      <c r="B16" s="12" t="inlineStr">
        <is>
          <t>Managed ingress or Nginx</t>
        </is>
      </c>
      <c r="C16" s="12" t="inlineStr">
        <is>
          <t>TLS termination/routing depending on hosting platform.</t>
        </is>
      </c>
    </row>
    <row r="17">
      <c r="A17" s="12" t="inlineStr">
        <is>
          <t>Production Hosting</t>
        </is>
      </c>
      <c r="B17" s="12" t="inlineStr">
        <is>
          <t>Azure Container Apps or AWS ECS/Fargate (provider-neutral Docker image)</t>
        </is>
      </c>
      <c r="C17" s="12" t="inlineStr">
        <is>
          <t>Managed container hosting with autoscaling and low operational overhead.</t>
        </is>
      </c>
    </row>
    <row r="18">
      <c r="A18" s="12" t="inlineStr">
        <is>
          <t>Managed Database</t>
        </is>
      </c>
      <c r="B18" s="12" t="inlineStr">
        <is>
          <t>Azure Database for PostgreSQL / AWS RDS PostgreSQL</t>
        </is>
      </c>
      <c r="C18" s="12" t="inlineStr">
        <is>
          <t>Backups, patching and managed availability.</t>
        </is>
      </c>
    </row>
    <row r="19">
      <c r="A19" s="12" t="inlineStr">
        <is>
          <t>Monitoring</t>
        </is>
      </c>
      <c r="B19" s="12" t="inlineStr">
        <is>
          <t>OpenTelemetry + platform monitoring/Sentry-compatible error tracking</t>
        </is>
      </c>
      <c r="C19" s="12"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4" customWidth="1" min="1" max="1"/>
    <col width="46" customWidth="1" min="2" max="2"/>
    <col width="18" customWidth="1" min="3" max="3"/>
  </cols>
  <sheetData>
    <row r="1" ht="24" customHeight="1">
      <c r="A1" s="5" t="inlineStr">
        <is>
          <t>Screen ID</t>
        </is>
      </c>
      <c r="B1" s="5" t="inlineStr">
        <is>
          <t>Screen</t>
        </is>
      </c>
      <c r="C1" s="5" t="inlineStr">
        <is>
          <t>Delivery Status</t>
        </is>
      </c>
    </row>
    <row r="2">
      <c r="A2" s="12" t="inlineStr">
        <is>
          <t>SCR-001</t>
        </is>
      </c>
      <c r="B2" s="12" t="inlineStr">
        <is>
          <t>Login</t>
        </is>
      </c>
      <c r="C2" s="12" t="inlineStr">
        <is>
          <t>Not Started</t>
        </is>
      </c>
    </row>
    <row r="3">
      <c r="A3" s="12" t="inlineStr">
        <is>
          <t>SCR-002</t>
        </is>
      </c>
      <c r="B3" s="12" t="inlineStr">
        <is>
          <t>Registration</t>
        </is>
      </c>
      <c r="C3" s="12" t="inlineStr">
        <is>
          <t>Not Started</t>
        </is>
      </c>
    </row>
    <row r="4">
      <c r="A4" s="12" t="inlineStr">
        <is>
          <t>SCR-003</t>
        </is>
      </c>
      <c r="B4" s="12" t="inlineStr">
        <is>
          <t>Forgot/Reset Password</t>
        </is>
      </c>
      <c r="C4" s="12" t="inlineStr">
        <is>
          <t>Not Started</t>
        </is>
      </c>
    </row>
    <row r="5">
      <c r="A5" s="12" t="inlineStr">
        <is>
          <t>SCR-004</t>
        </is>
      </c>
      <c r="B5" s="12" t="inlineStr">
        <is>
          <t>Employee - My Day</t>
        </is>
      </c>
      <c r="C5" s="12" t="inlineStr">
        <is>
          <t>Not Started</t>
        </is>
      </c>
    </row>
    <row r="6">
      <c r="A6" s="12" t="inlineStr">
        <is>
          <t>SCR-005</t>
        </is>
      </c>
      <c r="B6" s="12" t="inlineStr">
        <is>
          <t>My Attendance History</t>
        </is>
      </c>
      <c r="C6" s="12" t="inlineStr">
        <is>
          <t>Not Started</t>
        </is>
      </c>
    </row>
    <row r="7">
      <c r="A7" s="12" t="inlineStr">
        <is>
          <t>SCR-006</t>
        </is>
      </c>
      <c r="B7" s="12" t="inlineStr">
        <is>
          <t>Attendance Day Detail / Timeline</t>
        </is>
      </c>
      <c r="C7" s="12" t="inlineStr">
        <is>
          <t>Not Started</t>
        </is>
      </c>
    </row>
    <row r="8">
      <c r="A8" s="12" t="inlineStr">
        <is>
          <t>SCR-007</t>
        </is>
      </c>
      <c r="B8" s="12" t="inlineStr">
        <is>
          <t>My Tasks</t>
        </is>
      </c>
      <c r="C8" s="12" t="inlineStr">
        <is>
          <t>Not Started</t>
        </is>
      </c>
    </row>
    <row r="9">
      <c r="A9" s="12" t="inlineStr">
        <is>
          <t>SCR-008</t>
        </is>
      </c>
      <c r="B9" s="12" t="inlineStr">
        <is>
          <t>Task Detail</t>
        </is>
      </c>
      <c r="C9" s="12" t="inlineStr">
        <is>
          <t>Not Started</t>
        </is>
      </c>
    </row>
    <row r="10">
      <c r="A10" s="12" t="inlineStr">
        <is>
          <t>SCR-009</t>
        </is>
      </c>
      <c r="B10" s="12" t="inlineStr">
        <is>
          <t>My Task Time History</t>
        </is>
      </c>
      <c r="C10" s="12" t="inlineStr">
        <is>
          <t>Not Started</t>
        </is>
      </c>
    </row>
    <row r="11">
      <c r="A11" s="12" t="inlineStr">
        <is>
          <t>SCR-010</t>
        </is>
      </c>
      <c r="B11" s="12" t="inlineStr">
        <is>
          <t>My Profile</t>
        </is>
      </c>
      <c r="C11" s="12" t="inlineStr">
        <is>
          <t>Not Started</t>
        </is>
      </c>
    </row>
    <row r="12">
      <c r="A12" s="12" t="inlineStr">
        <is>
          <t>SCR-011</t>
        </is>
      </c>
      <c r="B12" s="12" t="inlineStr">
        <is>
          <t>Admin Dashboard</t>
        </is>
      </c>
      <c r="C12" s="12" t="inlineStr">
        <is>
          <t>Not Started</t>
        </is>
      </c>
    </row>
    <row r="13">
      <c r="A13" s="12" t="inlineStr">
        <is>
          <t>SCR-012</t>
        </is>
      </c>
      <c r="B13" s="12" t="inlineStr">
        <is>
          <t>User Management</t>
        </is>
      </c>
      <c r="C13" s="12" t="inlineStr">
        <is>
          <t>Not Started</t>
        </is>
      </c>
    </row>
    <row r="14">
      <c r="A14" s="12" t="inlineStr">
        <is>
          <t>SCR-013</t>
        </is>
      </c>
      <c r="B14" s="12" t="inlineStr">
        <is>
          <t>User Detail</t>
        </is>
      </c>
      <c r="C14" s="12" t="inlineStr">
        <is>
          <t>Not Started</t>
        </is>
      </c>
    </row>
    <row r="15">
      <c r="A15" s="12" t="inlineStr">
        <is>
          <t>SCR-014</t>
        </is>
      </c>
      <c r="B15" s="12" t="inlineStr">
        <is>
          <t>Task Management</t>
        </is>
      </c>
      <c r="C15" s="12" t="inlineStr">
        <is>
          <t>Not Started</t>
        </is>
      </c>
    </row>
    <row r="16">
      <c r="A16" s="12" t="inlineStr">
        <is>
          <t>SCR-015</t>
        </is>
      </c>
      <c r="B16" s="12" t="inlineStr">
        <is>
          <t>Task Create/Edit</t>
        </is>
      </c>
      <c r="C16" s="12" t="inlineStr">
        <is>
          <t>Not Started</t>
        </is>
      </c>
    </row>
    <row r="17">
      <c r="A17" s="12" t="inlineStr">
        <is>
          <t>SCR-016</t>
        </is>
      </c>
      <c r="B17" s="12" t="inlineStr">
        <is>
          <t>Live Attendance</t>
        </is>
      </c>
      <c r="C17" s="12" t="inlineStr">
        <is>
          <t>Not Started</t>
        </is>
      </c>
    </row>
    <row r="18">
      <c r="A18" s="12" t="inlineStr">
        <is>
          <t>SCR-017</t>
        </is>
      </c>
      <c r="B18" s="12" t="inlineStr">
        <is>
          <t>Attendance Logs</t>
        </is>
      </c>
      <c r="C18" s="12" t="inlineStr">
        <is>
          <t>Not Started</t>
        </is>
      </c>
    </row>
    <row r="19">
      <c r="A19" s="12" t="inlineStr">
        <is>
          <t>SCR-018</t>
        </is>
      </c>
      <c r="B19" s="12" t="inlineStr">
        <is>
          <t>Correction Review</t>
        </is>
      </c>
      <c r="C19" s="12" t="inlineStr">
        <is>
          <t>Not Started</t>
        </is>
      </c>
    </row>
    <row r="20">
      <c r="A20" s="12" t="inlineStr">
        <is>
          <t>SCR-019</t>
        </is>
      </c>
      <c r="B20" s="12" t="inlineStr">
        <is>
          <t>Reports</t>
        </is>
      </c>
      <c r="C20" s="12" t="inlineStr">
        <is>
          <t>Not Started</t>
        </is>
      </c>
    </row>
    <row r="21">
      <c r="A21" s="12" t="inlineStr">
        <is>
          <t>SCR-020</t>
        </is>
      </c>
      <c r="B21" s="12" t="inlineStr">
        <is>
          <t>Audit Log</t>
        </is>
      </c>
      <c r="C21" s="12" t="inlineStr">
        <is>
          <t>Not Started</t>
        </is>
      </c>
    </row>
  </sheetData>
  <dataValidations count="1">
    <dataValidation sqref="C2:C21"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cols>
    <col width="12" customWidth="1" min="1" max="1"/>
    <col width="15" customWidth="1" min="2" max="2"/>
    <col width="14" customWidth="1" min="3" max="3"/>
    <col width="15" customWidth="1" min="4" max="4"/>
    <col width="16" customWidth="1" min="5" max="5"/>
    <col width="12" customWidth="1" min="6" max="6"/>
    <col width="12" customWidth="1" min="7" max="7"/>
    <col width="12" customWidth="1" min="8" max="8"/>
    <col width="18" customWidth="1" min="9" max="9"/>
    <col width="16" customWidth="1" min="10" max="10"/>
  </cols>
  <sheetData>
    <row r="1" ht="24" customHeight="1">
      <c r="A1" s="5" t="inlineStr">
        <is>
          <t>Epic ID</t>
        </is>
      </c>
      <c r="B1" s="5" t="inlineStr">
        <is>
          <t>Story ID</t>
        </is>
      </c>
      <c r="C1" s="5" t="inlineStr">
        <is>
          <t>SRS AC Count</t>
        </is>
      </c>
      <c r="D1" s="5" t="inlineStr">
        <is>
          <t>Tracker AC Count</t>
        </is>
      </c>
      <c r="E1" s="5" t="inlineStr">
        <is>
          <t>Story Status</t>
        </is>
      </c>
      <c r="F1" s="5" t="inlineStr">
        <is>
          <t>AC Tested</t>
        </is>
      </c>
      <c r="G1" s="5" t="inlineStr">
        <is>
          <t>AC Passed</t>
        </is>
      </c>
      <c r="H1" s="5" t="inlineStr">
        <is>
          <t>AC Failed</t>
        </is>
      </c>
      <c r="I1" s="5" t="inlineStr">
        <is>
          <t>Traceability</t>
        </is>
      </c>
      <c r="J1" s="5" t="inlineStr">
        <is>
          <t>QA Completion %</t>
        </is>
      </c>
    </row>
    <row r="2">
      <c r="A2" s="12" t="inlineStr">
        <is>
          <t>EP-001</t>
        </is>
      </c>
      <c r="B2" s="12" t="inlineStr">
        <is>
          <t>US-001-001</t>
        </is>
      </c>
      <c r="C2" s="12" t="n">
        <v>4</v>
      </c>
      <c r="D2" s="12">
        <f>COUNTIF('Acceptance Criteria'!B:B,B2)</f>
        <v/>
      </c>
      <c r="E2" s="12">
        <f>VLOOKUP(B2,'User Stories'!A:L,12,FALSE)</f>
        <v/>
      </c>
      <c r="F2" s="12">
        <f>COUNTIFS('Acceptance Criteria'!B:B,B2,'Acceptance Criteria'!F:F,"&lt;&gt;Not Tested")</f>
        <v/>
      </c>
      <c r="G2" s="12">
        <f>COUNTIFS('Acceptance Criteria'!B:B,B2,'Acceptance Criteria'!F:F,"Pass")</f>
        <v/>
      </c>
      <c r="H2" s="12">
        <f>COUNTIFS('Acceptance Criteria'!B:B,B2,'Acceptance Criteria'!F:F,"Fail")</f>
        <v/>
      </c>
      <c r="I2" s="12">
        <f>IF(C2=D2,"Linked","Mismatch")</f>
        <v/>
      </c>
      <c r="J2" s="24">
        <f>IF(C2=0,0,G2/C2)</f>
        <v/>
      </c>
    </row>
    <row r="3">
      <c r="A3" s="12" t="inlineStr">
        <is>
          <t>EP-001</t>
        </is>
      </c>
      <c r="B3" s="12" t="inlineStr">
        <is>
          <t>US-001-002</t>
        </is>
      </c>
      <c r="C3" s="12" t="n">
        <v>4</v>
      </c>
      <c r="D3" s="12">
        <f>COUNTIF('Acceptance Criteria'!B:B,B3)</f>
        <v/>
      </c>
      <c r="E3" s="12">
        <f>VLOOKUP(B3,'User Stories'!A:L,12,FALSE)</f>
        <v/>
      </c>
      <c r="F3" s="12">
        <f>COUNTIFS('Acceptance Criteria'!B:B,B3,'Acceptance Criteria'!F:F,"&lt;&gt;Not Tested")</f>
        <v/>
      </c>
      <c r="G3" s="12">
        <f>COUNTIFS('Acceptance Criteria'!B:B,B3,'Acceptance Criteria'!F:F,"Pass")</f>
        <v/>
      </c>
      <c r="H3" s="12">
        <f>COUNTIFS('Acceptance Criteria'!B:B,B3,'Acceptance Criteria'!F:F,"Fail")</f>
        <v/>
      </c>
      <c r="I3" s="12">
        <f>IF(C3=D3,"Linked","Mismatch")</f>
        <v/>
      </c>
      <c r="J3" s="24">
        <f>IF(C3=0,0,G3/C3)</f>
        <v/>
      </c>
    </row>
    <row r="4">
      <c r="A4" s="12" t="inlineStr">
        <is>
          <t>EP-001</t>
        </is>
      </c>
      <c r="B4" s="12" t="inlineStr">
        <is>
          <t>US-001-003</t>
        </is>
      </c>
      <c r="C4" s="12" t="n">
        <v>4</v>
      </c>
      <c r="D4" s="12">
        <f>COUNTIF('Acceptance Criteria'!B:B,B4)</f>
        <v/>
      </c>
      <c r="E4" s="12">
        <f>VLOOKUP(B4,'User Stories'!A:L,12,FALSE)</f>
        <v/>
      </c>
      <c r="F4" s="12">
        <f>COUNTIFS('Acceptance Criteria'!B:B,B4,'Acceptance Criteria'!F:F,"&lt;&gt;Not Tested")</f>
        <v/>
      </c>
      <c r="G4" s="12">
        <f>COUNTIFS('Acceptance Criteria'!B:B,B4,'Acceptance Criteria'!F:F,"Pass")</f>
        <v/>
      </c>
      <c r="H4" s="12">
        <f>COUNTIFS('Acceptance Criteria'!B:B,B4,'Acceptance Criteria'!F:F,"Fail")</f>
        <v/>
      </c>
      <c r="I4" s="12">
        <f>IF(C4=D4,"Linked","Mismatch")</f>
        <v/>
      </c>
      <c r="J4" s="24">
        <f>IF(C4=0,0,G4/C4)</f>
        <v/>
      </c>
    </row>
    <row r="5">
      <c r="A5" s="12" t="inlineStr">
        <is>
          <t>EP-001</t>
        </is>
      </c>
      <c r="B5" s="12" t="inlineStr">
        <is>
          <t>US-001-004</t>
        </is>
      </c>
      <c r="C5" s="12" t="n">
        <v>4</v>
      </c>
      <c r="D5" s="12">
        <f>COUNTIF('Acceptance Criteria'!B:B,B5)</f>
        <v/>
      </c>
      <c r="E5" s="12">
        <f>VLOOKUP(B5,'User Stories'!A:L,12,FALSE)</f>
        <v/>
      </c>
      <c r="F5" s="12">
        <f>COUNTIFS('Acceptance Criteria'!B:B,B5,'Acceptance Criteria'!F:F,"&lt;&gt;Not Tested")</f>
        <v/>
      </c>
      <c r="G5" s="12">
        <f>COUNTIFS('Acceptance Criteria'!B:B,B5,'Acceptance Criteria'!F:F,"Pass")</f>
        <v/>
      </c>
      <c r="H5" s="12">
        <f>COUNTIFS('Acceptance Criteria'!B:B,B5,'Acceptance Criteria'!F:F,"Fail")</f>
        <v/>
      </c>
      <c r="I5" s="12">
        <f>IF(C5=D5,"Linked","Mismatch")</f>
        <v/>
      </c>
      <c r="J5" s="24">
        <f>IF(C5=0,0,G5/C5)</f>
        <v/>
      </c>
    </row>
    <row r="6">
      <c r="A6" s="12" t="inlineStr">
        <is>
          <t>EP-001</t>
        </is>
      </c>
      <c r="B6" s="12" t="inlineStr">
        <is>
          <t>US-001-005</t>
        </is>
      </c>
      <c r="C6" s="12" t="n">
        <v>4</v>
      </c>
      <c r="D6" s="12">
        <f>COUNTIF('Acceptance Criteria'!B:B,B6)</f>
        <v/>
      </c>
      <c r="E6" s="12">
        <f>VLOOKUP(B6,'User Stories'!A:L,12,FALSE)</f>
        <v/>
      </c>
      <c r="F6" s="12">
        <f>COUNTIFS('Acceptance Criteria'!B:B,B6,'Acceptance Criteria'!F:F,"&lt;&gt;Not Tested")</f>
        <v/>
      </c>
      <c r="G6" s="12">
        <f>COUNTIFS('Acceptance Criteria'!B:B,B6,'Acceptance Criteria'!F:F,"Pass")</f>
        <v/>
      </c>
      <c r="H6" s="12">
        <f>COUNTIFS('Acceptance Criteria'!B:B,B6,'Acceptance Criteria'!F:F,"Fail")</f>
        <v/>
      </c>
      <c r="I6" s="12">
        <f>IF(C6=D6,"Linked","Mismatch")</f>
        <v/>
      </c>
      <c r="J6" s="24">
        <f>IF(C6=0,0,G6/C6)</f>
        <v/>
      </c>
    </row>
    <row r="7">
      <c r="A7" s="12" t="inlineStr">
        <is>
          <t>EP-001</t>
        </is>
      </c>
      <c r="B7" s="12" t="inlineStr">
        <is>
          <t>US-001-006</t>
        </is>
      </c>
      <c r="C7" s="12" t="n">
        <v>4</v>
      </c>
      <c r="D7" s="12">
        <f>COUNTIF('Acceptance Criteria'!B:B,B7)</f>
        <v/>
      </c>
      <c r="E7" s="12">
        <f>VLOOKUP(B7,'User Stories'!A:L,12,FALSE)</f>
        <v/>
      </c>
      <c r="F7" s="12">
        <f>COUNTIFS('Acceptance Criteria'!B:B,B7,'Acceptance Criteria'!F:F,"&lt;&gt;Not Tested")</f>
        <v/>
      </c>
      <c r="G7" s="12">
        <f>COUNTIFS('Acceptance Criteria'!B:B,B7,'Acceptance Criteria'!F:F,"Pass")</f>
        <v/>
      </c>
      <c r="H7" s="12">
        <f>COUNTIFS('Acceptance Criteria'!B:B,B7,'Acceptance Criteria'!F:F,"Fail")</f>
        <v/>
      </c>
      <c r="I7" s="12">
        <f>IF(C7=D7,"Linked","Mismatch")</f>
        <v/>
      </c>
      <c r="J7" s="24">
        <f>IF(C7=0,0,G7/C7)</f>
        <v/>
      </c>
    </row>
    <row r="8">
      <c r="A8" s="12" t="inlineStr">
        <is>
          <t>EP-001</t>
        </is>
      </c>
      <c r="B8" s="12" t="inlineStr">
        <is>
          <t>US-001-007</t>
        </is>
      </c>
      <c r="C8" s="12" t="n">
        <v>4</v>
      </c>
      <c r="D8" s="12">
        <f>COUNTIF('Acceptance Criteria'!B:B,B8)</f>
        <v/>
      </c>
      <c r="E8" s="12">
        <f>VLOOKUP(B8,'User Stories'!A:L,12,FALSE)</f>
        <v/>
      </c>
      <c r="F8" s="12">
        <f>COUNTIFS('Acceptance Criteria'!B:B,B8,'Acceptance Criteria'!F:F,"&lt;&gt;Not Tested")</f>
        <v/>
      </c>
      <c r="G8" s="12">
        <f>COUNTIFS('Acceptance Criteria'!B:B,B8,'Acceptance Criteria'!F:F,"Pass")</f>
        <v/>
      </c>
      <c r="H8" s="12">
        <f>COUNTIFS('Acceptance Criteria'!B:B,B8,'Acceptance Criteria'!F:F,"Fail")</f>
        <v/>
      </c>
      <c r="I8" s="12">
        <f>IF(C8=D8,"Linked","Mismatch")</f>
        <v/>
      </c>
      <c r="J8" s="24">
        <f>IF(C8=0,0,G8/C8)</f>
        <v/>
      </c>
    </row>
    <row r="9">
      <c r="A9" s="12" t="inlineStr">
        <is>
          <t>EP-002</t>
        </is>
      </c>
      <c r="B9" s="12" t="inlineStr">
        <is>
          <t>US-002-001</t>
        </is>
      </c>
      <c r="C9" s="12" t="n">
        <v>4</v>
      </c>
      <c r="D9" s="12">
        <f>COUNTIF('Acceptance Criteria'!B:B,B9)</f>
        <v/>
      </c>
      <c r="E9" s="12">
        <f>VLOOKUP(B9,'User Stories'!A:L,12,FALSE)</f>
        <v/>
      </c>
      <c r="F9" s="12">
        <f>COUNTIFS('Acceptance Criteria'!B:B,B9,'Acceptance Criteria'!F:F,"&lt;&gt;Not Tested")</f>
        <v/>
      </c>
      <c r="G9" s="12">
        <f>COUNTIFS('Acceptance Criteria'!B:B,B9,'Acceptance Criteria'!F:F,"Pass")</f>
        <v/>
      </c>
      <c r="H9" s="12">
        <f>COUNTIFS('Acceptance Criteria'!B:B,B9,'Acceptance Criteria'!F:F,"Fail")</f>
        <v/>
      </c>
      <c r="I9" s="12">
        <f>IF(C9=D9,"Linked","Mismatch")</f>
        <v/>
      </c>
      <c r="J9" s="24">
        <f>IF(C9=0,0,G9/C9)</f>
        <v/>
      </c>
    </row>
    <row r="10">
      <c r="A10" s="12" t="inlineStr">
        <is>
          <t>EP-002</t>
        </is>
      </c>
      <c r="B10" s="12" t="inlineStr">
        <is>
          <t>US-002-002</t>
        </is>
      </c>
      <c r="C10" s="12" t="n">
        <v>4</v>
      </c>
      <c r="D10" s="12">
        <f>COUNTIF('Acceptance Criteria'!B:B,B10)</f>
        <v/>
      </c>
      <c r="E10" s="12">
        <f>VLOOKUP(B10,'User Stories'!A:L,12,FALSE)</f>
        <v/>
      </c>
      <c r="F10" s="12">
        <f>COUNTIFS('Acceptance Criteria'!B:B,B10,'Acceptance Criteria'!F:F,"&lt;&gt;Not Tested")</f>
        <v/>
      </c>
      <c r="G10" s="12">
        <f>COUNTIFS('Acceptance Criteria'!B:B,B10,'Acceptance Criteria'!F:F,"Pass")</f>
        <v/>
      </c>
      <c r="H10" s="12">
        <f>COUNTIFS('Acceptance Criteria'!B:B,B10,'Acceptance Criteria'!F:F,"Fail")</f>
        <v/>
      </c>
      <c r="I10" s="12">
        <f>IF(C10=D10,"Linked","Mismatch")</f>
        <v/>
      </c>
      <c r="J10" s="24">
        <f>IF(C10=0,0,G10/C10)</f>
        <v/>
      </c>
    </row>
    <row r="11">
      <c r="A11" s="12" t="inlineStr">
        <is>
          <t>EP-002</t>
        </is>
      </c>
      <c r="B11" s="12" t="inlineStr">
        <is>
          <t>US-002-003</t>
        </is>
      </c>
      <c r="C11" s="12" t="n">
        <v>4</v>
      </c>
      <c r="D11" s="12">
        <f>COUNTIF('Acceptance Criteria'!B:B,B11)</f>
        <v/>
      </c>
      <c r="E11" s="12">
        <f>VLOOKUP(B11,'User Stories'!A:L,12,FALSE)</f>
        <v/>
      </c>
      <c r="F11" s="12">
        <f>COUNTIFS('Acceptance Criteria'!B:B,B11,'Acceptance Criteria'!F:F,"&lt;&gt;Not Tested")</f>
        <v/>
      </c>
      <c r="G11" s="12">
        <f>COUNTIFS('Acceptance Criteria'!B:B,B11,'Acceptance Criteria'!F:F,"Pass")</f>
        <v/>
      </c>
      <c r="H11" s="12">
        <f>COUNTIFS('Acceptance Criteria'!B:B,B11,'Acceptance Criteria'!F:F,"Fail")</f>
        <v/>
      </c>
      <c r="I11" s="12">
        <f>IF(C11=D11,"Linked","Mismatch")</f>
        <v/>
      </c>
      <c r="J11" s="24">
        <f>IF(C11=0,0,G11/C11)</f>
        <v/>
      </c>
    </row>
    <row r="12">
      <c r="A12" s="12" t="inlineStr">
        <is>
          <t>EP-002</t>
        </is>
      </c>
      <c r="B12" s="12" t="inlineStr">
        <is>
          <t>US-002-004</t>
        </is>
      </c>
      <c r="C12" s="12" t="n">
        <v>4</v>
      </c>
      <c r="D12" s="12">
        <f>COUNTIF('Acceptance Criteria'!B:B,B12)</f>
        <v/>
      </c>
      <c r="E12" s="12">
        <f>VLOOKUP(B12,'User Stories'!A:L,12,FALSE)</f>
        <v/>
      </c>
      <c r="F12" s="12">
        <f>COUNTIFS('Acceptance Criteria'!B:B,B12,'Acceptance Criteria'!F:F,"&lt;&gt;Not Tested")</f>
        <v/>
      </c>
      <c r="G12" s="12">
        <f>COUNTIFS('Acceptance Criteria'!B:B,B12,'Acceptance Criteria'!F:F,"Pass")</f>
        <v/>
      </c>
      <c r="H12" s="12">
        <f>COUNTIFS('Acceptance Criteria'!B:B,B12,'Acceptance Criteria'!F:F,"Fail")</f>
        <v/>
      </c>
      <c r="I12" s="12">
        <f>IF(C12=D12,"Linked","Mismatch")</f>
        <v/>
      </c>
      <c r="J12" s="24">
        <f>IF(C12=0,0,G12/C12)</f>
        <v/>
      </c>
    </row>
    <row r="13">
      <c r="A13" s="12" t="inlineStr">
        <is>
          <t>EP-002</t>
        </is>
      </c>
      <c r="B13" s="12" t="inlineStr">
        <is>
          <t>US-002-005</t>
        </is>
      </c>
      <c r="C13" s="12" t="n">
        <v>4</v>
      </c>
      <c r="D13" s="12">
        <f>COUNTIF('Acceptance Criteria'!B:B,B13)</f>
        <v/>
      </c>
      <c r="E13" s="12">
        <f>VLOOKUP(B13,'User Stories'!A:L,12,FALSE)</f>
        <v/>
      </c>
      <c r="F13" s="12">
        <f>COUNTIFS('Acceptance Criteria'!B:B,B13,'Acceptance Criteria'!F:F,"&lt;&gt;Not Tested")</f>
        <v/>
      </c>
      <c r="G13" s="12">
        <f>COUNTIFS('Acceptance Criteria'!B:B,B13,'Acceptance Criteria'!F:F,"Pass")</f>
        <v/>
      </c>
      <c r="H13" s="12">
        <f>COUNTIFS('Acceptance Criteria'!B:B,B13,'Acceptance Criteria'!F:F,"Fail")</f>
        <v/>
      </c>
      <c r="I13" s="12">
        <f>IF(C13=D13,"Linked","Mismatch")</f>
        <v/>
      </c>
      <c r="J13" s="24">
        <f>IF(C13=0,0,G13/C13)</f>
        <v/>
      </c>
    </row>
    <row r="14">
      <c r="A14" s="12" t="inlineStr">
        <is>
          <t>EP-002</t>
        </is>
      </c>
      <c r="B14" s="12" t="inlineStr">
        <is>
          <t>US-002-006</t>
        </is>
      </c>
      <c r="C14" s="12" t="n">
        <v>4</v>
      </c>
      <c r="D14" s="12">
        <f>COUNTIF('Acceptance Criteria'!B:B,B14)</f>
        <v/>
      </c>
      <c r="E14" s="12">
        <f>VLOOKUP(B14,'User Stories'!A:L,12,FALSE)</f>
        <v/>
      </c>
      <c r="F14" s="12">
        <f>COUNTIFS('Acceptance Criteria'!B:B,B14,'Acceptance Criteria'!F:F,"&lt;&gt;Not Tested")</f>
        <v/>
      </c>
      <c r="G14" s="12">
        <f>COUNTIFS('Acceptance Criteria'!B:B,B14,'Acceptance Criteria'!F:F,"Pass")</f>
        <v/>
      </c>
      <c r="H14" s="12">
        <f>COUNTIFS('Acceptance Criteria'!B:B,B14,'Acceptance Criteria'!F:F,"Fail")</f>
        <v/>
      </c>
      <c r="I14" s="12">
        <f>IF(C14=D14,"Linked","Mismatch")</f>
        <v/>
      </c>
      <c r="J14" s="24">
        <f>IF(C14=0,0,G14/C14)</f>
        <v/>
      </c>
    </row>
    <row r="15">
      <c r="A15" s="12" t="inlineStr">
        <is>
          <t>EP-003</t>
        </is>
      </c>
      <c r="B15" s="12" t="inlineStr">
        <is>
          <t>US-003-001</t>
        </is>
      </c>
      <c r="C15" s="12" t="n">
        <v>4</v>
      </c>
      <c r="D15" s="12">
        <f>COUNTIF('Acceptance Criteria'!B:B,B15)</f>
        <v/>
      </c>
      <c r="E15" s="12">
        <f>VLOOKUP(B15,'User Stories'!A:L,12,FALSE)</f>
        <v/>
      </c>
      <c r="F15" s="12">
        <f>COUNTIFS('Acceptance Criteria'!B:B,B15,'Acceptance Criteria'!F:F,"&lt;&gt;Not Tested")</f>
        <v/>
      </c>
      <c r="G15" s="12">
        <f>COUNTIFS('Acceptance Criteria'!B:B,B15,'Acceptance Criteria'!F:F,"Pass")</f>
        <v/>
      </c>
      <c r="H15" s="12">
        <f>COUNTIFS('Acceptance Criteria'!B:B,B15,'Acceptance Criteria'!F:F,"Fail")</f>
        <v/>
      </c>
      <c r="I15" s="12">
        <f>IF(C15=D15,"Linked","Mismatch")</f>
        <v/>
      </c>
      <c r="J15" s="24">
        <f>IF(C15=0,0,G15/C15)</f>
        <v/>
      </c>
    </row>
    <row r="16">
      <c r="A16" s="12" t="inlineStr">
        <is>
          <t>EP-003</t>
        </is>
      </c>
      <c r="B16" s="12" t="inlineStr">
        <is>
          <t>US-003-002</t>
        </is>
      </c>
      <c r="C16" s="12" t="n">
        <v>4</v>
      </c>
      <c r="D16" s="12">
        <f>COUNTIF('Acceptance Criteria'!B:B,B16)</f>
        <v/>
      </c>
      <c r="E16" s="12">
        <f>VLOOKUP(B16,'User Stories'!A:L,12,FALSE)</f>
        <v/>
      </c>
      <c r="F16" s="12">
        <f>COUNTIFS('Acceptance Criteria'!B:B,B16,'Acceptance Criteria'!F:F,"&lt;&gt;Not Tested")</f>
        <v/>
      </c>
      <c r="G16" s="12">
        <f>COUNTIFS('Acceptance Criteria'!B:B,B16,'Acceptance Criteria'!F:F,"Pass")</f>
        <v/>
      </c>
      <c r="H16" s="12">
        <f>COUNTIFS('Acceptance Criteria'!B:B,B16,'Acceptance Criteria'!F:F,"Fail")</f>
        <v/>
      </c>
      <c r="I16" s="12">
        <f>IF(C16=D16,"Linked","Mismatch")</f>
        <v/>
      </c>
      <c r="J16" s="24">
        <f>IF(C16=0,0,G16/C16)</f>
        <v/>
      </c>
    </row>
    <row r="17">
      <c r="A17" s="12" t="inlineStr">
        <is>
          <t>EP-003</t>
        </is>
      </c>
      <c r="B17" s="12" t="inlineStr">
        <is>
          <t>US-003-003</t>
        </is>
      </c>
      <c r="C17" s="12" t="n">
        <v>4</v>
      </c>
      <c r="D17" s="12">
        <f>COUNTIF('Acceptance Criteria'!B:B,B17)</f>
        <v/>
      </c>
      <c r="E17" s="12">
        <f>VLOOKUP(B17,'User Stories'!A:L,12,FALSE)</f>
        <v/>
      </c>
      <c r="F17" s="12">
        <f>COUNTIFS('Acceptance Criteria'!B:B,B17,'Acceptance Criteria'!F:F,"&lt;&gt;Not Tested")</f>
        <v/>
      </c>
      <c r="G17" s="12">
        <f>COUNTIFS('Acceptance Criteria'!B:B,B17,'Acceptance Criteria'!F:F,"Pass")</f>
        <v/>
      </c>
      <c r="H17" s="12">
        <f>COUNTIFS('Acceptance Criteria'!B:B,B17,'Acceptance Criteria'!F:F,"Fail")</f>
        <v/>
      </c>
      <c r="I17" s="12">
        <f>IF(C17=D17,"Linked","Mismatch")</f>
        <v/>
      </c>
      <c r="J17" s="24">
        <f>IF(C17=0,0,G17/C17)</f>
        <v/>
      </c>
    </row>
    <row r="18">
      <c r="A18" s="12" t="inlineStr">
        <is>
          <t>EP-003</t>
        </is>
      </c>
      <c r="B18" s="12" t="inlineStr">
        <is>
          <t>US-003-004</t>
        </is>
      </c>
      <c r="C18" s="12" t="n">
        <v>4</v>
      </c>
      <c r="D18" s="12">
        <f>COUNTIF('Acceptance Criteria'!B:B,B18)</f>
        <v/>
      </c>
      <c r="E18" s="12">
        <f>VLOOKUP(B18,'User Stories'!A:L,12,FALSE)</f>
        <v/>
      </c>
      <c r="F18" s="12">
        <f>COUNTIFS('Acceptance Criteria'!B:B,B18,'Acceptance Criteria'!F:F,"&lt;&gt;Not Tested")</f>
        <v/>
      </c>
      <c r="G18" s="12">
        <f>COUNTIFS('Acceptance Criteria'!B:B,B18,'Acceptance Criteria'!F:F,"Pass")</f>
        <v/>
      </c>
      <c r="H18" s="12">
        <f>COUNTIFS('Acceptance Criteria'!B:B,B18,'Acceptance Criteria'!F:F,"Fail")</f>
        <v/>
      </c>
      <c r="I18" s="12">
        <f>IF(C18=D18,"Linked","Mismatch")</f>
        <v/>
      </c>
      <c r="J18" s="24">
        <f>IF(C18=0,0,G18/C18)</f>
        <v/>
      </c>
    </row>
    <row r="19">
      <c r="A19" s="12" t="inlineStr">
        <is>
          <t>EP-003</t>
        </is>
      </c>
      <c r="B19" s="12" t="inlineStr">
        <is>
          <t>US-003-005</t>
        </is>
      </c>
      <c r="C19" s="12" t="n">
        <v>4</v>
      </c>
      <c r="D19" s="12">
        <f>COUNTIF('Acceptance Criteria'!B:B,B19)</f>
        <v/>
      </c>
      <c r="E19" s="12">
        <f>VLOOKUP(B19,'User Stories'!A:L,12,FALSE)</f>
        <v/>
      </c>
      <c r="F19" s="12">
        <f>COUNTIFS('Acceptance Criteria'!B:B,B19,'Acceptance Criteria'!F:F,"&lt;&gt;Not Tested")</f>
        <v/>
      </c>
      <c r="G19" s="12">
        <f>COUNTIFS('Acceptance Criteria'!B:B,B19,'Acceptance Criteria'!F:F,"Pass")</f>
        <v/>
      </c>
      <c r="H19" s="12">
        <f>COUNTIFS('Acceptance Criteria'!B:B,B19,'Acceptance Criteria'!F:F,"Fail")</f>
        <v/>
      </c>
      <c r="I19" s="12">
        <f>IF(C19=D19,"Linked","Mismatch")</f>
        <v/>
      </c>
      <c r="J19" s="24">
        <f>IF(C19=0,0,G19/C19)</f>
        <v/>
      </c>
    </row>
    <row r="20">
      <c r="A20" s="12" t="inlineStr">
        <is>
          <t>EP-003</t>
        </is>
      </c>
      <c r="B20" s="12" t="inlineStr">
        <is>
          <t>US-003-006</t>
        </is>
      </c>
      <c r="C20" s="12" t="n">
        <v>4</v>
      </c>
      <c r="D20" s="12">
        <f>COUNTIF('Acceptance Criteria'!B:B,B20)</f>
        <v/>
      </c>
      <c r="E20" s="12">
        <f>VLOOKUP(B20,'User Stories'!A:L,12,FALSE)</f>
        <v/>
      </c>
      <c r="F20" s="12">
        <f>COUNTIFS('Acceptance Criteria'!B:B,B20,'Acceptance Criteria'!F:F,"&lt;&gt;Not Tested")</f>
        <v/>
      </c>
      <c r="G20" s="12">
        <f>COUNTIFS('Acceptance Criteria'!B:B,B20,'Acceptance Criteria'!F:F,"Pass")</f>
        <v/>
      </c>
      <c r="H20" s="12">
        <f>COUNTIFS('Acceptance Criteria'!B:B,B20,'Acceptance Criteria'!F:F,"Fail")</f>
        <v/>
      </c>
      <c r="I20" s="12">
        <f>IF(C20=D20,"Linked","Mismatch")</f>
        <v/>
      </c>
      <c r="J20" s="24">
        <f>IF(C20=0,0,G20/C20)</f>
        <v/>
      </c>
    </row>
    <row r="21">
      <c r="A21" s="12" t="inlineStr">
        <is>
          <t>EP-003</t>
        </is>
      </c>
      <c r="B21" s="12" t="inlineStr">
        <is>
          <t>US-003-007</t>
        </is>
      </c>
      <c r="C21" s="12" t="n">
        <v>4</v>
      </c>
      <c r="D21" s="12">
        <f>COUNTIF('Acceptance Criteria'!B:B,B21)</f>
        <v/>
      </c>
      <c r="E21" s="12">
        <f>VLOOKUP(B21,'User Stories'!A:L,12,FALSE)</f>
        <v/>
      </c>
      <c r="F21" s="12">
        <f>COUNTIFS('Acceptance Criteria'!B:B,B21,'Acceptance Criteria'!F:F,"&lt;&gt;Not Tested")</f>
        <v/>
      </c>
      <c r="G21" s="12">
        <f>COUNTIFS('Acceptance Criteria'!B:B,B21,'Acceptance Criteria'!F:F,"Pass")</f>
        <v/>
      </c>
      <c r="H21" s="12">
        <f>COUNTIFS('Acceptance Criteria'!B:B,B21,'Acceptance Criteria'!F:F,"Fail")</f>
        <v/>
      </c>
      <c r="I21" s="12">
        <f>IF(C21=D21,"Linked","Mismatch")</f>
        <v/>
      </c>
      <c r="J21" s="24">
        <f>IF(C21=0,0,G21/C21)</f>
        <v/>
      </c>
    </row>
    <row r="22">
      <c r="A22" s="12" t="inlineStr">
        <is>
          <t>EP-003</t>
        </is>
      </c>
      <c r="B22" s="12" t="inlineStr">
        <is>
          <t>US-003-008</t>
        </is>
      </c>
      <c r="C22" s="12" t="n">
        <v>4</v>
      </c>
      <c r="D22" s="12">
        <f>COUNTIF('Acceptance Criteria'!B:B,B22)</f>
        <v/>
      </c>
      <c r="E22" s="12">
        <f>VLOOKUP(B22,'User Stories'!A:L,12,FALSE)</f>
        <v/>
      </c>
      <c r="F22" s="12">
        <f>COUNTIFS('Acceptance Criteria'!B:B,B22,'Acceptance Criteria'!F:F,"&lt;&gt;Not Tested")</f>
        <v/>
      </c>
      <c r="G22" s="12">
        <f>COUNTIFS('Acceptance Criteria'!B:B,B22,'Acceptance Criteria'!F:F,"Pass")</f>
        <v/>
      </c>
      <c r="H22" s="12">
        <f>COUNTIFS('Acceptance Criteria'!B:B,B22,'Acceptance Criteria'!F:F,"Fail")</f>
        <v/>
      </c>
      <c r="I22" s="12">
        <f>IF(C22=D22,"Linked","Mismatch")</f>
        <v/>
      </c>
      <c r="J22" s="24">
        <f>IF(C22=0,0,G22/C22)</f>
        <v/>
      </c>
    </row>
    <row r="23">
      <c r="A23" s="12" t="inlineStr">
        <is>
          <t>EP-004</t>
        </is>
      </c>
      <c r="B23" s="12" t="inlineStr">
        <is>
          <t>US-004-001</t>
        </is>
      </c>
      <c r="C23" s="12" t="n">
        <v>4</v>
      </c>
      <c r="D23" s="12">
        <f>COUNTIF('Acceptance Criteria'!B:B,B23)</f>
        <v/>
      </c>
      <c r="E23" s="12">
        <f>VLOOKUP(B23,'User Stories'!A:L,12,FALSE)</f>
        <v/>
      </c>
      <c r="F23" s="12">
        <f>COUNTIFS('Acceptance Criteria'!B:B,B23,'Acceptance Criteria'!F:F,"&lt;&gt;Not Tested")</f>
        <v/>
      </c>
      <c r="G23" s="12">
        <f>COUNTIFS('Acceptance Criteria'!B:B,B23,'Acceptance Criteria'!F:F,"Pass")</f>
        <v/>
      </c>
      <c r="H23" s="12">
        <f>COUNTIFS('Acceptance Criteria'!B:B,B23,'Acceptance Criteria'!F:F,"Fail")</f>
        <v/>
      </c>
      <c r="I23" s="12">
        <f>IF(C23=D23,"Linked","Mismatch")</f>
        <v/>
      </c>
      <c r="J23" s="24">
        <f>IF(C23=0,0,G23/C23)</f>
        <v/>
      </c>
    </row>
    <row r="24">
      <c r="A24" s="12" t="inlineStr">
        <is>
          <t>EP-004</t>
        </is>
      </c>
      <c r="B24" s="12" t="inlineStr">
        <is>
          <t>US-004-002</t>
        </is>
      </c>
      <c r="C24" s="12" t="n">
        <v>4</v>
      </c>
      <c r="D24" s="12">
        <f>COUNTIF('Acceptance Criteria'!B:B,B24)</f>
        <v/>
      </c>
      <c r="E24" s="12">
        <f>VLOOKUP(B24,'User Stories'!A:L,12,FALSE)</f>
        <v/>
      </c>
      <c r="F24" s="12">
        <f>COUNTIFS('Acceptance Criteria'!B:B,B24,'Acceptance Criteria'!F:F,"&lt;&gt;Not Tested")</f>
        <v/>
      </c>
      <c r="G24" s="12">
        <f>COUNTIFS('Acceptance Criteria'!B:B,B24,'Acceptance Criteria'!F:F,"Pass")</f>
        <v/>
      </c>
      <c r="H24" s="12">
        <f>COUNTIFS('Acceptance Criteria'!B:B,B24,'Acceptance Criteria'!F:F,"Fail")</f>
        <v/>
      </c>
      <c r="I24" s="12">
        <f>IF(C24=D24,"Linked","Mismatch")</f>
        <v/>
      </c>
      <c r="J24" s="24">
        <f>IF(C24=0,0,G24/C24)</f>
        <v/>
      </c>
    </row>
    <row r="25">
      <c r="A25" s="12" t="inlineStr">
        <is>
          <t>EP-004</t>
        </is>
      </c>
      <c r="B25" s="12" t="inlineStr">
        <is>
          <t>US-004-003</t>
        </is>
      </c>
      <c r="C25" s="12" t="n">
        <v>4</v>
      </c>
      <c r="D25" s="12">
        <f>COUNTIF('Acceptance Criteria'!B:B,B25)</f>
        <v/>
      </c>
      <c r="E25" s="12">
        <f>VLOOKUP(B25,'User Stories'!A:L,12,FALSE)</f>
        <v/>
      </c>
      <c r="F25" s="12">
        <f>COUNTIFS('Acceptance Criteria'!B:B,B25,'Acceptance Criteria'!F:F,"&lt;&gt;Not Tested")</f>
        <v/>
      </c>
      <c r="G25" s="12">
        <f>COUNTIFS('Acceptance Criteria'!B:B,B25,'Acceptance Criteria'!F:F,"Pass")</f>
        <v/>
      </c>
      <c r="H25" s="12">
        <f>COUNTIFS('Acceptance Criteria'!B:B,B25,'Acceptance Criteria'!F:F,"Fail")</f>
        <v/>
      </c>
      <c r="I25" s="12">
        <f>IF(C25=D25,"Linked","Mismatch")</f>
        <v/>
      </c>
      <c r="J25" s="24">
        <f>IF(C25=0,0,G25/C25)</f>
        <v/>
      </c>
    </row>
    <row r="26">
      <c r="A26" s="12" t="inlineStr">
        <is>
          <t>EP-004</t>
        </is>
      </c>
      <c r="B26" s="12" t="inlineStr">
        <is>
          <t>US-004-004</t>
        </is>
      </c>
      <c r="C26" s="12" t="n">
        <v>4</v>
      </c>
      <c r="D26" s="12">
        <f>COUNTIF('Acceptance Criteria'!B:B,B26)</f>
        <v/>
      </c>
      <c r="E26" s="12">
        <f>VLOOKUP(B26,'User Stories'!A:L,12,FALSE)</f>
        <v/>
      </c>
      <c r="F26" s="12">
        <f>COUNTIFS('Acceptance Criteria'!B:B,B26,'Acceptance Criteria'!F:F,"&lt;&gt;Not Tested")</f>
        <v/>
      </c>
      <c r="G26" s="12">
        <f>COUNTIFS('Acceptance Criteria'!B:B,B26,'Acceptance Criteria'!F:F,"Pass")</f>
        <v/>
      </c>
      <c r="H26" s="12">
        <f>COUNTIFS('Acceptance Criteria'!B:B,B26,'Acceptance Criteria'!F:F,"Fail")</f>
        <v/>
      </c>
      <c r="I26" s="12">
        <f>IF(C26=D26,"Linked","Mismatch")</f>
        <v/>
      </c>
      <c r="J26" s="24">
        <f>IF(C26=0,0,G26/C26)</f>
        <v/>
      </c>
    </row>
    <row r="27">
      <c r="A27" s="12" t="inlineStr">
        <is>
          <t>EP-004</t>
        </is>
      </c>
      <c r="B27" s="12" t="inlineStr">
        <is>
          <t>US-004-005</t>
        </is>
      </c>
      <c r="C27" s="12" t="n">
        <v>4</v>
      </c>
      <c r="D27" s="12">
        <f>COUNTIF('Acceptance Criteria'!B:B,B27)</f>
        <v/>
      </c>
      <c r="E27" s="12">
        <f>VLOOKUP(B27,'User Stories'!A:L,12,FALSE)</f>
        <v/>
      </c>
      <c r="F27" s="12">
        <f>COUNTIFS('Acceptance Criteria'!B:B,B27,'Acceptance Criteria'!F:F,"&lt;&gt;Not Tested")</f>
        <v/>
      </c>
      <c r="G27" s="12">
        <f>COUNTIFS('Acceptance Criteria'!B:B,B27,'Acceptance Criteria'!F:F,"Pass")</f>
        <v/>
      </c>
      <c r="H27" s="12">
        <f>COUNTIFS('Acceptance Criteria'!B:B,B27,'Acceptance Criteria'!F:F,"Fail")</f>
        <v/>
      </c>
      <c r="I27" s="12">
        <f>IF(C27=D27,"Linked","Mismatch")</f>
        <v/>
      </c>
      <c r="J27" s="24">
        <f>IF(C27=0,0,G27/C27)</f>
        <v/>
      </c>
    </row>
    <row r="28">
      <c r="A28" s="12" t="inlineStr">
        <is>
          <t>EP-004</t>
        </is>
      </c>
      <c r="B28" s="12" t="inlineStr">
        <is>
          <t>US-004-006</t>
        </is>
      </c>
      <c r="C28" s="12" t="n">
        <v>4</v>
      </c>
      <c r="D28" s="12">
        <f>COUNTIF('Acceptance Criteria'!B:B,B28)</f>
        <v/>
      </c>
      <c r="E28" s="12">
        <f>VLOOKUP(B28,'User Stories'!A:L,12,FALSE)</f>
        <v/>
      </c>
      <c r="F28" s="12">
        <f>COUNTIFS('Acceptance Criteria'!B:B,B28,'Acceptance Criteria'!F:F,"&lt;&gt;Not Tested")</f>
        <v/>
      </c>
      <c r="G28" s="12">
        <f>COUNTIFS('Acceptance Criteria'!B:B,B28,'Acceptance Criteria'!F:F,"Pass")</f>
        <v/>
      </c>
      <c r="H28" s="12">
        <f>COUNTIFS('Acceptance Criteria'!B:B,B28,'Acceptance Criteria'!F:F,"Fail")</f>
        <v/>
      </c>
      <c r="I28" s="12">
        <f>IF(C28=D28,"Linked","Mismatch")</f>
        <v/>
      </c>
      <c r="J28" s="24">
        <f>IF(C28=0,0,G28/C28)</f>
        <v/>
      </c>
    </row>
    <row r="29">
      <c r="A29" s="12" t="inlineStr">
        <is>
          <t>EP-005</t>
        </is>
      </c>
      <c r="B29" s="12" t="inlineStr">
        <is>
          <t>US-005-001</t>
        </is>
      </c>
      <c r="C29" s="12" t="n">
        <v>4</v>
      </c>
      <c r="D29" s="12">
        <f>COUNTIF('Acceptance Criteria'!B:B,B29)</f>
        <v/>
      </c>
      <c r="E29" s="12">
        <f>VLOOKUP(B29,'User Stories'!A:L,12,FALSE)</f>
        <v/>
      </c>
      <c r="F29" s="12">
        <f>COUNTIFS('Acceptance Criteria'!B:B,B29,'Acceptance Criteria'!F:F,"&lt;&gt;Not Tested")</f>
        <v/>
      </c>
      <c r="G29" s="12">
        <f>COUNTIFS('Acceptance Criteria'!B:B,B29,'Acceptance Criteria'!F:F,"Pass")</f>
        <v/>
      </c>
      <c r="H29" s="12">
        <f>COUNTIFS('Acceptance Criteria'!B:B,B29,'Acceptance Criteria'!F:F,"Fail")</f>
        <v/>
      </c>
      <c r="I29" s="12">
        <f>IF(C29=D29,"Linked","Mismatch")</f>
        <v/>
      </c>
      <c r="J29" s="24">
        <f>IF(C29=0,0,G29/C29)</f>
        <v/>
      </c>
    </row>
    <row r="30">
      <c r="A30" s="12" t="inlineStr">
        <is>
          <t>EP-005</t>
        </is>
      </c>
      <c r="B30" s="12" t="inlineStr">
        <is>
          <t>US-005-002</t>
        </is>
      </c>
      <c r="C30" s="12" t="n">
        <v>4</v>
      </c>
      <c r="D30" s="12">
        <f>COUNTIF('Acceptance Criteria'!B:B,B30)</f>
        <v/>
      </c>
      <c r="E30" s="12">
        <f>VLOOKUP(B30,'User Stories'!A:L,12,FALSE)</f>
        <v/>
      </c>
      <c r="F30" s="12">
        <f>COUNTIFS('Acceptance Criteria'!B:B,B30,'Acceptance Criteria'!F:F,"&lt;&gt;Not Tested")</f>
        <v/>
      </c>
      <c r="G30" s="12">
        <f>COUNTIFS('Acceptance Criteria'!B:B,B30,'Acceptance Criteria'!F:F,"Pass")</f>
        <v/>
      </c>
      <c r="H30" s="12">
        <f>COUNTIFS('Acceptance Criteria'!B:B,B30,'Acceptance Criteria'!F:F,"Fail")</f>
        <v/>
      </c>
      <c r="I30" s="12">
        <f>IF(C30=D30,"Linked","Mismatch")</f>
        <v/>
      </c>
      <c r="J30" s="24">
        <f>IF(C30=0,0,G30/C30)</f>
        <v/>
      </c>
    </row>
    <row r="31">
      <c r="A31" s="12" t="inlineStr">
        <is>
          <t>EP-005</t>
        </is>
      </c>
      <c r="B31" s="12" t="inlineStr">
        <is>
          <t>US-005-003</t>
        </is>
      </c>
      <c r="C31" s="12" t="n">
        <v>4</v>
      </c>
      <c r="D31" s="12">
        <f>COUNTIF('Acceptance Criteria'!B:B,B31)</f>
        <v/>
      </c>
      <c r="E31" s="12">
        <f>VLOOKUP(B31,'User Stories'!A:L,12,FALSE)</f>
        <v/>
      </c>
      <c r="F31" s="12">
        <f>COUNTIFS('Acceptance Criteria'!B:B,B31,'Acceptance Criteria'!F:F,"&lt;&gt;Not Tested")</f>
        <v/>
      </c>
      <c r="G31" s="12">
        <f>COUNTIFS('Acceptance Criteria'!B:B,B31,'Acceptance Criteria'!F:F,"Pass")</f>
        <v/>
      </c>
      <c r="H31" s="12">
        <f>COUNTIFS('Acceptance Criteria'!B:B,B31,'Acceptance Criteria'!F:F,"Fail")</f>
        <v/>
      </c>
      <c r="I31" s="12">
        <f>IF(C31=D31,"Linked","Mismatch")</f>
        <v/>
      </c>
      <c r="J31" s="24">
        <f>IF(C31=0,0,G31/C31)</f>
        <v/>
      </c>
    </row>
    <row r="32">
      <c r="A32" s="12" t="inlineStr">
        <is>
          <t>EP-005</t>
        </is>
      </c>
      <c r="B32" s="12" t="inlineStr">
        <is>
          <t>US-005-004</t>
        </is>
      </c>
      <c r="C32" s="12" t="n">
        <v>4</v>
      </c>
      <c r="D32" s="12">
        <f>COUNTIF('Acceptance Criteria'!B:B,B32)</f>
        <v/>
      </c>
      <c r="E32" s="12">
        <f>VLOOKUP(B32,'User Stories'!A:L,12,FALSE)</f>
        <v/>
      </c>
      <c r="F32" s="12">
        <f>COUNTIFS('Acceptance Criteria'!B:B,B32,'Acceptance Criteria'!F:F,"&lt;&gt;Not Tested")</f>
        <v/>
      </c>
      <c r="G32" s="12">
        <f>COUNTIFS('Acceptance Criteria'!B:B,B32,'Acceptance Criteria'!F:F,"Pass")</f>
        <v/>
      </c>
      <c r="H32" s="12">
        <f>COUNTIFS('Acceptance Criteria'!B:B,B32,'Acceptance Criteria'!F:F,"Fail")</f>
        <v/>
      </c>
      <c r="I32" s="12">
        <f>IF(C32=D32,"Linked","Mismatch")</f>
        <v/>
      </c>
      <c r="J32" s="24">
        <f>IF(C32=0,0,G32/C32)</f>
        <v/>
      </c>
    </row>
    <row r="33">
      <c r="A33" s="12" t="inlineStr">
        <is>
          <t>EP-005</t>
        </is>
      </c>
      <c r="B33" s="12" t="inlineStr">
        <is>
          <t>US-005-005</t>
        </is>
      </c>
      <c r="C33" s="12" t="n">
        <v>4</v>
      </c>
      <c r="D33" s="12">
        <f>COUNTIF('Acceptance Criteria'!B:B,B33)</f>
        <v/>
      </c>
      <c r="E33" s="12">
        <f>VLOOKUP(B33,'User Stories'!A:L,12,FALSE)</f>
        <v/>
      </c>
      <c r="F33" s="12">
        <f>COUNTIFS('Acceptance Criteria'!B:B,B33,'Acceptance Criteria'!F:F,"&lt;&gt;Not Tested")</f>
        <v/>
      </c>
      <c r="G33" s="12">
        <f>COUNTIFS('Acceptance Criteria'!B:B,B33,'Acceptance Criteria'!F:F,"Pass")</f>
        <v/>
      </c>
      <c r="H33" s="12">
        <f>COUNTIFS('Acceptance Criteria'!B:B,B33,'Acceptance Criteria'!F:F,"Fail")</f>
        <v/>
      </c>
      <c r="I33" s="12">
        <f>IF(C33=D33,"Linked","Mismatch")</f>
        <v/>
      </c>
      <c r="J33" s="24">
        <f>IF(C33=0,0,G33/C33)</f>
        <v/>
      </c>
    </row>
    <row r="34">
      <c r="A34" s="12" t="inlineStr">
        <is>
          <t>EP-005</t>
        </is>
      </c>
      <c r="B34" s="12" t="inlineStr">
        <is>
          <t>US-005-006</t>
        </is>
      </c>
      <c r="C34" s="12" t="n">
        <v>4</v>
      </c>
      <c r="D34" s="12">
        <f>COUNTIF('Acceptance Criteria'!B:B,B34)</f>
        <v/>
      </c>
      <c r="E34" s="12">
        <f>VLOOKUP(B34,'User Stories'!A:L,12,FALSE)</f>
        <v/>
      </c>
      <c r="F34" s="12">
        <f>COUNTIFS('Acceptance Criteria'!B:B,B34,'Acceptance Criteria'!F:F,"&lt;&gt;Not Tested")</f>
        <v/>
      </c>
      <c r="G34" s="12">
        <f>COUNTIFS('Acceptance Criteria'!B:B,B34,'Acceptance Criteria'!F:F,"Pass")</f>
        <v/>
      </c>
      <c r="H34" s="12">
        <f>COUNTIFS('Acceptance Criteria'!B:B,B34,'Acceptance Criteria'!F:F,"Fail")</f>
        <v/>
      </c>
      <c r="I34" s="12">
        <f>IF(C34=D34,"Linked","Mismatch")</f>
        <v/>
      </c>
      <c r="J34" s="24">
        <f>IF(C34=0,0,G34/C34)</f>
        <v/>
      </c>
    </row>
    <row r="35">
      <c r="A35" s="12" t="inlineStr">
        <is>
          <t>EP-005</t>
        </is>
      </c>
      <c r="B35" s="12" t="inlineStr">
        <is>
          <t>US-005-007</t>
        </is>
      </c>
      <c r="C35" s="12" t="n">
        <v>4</v>
      </c>
      <c r="D35" s="12">
        <f>COUNTIF('Acceptance Criteria'!B:B,B35)</f>
        <v/>
      </c>
      <c r="E35" s="12">
        <f>VLOOKUP(B35,'User Stories'!A:L,12,FALSE)</f>
        <v/>
      </c>
      <c r="F35" s="12">
        <f>COUNTIFS('Acceptance Criteria'!B:B,B35,'Acceptance Criteria'!F:F,"&lt;&gt;Not Tested")</f>
        <v/>
      </c>
      <c r="G35" s="12">
        <f>COUNTIFS('Acceptance Criteria'!B:B,B35,'Acceptance Criteria'!F:F,"Pass")</f>
        <v/>
      </c>
      <c r="H35" s="12">
        <f>COUNTIFS('Acceptance Criteria'!B:B,B35,'Acceptance Criteria'!F:F,"Fail")</f>
        <v/>
      </c>
      <c r="I35" s="12">
        <f>IF(C35=D35,"Linked","Mismatch")</f>
        <v/>
      </c>
      <c r="J35" s="24">
        <f>IF(C35=0,0,G35/C35)</f>
        <v/>
      </c>
    </row>
    <row r="36">
      <c r="A36" s="12" t="inlineStr">
        <is>
          <t>EP-005</t>
        </is>
      </c>
      <c r="B36" s="12" t="inlineStr">
        <is>
          <t>US-005-008</t>
        </is>
      </c>
      <c r="C36" s="12" t="n">
        <v>4</v>
      </c>
      <c r="D36" s="12">
        <f>COUNTIF('Acceptance Criteria'!B:B,B36)</f>
        <v/>
      </c>
      <c r="E36" s="12">
        <f>VLOOKUP(B36,'User Stories'!A:L,12,FALSE)</f>
        <v/>
      </c>
      <c r="F36" s="12">
        <f>COUNTIFS('Acceptance Criteria'!B:B,B36,'Acceptance Criteria'!F:F,"&lt;&gt;Not Tested")</f>
        <v/>
      </c>
      <c r="G36" s="12">
        <f>COUNTIFS('Acceptance Criteria'!B:B,B36,'Acceptance Criteria'!F:F,"Pass")</f>
        <v/>
      </c>
      <c r="H36" s="12">
        <f>COUNTIFS('Acceptance Criteria'!B:B,B36,'Acceptance Criteria'!F:F,"Fail")</f>
        <v/>
      </c>
      <c r="I36" s="12">
        <f>IF(C36=D36,"Linked","Mismatch")</f>
        <v/>
      </c>
      <c r="J36" s="24">
        <f>IF(C36=0,0,G36/C36)</f>
        <v/>
      </c>
    </row>
    <row r="37">
      <c r="A37" s="12" t="inlineStr">
        <is>
          <t>EP-006</t>
        </is>
      </c>
      <c r="B37" s="12" t="inlineStr">
        <is>
          <t>US-006-001</t>
        </is>
      </c>
      <c r="C37" s="12" t="n">
        <v>4</v>
      </c>
      <c r="D37" s="12">
        <f>COUNTIF('Acceptance Criteria'!B:B,B37)</f>
        <v/>
      </c>
      <c r="E37" s="12">
        <f>VLOOKUP(B37,'User Stories'!A:L,12,FALSE)</f>
        <v/>
      </c>
      <c r="F37" s="12">
        <f>COUNTIFS('Acceptance Criteria'!B:B,B37,'Acceptance Criteria'!F:F,"&lt;&gt;Not Tested")</f>
        <v/>
      </c>
      <c r="G37" s="12">
        <f>COUNTIFS('Acceptance Criteria'!B:B,B37,'Acceptance Criteria'!F:F,"Pass")</f>
        <v/>
      </c>
      <c r="H37" s="12">
        <f>COUNTIFS('Acceptance Criteria'!B:B,B37,'Acceptance Criteria'!F:F,"Fail")</f>
        <v/>
      </c>
      <c r="I37" s="12">
        <f>IF(C37=D37,"Linked","Mismatch")</f>
        <v/>
      </c>
      <c r="J37" s="24">
        <f>IF(C37=0,0,G37/C37)</f>
        <v/>
      </c>
    </row>
    <row r="38">
      <c r="A38" s="12" t="inlineStr">
        <is>
          <t>EP-006</t>
        </is>
      </c>
      <c r="B38" s="12" t="inlineStr">
        <is>
          <t>US-006-002</t>
        </is>
      </c>
      <c r="C38" s="12" t="n">
        <v>4</v>
      </c>
      <c r="D38" s="12">
        <f>COUNTIF('Acceptance Criteria'!B:B,B38)</f>
        <v/>
      </c>
      <c r="E38" s="12">
        <f>VLOOKUP(B38,'User Stories'!A:L,12,FALSE)</f>
        <v/>
      </c>
      <c r="F38" s="12">
        <f>COUNTIFS('Acceptance Criteria'!B:B,B38,'Acceptance Criteria'!F:F,"&lt;&gt;Not Tested")</f>
        <v/>
      </c>
      <c r="G38" s="12">
        <f>COUNTIFS('Acceptance Criteria'!B:B,B38,'Acceptance Criteria'!F:F,"Pass")</f>
        <v/>
      </c>
      <c r="H38" s="12">
        <f>COUNTIFS('Acceptance Criteria'!B:B,B38,'Acceptance Criteria'!F:F,"Fail")</f>
        <v/>
      </c>
      <c r="I38" s="12">
        <f>IF(C38=D38,"Linked","Mismatch")</f>
        <v/>
      </c>
      <c r="J38" s="24">
        <f>IF(C38=0,0,G38/C38)</f>
        <v/>
      </c>
    </row>
    <row r="39">
      <c r="A39" s="12" t="inlineStr">
        <is>
          <t>EP-006</t>
        </is>
      </c>
      <c r="B39" s="12" t="inlineStr">
        <is>
          <t>US-006-003</t>
        </is>
      </c>
      <c r="C39" s="12" t="n">
        <v>4</v>
      </c>
      <c r="D39" s="12">
        <f>COUNTIF('Acceptance Criteria'!B:B,B39)</f>
        <v/>
      </c>
      <c r="E39" s="12">
        <f>VLOOKUP(B39,'User Stories'!A:L,12,FALSE)</f>
        <v/>
      </c>
      <c r="F39" s="12">
        <f>COUNTIFS('Acceptance Criteria'!B:B,B39,'Acceptance Criteria'!F:F,"&lt;&gt;Not Tested")</f>
        <v/>
      </c>
      <c r="G39" s="12">
        <f>COUNTIFS('Acceptance Criteria'!B:B,B39,'Acceptance Criteria'!F:F,"Pass")</f>
        <v/>
      </c>
      <c r="H39" s="12">
        <f>COUNTIFS('Acceptance Criteria'!B:B,B39,'Acceptance Criteria'!F:F,"Fail")</f>
        <v/>
      </c>
      <c r="I39" s="12">
        <f>IF(C39=D39,"Linked","Mismatch")</f>
        <v/>
      </c>
      <c r="J39" s="24">
        <f>IF(C39=0,0,G39/C39)</f>
        <v/>
      </c>
    </row>
    <row r="40">
      <c r="A40" s="12" t="inlineStr">
        <is>
          <t>EP-006</t>
        </is>
      </c>
      <c r="B40" s="12" t="inlineStr">
        <is>
          <t>US-006-004</t>
        </is>
      </c>
      <c r="C40" s="12" t="n">
        <v>4</v>
      </c>
      <c r="D40" s="12">
        <f>COUNTIF('Acceptance Criteria'!B:B,B40)</f>
        <v/>
      </c>
      <c r="E40" s="12">
        <f>VLOOKUP(B40,'User Stories'!A:L,12,FALSE)</f>
        <v/>
      </c>
      <c r="F40" s="12">
        <f>COUNTIFS('Acceptance Criteria'!B:B,B40,'Acceptance Criteria'!F:F,"&lt;&gt;Not Tested")</f>
        <v/>
      </c>
      <c r="G40" s="12">
        <f>COUNTIFS('Acceptance Criteria'!B:B,B40,'Acceptance Criteria'!F:F,"Pass")</f>
        <v/>
      </c>
      <c r="H40" s="12">
        <f>COUNTIFS('Acceptance Criteria'!B:B,B40,'Acceptance Criteria'!F:F,"Fail")</f>
        <v/>
      </c>
      <c r="I40" s="12">
        <f>IF(C40=D40,"Linked","Mismatch")</f>
        <v/>
      </c>
      <c r="J40" s="24">
        <f>IF(C40=0,0,G40/C40)</f>
        <v/>
      </c>
    </row>
    <row r="41">
      <c r="A41" s="12" t="inlineStr">
        <is>
          <t>EP-006</t>
        </is>
      </c>
      <c r="B41" s="12" t="inlineStr">
        <is>
          <t>US-006-005</t>
        </is>
      </c>
      <c r="C41" s="12" t="n">
        <v>4</v>
      </c>
      <c r="D41" s="12">
        <f>COUNTIF('Acceptance Criteria'!B:B,B41)</f>
        <v/>
      </c>
      <c r="E41" s="12">
        <f>VLOOKUP(B41,'User Stories'!A:L,12,FALSE)</f>
        <v/>
      </c>
      <c r="F41" s="12">
        <f>COUNTIFS('Acceptance Criteria'!B:B,B41,'Acceptance Criteria'!F:F,"&lt;&gt;Not Tested")</f>
        <v/>
      </c>
      <c r="G41" s="12">
        <f>COUNTIFS('Acceptance Criteria'!B:B,B41,'Acceptance Criteria'!F:F,"Pass")</f>
        <v/>
      </c>
      <c r="H41" s="12">
        <f>COUNTIFS('Acceptance Criteria'!B:B,B41,'Acceptance Criteria'!F:F,"Fail")</f>
        <v/>
      </c>
      <c r="I41" s="12">
        <f>IF(C41=D41,"Linked","Mismatch")</f>
        <v/>
      </c>
      <c r="J41" s="24">
        <f>IF(C41=0,0,G41/C41)</f>
        <v/>
      </c>
    </row>
    <row r="42">
      <c r="A42" s="12" t="inlineStr">
        <is>
          <t>EP-006</t>
        </is>
      </c>
      <c r="B42" s="12" t="inlineStr">
        <is>
          <t>US-006-006</t>
        </is>
      </c>
      <c r="C42" s="12" t="n">
        <v>4</v>
      </c>
      <c r="D42" s="12">
        <f>COUNTIF('Acceptance Criteria'!B:B,B42)</f>
        <v/>
      </c>
      <c r="E42" s="12">
        <f>VLOOKUP(B42,'User Stories'!A:L,12,FALSE)</f>
        <v/>
      </c>
      <c r="F42" s="12">
        <f>COUNTIFS('Acceptance Criteria'!B:B,B42,'Acceptance Criteria'!F:F,"&lt;&gt;Not Tested")</f>
        <v/>
      </c>
      <c r="G42" s="12">
        <f>COUNTIFS('Acceptance Criteria'!B:B,B42,'Acceptance Criteria'!F:F,"Pass")</f>
        <v/>
      </c>
      <c r="H42" s="12">
        <f>COUNTIFS('Acceptance Criteria'!B:B,B42,'Acceptance Criteria'!F:F,"Fail")</f>
        <v/>
      </c>
      <c r="I42" s="12">
        <f>IF(C42=D42,"Linked","Mismatch")</f>
        <v/>
      </c>
      <c r="J42" s="24">
        <f>IF(C42=0,0,G42/C42)</f>
        <v/>
      </c>
    </row>
    <row r="43">
      <c r="A43" s="12" t="inlineStr">
        <is>
          <t>EP-006</t>
        </is>
      </c>
      <c r="B43" s="12" t="inlineStr">
        <is>
          <t>US-006-007</t>
        </is>
      </c>
      <c r="C43" s="12" t="n">
        <v>4</v>
      </c>
      <c r="D43" s="12">
        <f>COUNTIF('Acceptance Criteria'!B:B,B43)</f>
        <v/>
      </c>
      <c r="E43" s="12">
        <f>VLOOKUP(B43,'User Stories'!A:L,12,FALSE)</f>
        <v/>
      </c>
      <c r="F43" s="12">
        <f>COUNTIFS('Acceptance Criteria'!B:B,B43,'Acceptance Criteria'!F:F,"&lt;&gt;Not Tested")</f>
        <v/>
      </c>
      <c r="G43" s="12">
        <f>COUNTIFS('Acceptance Criteria'!B:B,B43,'Acceptance Criteria'!F:F,"Pass")</f>
        <v/>
      </c>
      <c r="H43" s="12">
        <f>COUNTIFS('Acceptance Criteria'!B:B,B43,'Acceptance Criteria'!F:F,"Fail")</f>
        <v/>
      </c>
      <c r="I43" s="12">
        <f>IF(C43=D43,"Linked","Mismatch")</f>
        <v/>
      </c>
      <c r="J43" s="24">
        <f>IF(C43=0,0,G43/C43)</f>
        <v/>
      </c>
    </row>
    <row r="44">
      <c r="A44" s="12" t="inlineStr">
        <is>
          <t>EP-006</t>
        </is>
      </c>
      <c r="B44" s="12" t="inlineStr">
        <is>
          <t>US-006-008</t>
        </is>
      </c>
      <c r="C44" s="12" t="n">
        <v>4</v>
      </c>
      <c r="D44" s="12">
        <f>COUNTIF('Acceptance Criteria'!B:B,B44)</f>
        <v/>
      </c>
      <c r="E44" s="12">
        <f>VLOOKUP(B44,'User Stories'!A:L,12,FALSE)</f>
        <v/>
      </c>
      <c r="F44" s="12">
        <f>COUNTIFS('Acceptance Criteria'!B:B,B44,'Acceptance Criteria'!F:F,"&lt;&gt;Not Tested")</f>
        <v/>
      </c>
      <c r="G44" s="12">
        <f>COUNTIFS('Acceptance Criteria'!B:B,B44,'Acceptance Criteria'!F:F,"Pass")</f>
        <v/>
      </c>
      <c r="H44" s="12">
        <f>COUNTIFS('Acceptance Criteria'!B:B,B44,'Acceptance Criteria'!F:F,"Fail")</f>
        <v/>
      </c>
      <c r="I44" s="12">
        <f>IF(C44=D44,"Linked","Mismatch")</f>
        <v/>
      </c>
      <c r="J44" s="24">
        <f>IF(C44=0,0,G44/C44)</f>
        <v/>
      </c>
    </row>
    <row r="45">
      <c r="A45" s="12" t="inlineStr">
        <is>
          <t>EP-006</t>
        </is>
      </c>
      <c r="B45" s="12" t="inlineStr">
        <is>
          <t>US-006-009</t>
        </is>
      </c>
      <c r="C45" s="12" t="n">
        <v>4</v>
      </c>
      <c r="D45" s="12">
        <f>COUNTIF('Acceptance Criteria'!B:B,B45)</f>
        <v/>
      </c>
      <c r="E45" s="12">
        <f>VLOOKUP(B45,'User Stories'!A:L,12,FALSE)</f>
        <v/>
      </c>
      <c r="F45" s="12">
        <f>COUNTIFS('Acceptance Criteria'!B:B,B45,'Acceptance Criteria'!F:F,"&lt;&gt;Not Tested")</f>
        <v/>
      </c>
      <c r="G45" s="12">
        <f>COUNTIFS('Acceptance Criteria'!B:B,B45,'Acceptance Criteria'!F:F,"Pass")</f>
        <v/>
      </c>
      <c r="H45" s="12">
        <f>COUNTIFS('Acceptance Criteria'!B:B,B45,'Acceptance Criteria'!F:F,"Fail")</f>
        <v/>
      </c>
      <c r="I45" s="12">
        <f>IF(C45=D45,"Linked","Mismatch")</f>
        <v/>
      </c>
      <c r="J45" s="24">
        <f>IF(C45=0,0,G45/C45)</f>
        <v/>
      </c>
    </row>
    <row r="46">
      <c r="A46" s="12" t="inlineStr">
        <is>
          <t>EP-006</t>
        </is>
      </c>
      <c r="B46" s="12" t="inlineStr">
        <is>
          <t>US-006-010</t>
        </is>
      </c>
      <c r="C46" s="12" t="n">
        <v>4</v>
      </c>
      <c r="D46" s="12">
        <f>COUNTIF('Acceptance Criteria'!B:B,B46)</f>
        <v/>
      </c>
      <c r="E46" s="12">
        <f>VLOOKUP(B46,'User Stories'!A:L,12,FALSE)</f>
        <v/>
      </c>
      <c r="F46" s="12">
        <f>COUNTIFS('Acceptance Criteria'!B:B,B46,'Acceptance Criteria'!F:F,"&lt;&gt;Not Tested")</f>
        <v/>
      </c>
      <c r="G46" s="12">
        <f>COUNTIFS('Acceptance Criteria'!B:B,B46,'Acceptance Criteria'!F:F,"Pass")</f>
        <v/>
      </c>
      <c r="H46" s="12">
        <f>COUNTIFS('Acceptance Criteria'!B:B,B46,'Acceptance Criteria'!F:F,"Fail")</f>
        <v/>
      </c>
      <c r="I46" s="12">
        <f>IF(C46=D46,"Linked","Mismatch")</f>
        <v/>
      </c>
      <c r="J46" s="24">
        <f>IF(C46=0,0,G46/C46)</f>
        <v/>
      </c>
    </row>
    <row r="47">
      <c r="A47" s="12" t="inlineStr">
        <is>
          <t>EP-007</t>
        </is>
      </c>
      <c r="B47" s="12" t="inlineStr">
        <is>
          <t>US-007-001</t>
        </is>
      </c>
      <c r="C47" s="12" t="n">
        <v>4</v>
      </c>
      <c r="D47" s="12">
        <f>COUNTIF('Acceptance Criteria'!B:B,B47)</f>
        <v/>
      </c>
      <c r="E47" s="12">
        <f>VLOOKUP(B47,'User Stories'!A:L,12,FALSE)</f>
        <v/>
      </c>
      <c r="F47" s="12">
        <f>COUNTIFS('Acceptance Criteria'!B:B,B47,'Acceptance Criteria'!F:F,"&lt;&gt;Not Tested")</f>
        <v/>
      </c>
      <c r="G47" s="12">
        <f>COUNTIFS('Acceptance Criteria'!B:B,B47,'Acceptance Criteria'!F:F,"Pass")</f>
        <v/>
      </c>
      <c r="H47" s="12">
        <f>COUNTIFS('Acceptance Criteria'!B:B,B47,'Acceptance Criteria'!F:F,"Fail")</f>
        <v/>
      </c>
      <c r="I47" s="12">
        <f>IF(C47=D47,"Linked","Mismatch")</f>
        <v/>
      </c>
      <c r="J47" s="24">
        <f>IF(C47=0,0,G47/C47)</f>
        <v/>
      </c>
    </row>
    <row r="48">
      <c r="A48" s="12" t="inlineStr">
        <is>
          <t>EP-007</t>
        </is>
      </c>
      <c r="B48" s="12" t="inlineStr">
        <is>
          <t>US-007-002</t>
        </is>
      </c>
      <c r="C48" s="12" t="n">
        <v>4</v>
      </c>
      <c r="D48" s="12">
        <f>COUNTIF('Acceptance Criteria'!B:B,B48)</f>
        <v/>
      </c>
      <c r="E48" s="12">
        <f>VLOOKUP(B48,'User Stories'!A:L,12,FALSE)</f>
        <v/>
      </c>
      <c r="F48" s="12">
        <f>COUNTIFS('Acceptance Criteria'!B:B,B48,'Acceptance Criteria'!F:F,"&lt;&gt;Not Tested")</f>
        <v/>
      </c>
      <c r="G48" s="12">
        <f>COUNTIFS('Acceptance Criteria'!B:B,B48,'Acceptance Criteria'!F:F,"Pass")</f>
        <v/>
      </c>
      <c r="H48" s="12">
        <f>COUNTIFS('Acceptance Criteria'!B:B,B48,'Acceptance Criteria'!F:F,"Fail")</f>
        <v/>
      </c>
      <c r="I48" s="12">
        <f>IF(C48=D48,"Linked","Mismatch")</f>
        <v/>
      </c>
      <c r="J48" s="24">
        <f>IF(C48=0,0,G48/C48)</f>
        <v/>
      </c>
    </row>
    <row r="49">
      <c r="A49" s="12" t="inlineStr">
        <is>
          <t>EP-007</t>
        </is>
      </c>
      <c r="B49" s="12" t="inlineStr">
        <is>
          <t>US-007-003</t>
        </is>
      </c>
      <c r="C49" s="12" t="n">
        <v>4</v>
      </c>
      <c r="D49" s="12">
        <f>COUNTIF('Acceptance Criteria'!B:B,B49)</f>
        <v/>
      </c>
      <c r="E49" s="12">
        <f>VLOOKUP(B49,'User Stories'!A:L,12,FALSE)</f>
        <v/>
      </c>
      <c r="F49" s="12">
        <f>COUNTIFS('Acceptance Criteria'!B:B,B49,'Acceptance Criteria'!F:F,"&lt;&gt;Not Tested")</f>
        <v/>
      </c>
      <c r="G49" s="12">
        <f>COUNTIFS('Acceptance Criteria'!B:B,B49,'Acceptance Criteria'!F:F,"Pass")</f>
        <v/>
      </c>
      <c r="H49" s="12">
        <f>COUNTIFS('Acceptance Criteria'!B:B,B49,'Acceptance Criteria'!F:F,"Fail")</f>
        <v/>
      </c>
      <c r="I49" s="12">
        <f>IF(C49=D49,"Linked","Mismatch")</f>
        <v/>
      </c>
      <c r="J49" s="24">
        <f>IF(C49=0,0,G49/C49)</f>
        <v/>
      </c>
    </row>
    <row r="50">
      <c r="A50" s="12" t="inlineStr">
        <is>
          <t>EP-007</t>
        </is>
      </c>
      <c r="B50" s="12" t="inlineStr">
        <is>
          <t>US-007-004</t>
        </is>
      </c>
      <c r="C50" s="12" t="n">
        <v>4</v>
      </c>
      <c r="D50" s="12">
        <f>COUNTIF('Acceptance Criteria'!B:B,B50)</f>
        <v/>
      </c>
      <c r="E50" s="12">
        <f>VLOOKUP(B50,'User Stories'!A:L,12,FALSE)</f>
        <v/>
      </c>
      <c r="F50" s="12">
        <f>COUNTIFS('Acceptance Criteria'!B:B,B50,'Acceptance Criteria'!F:F,"&lt;&gt;Not Tested")</f>
        <v/>
      </c>
      <c r="G50" s="12">
        <f>COUNTIFS('Acceptance Criteria'!B:B,B50,'Acceptance Criteria'!F:F,"Pass")</f>
        <v/>
      </c>
      <c r="H50" s="12">
        <f>COUNTIFS('Acceptance Criteria'!B:B,B50,'Acceptance Criteria'!F:F,"Fail")</f>
        <v/>
      </c>
      <c r="I50" s="12">
        <f>IF(C50=D50,"Linked","Mismatch")</f>
        <v/>
      </c>
      <c r="J50" s="24">
        <f>IF(C50=0,0,G50/C50)</f>
        <v/>
      </c>
    </row>
    <row r="51">
      <c r="A51" s="12" t="inlineStr">
        <is>
          <t>EP-007</t>
        </is>
      </c>
      <c r="B51" s="12" t="inlineStr">
        <is>
          <t>US-007-005</t>
        </is>
      </c>
      <c r="C51" s="12" t="n">
        <v>4</v>
      </c>
      <c r="D51" s="12">
        <f>COUNTIF('Acceptance Criteria'!B:B,B51)</f>
        <v/>
      </c>
      <c r="E51" s="12">
        <f>VLOOKUP(B51,'User Stories'!A:L,12,FALSE)</f>
        <v/>
      </c>
      <c r="F51" s="12">
        <f>COUNTIFS('Acceptance Criteria'!B:B,B51,'Acceptance Criteria'!F:F,"&lt;&gt;Not Tested")</f>
        <v/>
      </c>
      <c r="G51" s="12">
        <f>COUNTIFS('Acceptance Criteria'!B:B,B51,'Acceptance Criteria'!F:F,"Pass")</f>
        <v/>
      </c>
      <c r="H51" s="12">
        <f>COUNTIFS('Acceptance Criteria'!B:B,B51,'Acceptance Criteria'!F:F,"Fail")</f>
        <v/>
      </c>
      <c r="I51" s="12">
        <f>IF(C51=D51,"Linked","Mismatch")</f>
        <v/>
      </c>
      <c r="J51" s="24">
        <f>IF(C51=0,0,G51/C51)</f>
        <v/>
      </c>
    </row>
    <row r="52">
      <c r="A52" s="12" t="inlineStr">
        <is>
          <t>EP-008</t>
        </is>
      </c>
      <c r="B52" s="12" t="inlineStr">
        <is>
          <t>US-008-001</t>
        </is>
      </c>
      <c r="C52" s="12" t="n">
        <v>4</v>
      </c>
      <c r="D52" s="12">
        <f>COUNTIF('Acceptance Criteria'!B:B,B52)</f>
        <v/>
      </c>
      <c r="E52" s="12">
        <f>VLOOKUP(B52,'User Stories'!A:L,12,FALSE)</f>
        <v/>
      </c>
      <c r="F52" s="12">
        <f>COUNTIFS('Acceptance Criteria'!B:B,B52,'Acceptance Criteria'!F:F,"&lt;&gt;Not Tested")</f>
        <v/>
      </c>
      <c r="G52" s="12">
        <f>COUNTIFS('Acceptance Criteria'!B:B,B52,'Acceptance Criteria'!F:F,"Pass")</f>
        <v/>
      </c>
      <c r="H52" s="12">
        <f>COUNTIFS('Acceptance Criteria'!B:B,B52,'Acceptance Criteria'!F:F,"Fail")</f>
        <v/>
      </c>
      <c r="I52" s="12">
        <f>IF(C52=D52,"Linked","Mismatch")</f>
        <v/>
      </c>
      <c r="J52" s="24">
        <f>IF(C52=0,0,G52/C52)</f>
        <v/>
      </c>
    </row>
    <row r="53">
      <c r="A53" s="12" t="inlineStr">
        <is>
          <t>EP-008</t>
        </is>
      </c>
      <c r="B53" s="12" t="inlineStr">
        <is>
          <t>US-008-002</t>
        </is>
      </c>
      <c r="C53" s="12" t="n">
        <v>4</v>
      </c>
      <c r="D53" s="12">
        <f>COUNTIF('Acceptance Criteria'!B:B,B53)</f>
        <v/>
      </c>
      <c r="E53" s="12">
        <f>VLOOKUP(B53,'User Stories'!A:L,12,FALSE)</f>
        <v/>
      </c>
      <c r="F53" s="12">
        <f>COUNTIFS('Acceptance Criteria'!B:B,B53,'Acceptance Criteria'!F:F,"&lt;&gt;Not Tested")</f>
        <v/>
      </c>
      <c r="G53" s="12">
        <f>COUNTIFS('Acceptance Criteria'!B:B,B53,'Acceptance Criteria'!F:F,"Pass")</f>
        <v/>
      </c>
      <c r="H53" s="12">
        <f>COUNTIFS('Acceptance Criteria'!B:B,B53,'Acceptance Criteria'!F:F,"Fail")</f>
        <v/>
      </c>
      <c r="I53" s="12">
        <f>IF(C53=D53,"Linked","Mismatch")</f>
        <v/>
      </c>
      <c r="J53" s="24">
        <f>IF(C53=0,0,G53/C53)</f>
        <v/>
      </c>
    </row>
    <row r="54">
      <c r="A54" s="12" t="inlineStr">
        <is>
          <t>EP-008</t>
        </is>
      </c>
      <c r="B54" s="12" t="inlineStr">
        <is>
          <t>US-008-003</t>
        </is>
      </c>
      <c r="C54" s="12" t="n">
        <v>4</v>
      </c>
      <c r="D54" s="12">
        <f>COUNTIF('Acceptance Criteria'!B:B,B54)</f>
        <v/>
      </c>
      <c r="E54" s="12">
        <f>VLOOKUP(B54,'User Stories'!A:L,12,FALSE)</f>
        <v/>
      </c>
      <c r="F54" s="12">
        <f>COUNTIFS('Acceptance Criteria'!B:B,B54,'Acceptance Criteria'!F:F,"&lt;&gt;Not Tested")</f>
        <v/>
      </c>
      <c r="G54" s="12">
        <f>COUNTIFS('Acceptance Criteria'!B:B,B54,'Acceptance Criteria'!F:F,"Pass")</f>
        <v/>
      </c>
      <c r="H54" s="12">
        <f>COUNTIFS('Acceptance Criteria'!B:B,B54,'Acceptance Criteria'!F:F,"Fail")</f>
        <v/>
      </c>
      <c r="I54" s="12">
        <f>IF(C54=D54,"Linked","Mismatch")</f>
        <v/>
      </c>
      <c r="J54" s="24">
        <f>IF(C54=0,0,G54/C54)</f>
        <v/>
      </c>
    </row>
    <row r="55">
      <c r="A55" s="12" t="inlineStr">
        <is>
          <t>EP-008</t>
        </is>
      </c>
      <c r="B55" s="12" t="inlineStr">
        <is>
          <t>US-008-004</t>
        </is>
      </c>
      <c r="C55" s="12" t="n">
        <v>4</v>
      </c>
      <c r="D55" s="12">
        <f>COUNTIF('Acceptance Criteria'!B:B,B55)</f>
        <v/>
      </c>
      <c r="E55" s="12">
        <f>VLOOKUP(B55,'User Stories'!A:L,12,FALSE)</f>
        <v/>
      </c>
      <c r="F55" s="12">
        <f>COUNTIFS('Acceptance Criteria'!B:B,B55,'Acceptance Criteria'!F:F,"&lt;&gt;Not Tested")</f>
        <v/>
      </c>
      <c r="G55" s="12">
        <f>COUNTIFS('Acceptance Criteria'!B:B,B55,'Acceptance Criteria'!F:F,"Pass")</f>
        <v/>
      </c>
      <c r="H55" s="12">
        <f>COUNTIFS('Acceptance Criteria'!B:B,B55,'Acceptance Criteria'!F:F,"Fail")</f>
        <v/>
      </c>
      <c r="I55" s="12">
        <f>IF(C55=D55,"Linked","Mismatch")</f>
        <v/>
      </c>
      <c r="J55" s="24">
        <f>IF(C55=0,0,G55/C55)</f>
        <v/>
      </c>
    </row>
    <row r="56">
      <c r="A56" s="12" t="inlineStr">
        <is>
          <t>EP-008</t>
        </is>
      </c>
      <c r="B56" s="12" t="inlineStr">
        <is>
          <t>US-008-005</t>
        </is>
      </c>
      <c r="C56" s="12" t="n">
        <v>4</v>
      </c>
      <c r="D56" s="12">
        <f>COUNTIF('Acceptance Criteria'!B:B,B56)</f>
        <v/>
      </c>
      <c r="E56" s="12">
        <f>VLOOKUP(B56,'User Stories'!A:L,12,FALSE)</f>
        <v/>
      </c>
      <c r="F56" s="12">
        <f>COUNTIFS('Acceptance Criteria'!B:B,B56,'Acceptance Criteria'!F:F,"&lt;&gt;Not Tested")</f>
        <v/>
      </c>
      <c r="G56" s="12">
        <f>COUNTIFS('Acceptance Criteria'!B:B,B56,'Acceptance Criteria'!F:F,"Pass")</f>
        <v/>
      </c>
      <c r="H56" s="12">
        <f>COUNTIFS('Acceptance Criteria'!B:B,B56,'Acceptance Criteria'!F:F,"Fail")</f>
        <v/>
      </c>
      <c r="I56" s="12">
        <f>IF(C56=D56,"Linked","Mismatch")</f>
        <v/>
      </c>
      <c r="J56" s="24">
        <f>IF(C56=0,0,G56/C56)</f>
        <v/>
      </c>
    </row>
    <row r="57">
      <c r="A57" s="12" t="inlineStr">
        <is>
          <t>EP-009</t>
        </is>
      </c>
      <c r="B57" s="12" t="inlineStr">
        <is>
          <t>US-009-001</t>
        </is>
      </c>
      <c r="C57" s="12" t="n">
        <v>4</v>
      </c>
      <c r="D57" s="12">
        <f>COUNTIF('Acceptance Criteria'!B:B,B57)</f>
        <v/>
      </c>
      <c r="E57" s="12">
        <f>VLOOKUP(B57,'User Stories'!A:L,12,FALSE)</f>
        <v/>
      </c>
      <c r="F57" s="12">
        <f>COUNTIFS('Acceptance Criteria'!B:B,B57,'Acceptance Criteria'!F:F,"&lt;&gt;Not Tested")</f>
        <v/>
      </c>
      <c r="G57" s="12">
        <f>COUNTIFS('Acceptance Criteria'!B:B,B57,'Acceptance Criteria'!F:F,"Pass")</f>
        <v/>
      </c>
      <c r="H57" s="12">
        <f>COUNTIFS('Acceptance Criteria'!B:B,B57,'Acceptance Criteria'!F:F,"Fail")</f>
        <v/>
      </c>
      <c r="I57" s="12">
        <f>IF(C57=D57,"Linked","Mismatch")</f>
        <v/>
      </c>
      <c r="J57" s="24">
        <f>IF(C57=0,0,G57/C57)</f>
        <v/>
      </c>
    </row>
    <row r="58">
      <c r="A58" s="12" t="inlineStr">
        <is>
          <t>EP-009</t>
        </is>
      </c>
      <c r="B58" s="12" t="inlineStr">
        <is>
          <t>US-009-002</t>
        </is>
      </c>
      <c r="C58" s="12" t="n">
        <v>4</v>
      </c>
      <c r="D58" s="12">
        <f>COUNTIF('Acceptance Criteria'!B:B,B58)</f>
        <v/>
      </c>
      <c r="E58" s="12">
        <f>VLOOKUP(B58,'User Stories'!A:L,12,FALSE)</f>
        <v/>
      </c>
      <c r="F58" s="12">
        <f>COUNTIFS('Acceptance Criteria'!B:B,B58,'Acceptance Criteria'!F:F,"&lt;&gt;Not Tested")</f>
        <v/>
      </c>
      <c r="G58" s="12">
        <f>COUNTIFS('Acceptance Criteria'!B:B,B58,'Acceptance Criteria'!F:F,"Pass")</f>
        <v/>
      </c>
      <c r="H58" s="12">
        <f>COUNTIFS('Acceptance Criteria'!B:B,B58,'Acceptance Criteria'!F:F,"Fail")</f>
        <v/>
      </c>
      <c r="I58" s="12">
        <f>IF(C58=D58,"Linked","Mismatch")</f>
        <v/>
      </c>
      <c r="J58" s="24">
        <f>IF(C58=0,0,G58/C58)</f>
        <v/>
      </c>
    </row>
    <row r="59">
      <c r="A59" s="12" t="inlineStr">
        <is>
          <t>EP-009</t>
        </is>
      </c>
      <c r="B59" s="12" t="inlineStr">
        <is>
          <t>US-009-003</t>
        </is>
      </c>
      <c r="C59" s="12" t="n">
        <v>4</v>
      </c>
      <c r="D59" s="12">
        <f>COUNTIF('Acceptance Criteria'!B:B,B59)</f>
        <v/>
      </c>
      <c r="E59" s="12">
        <f>VLOOKUP(B59,'User Stories'!A:L,12,FALSE)</f>
        <v/>
      </c>
      <c r="F59" s="12">
        <f>COUNTIFS('Acceptance Criteria'!B:B,B59,'Acceptance Criteria'!F:F,"&lt;&gt;Not Tested")</f>
        <v/>
      </c>
      <c r="G59" s="12">
        <f>COUNTIFS('Acceptance Criteria'!B:B,B59,'Acceptance Criteria'!F:F,"Pass")</f>
        <v/>
      </c>
      <c r="H59" s="12">
        <f>COUNTIFS('Acceptance Criteria'!B:B,B59,'Acceptance Criteria'!F:F,"Fail")</f>
        <v/>
      </c>
      <c r="I59" s="12">
        <f>IF(C59=D59,"Linked","Mismatch")</f>
        <v/>
      </c>
      <c r="J59" s="24">
        <f>IF(C59=0,0,G59/C59)</f>
        <v/>
      </c>
    </row>
    <row r="60">
      <c r="A60" s="12" t="inlineStr">
        <is>
          <t>EP-009</t>
        </is>
      </c>
      <c r="B60" s="12" t="inlineStr">
        <is>
          <t>US-009-004</t>
        </is>
      </c>
      <c r="C60" s="12" t="n">
        <v>4</v>
      </c>
      <c r="D60" s="12">
        <f>COUNTIF('Acceptance Criteria'!B:B,B60)</f>
        <v/>
      </c>
      <c r="E60" s="12">
        <f>VLOOKUP(B60,'User Stories'!A:L,12,FALSE)</f>
        <v/>
      </c>
      <c r="F60" s="12">
        <f>COUNTIFS('Acceptance Criteria'!B:B,B60,'Acceptance Criteria'!F:F,"&lt;&gt;Not Tested")</f>
        <v/>
      </c>
      <c r="G60" s="12">
        <f>COUNTIFS('Acceptance Criteria'!B:B,B60,'Acceptance Criteria'!F:F,"Pass")</f>
        <v/>
      </c>
      <c r="H60" s="12">
        <f>COUNTIFS('Acceptance Criteria'!B:B,B60,'Acceptance Criteria'!F:F,"Fail")</f>
        <v/>
      </c>
      <c r="I60" s="12">
        <f>IF(C60=D60,"Linked","Mismatch")</f>
        <v/>
      </c>
      <c r="J60" s="24">
        <f>IF(C60=0,0,G60/C60)</f>
        <v/>
      </c>
    </row>
    <row r="61">
      <c r="A61" s="12" t="inlineStr">
        <is>
          <t>EP-009</t>
        </is>
      </c>
      <c r="B61" s="12" t="inlineStr">
        <is>
          <t>US-009-005</t>
        </is>
      </c>
      <c r="C61" s="12" t="n">
        <v>4</v>
      </c>
      <c r="D61" s="12">
        <f>COUNTIF('Acceptance Criteria'!B:B,B61)</f>
        <v/>
      </c>
      <c r="E61" s="12">
        <f>VLOOKUP(B61,'User Stories'!A:L,12,FALSE)</f>
        <v/>
      </c>
      <c r="F61" s="12">
        <f>COUNTIFS('Acceptance Criteria'!B:B,B61,'Acceptance Criteria'!F:F,"&lt;&gt;Not Tested")</f>
        <v/>
      </c>
      <c r="G61" s="12">
        <f>COUNTIFS('Acceptance Criteria'!B:B,B61,'Acceptance Criteria'!F:F,"Pass")</f>
        <v/>
      </c>
      <c r="H61" s="12">
        <f>COUNTIFS('Acceptance Criteria'!B:B,B61,'Acceptance Criteria'!F:F,"Fail")</f>
        <v/>
      </c>
      <c r="I61" s="12">
        <f>IF(C61=D61,"Linked","Mismatch")</f>
        <v/>
      </c>
      <c r="J61" s="24">
        <f>IF(C61=0,0,G61/C61)</f>
        <v/>
      </c>
    </row>
    <row r="62">
      <c r="A62" s="12" t="inlineStr">
        <is>
          <t>EP-010</t>
        </is>
      </c>
      <c r="B62" s="12" t="inlineStr">
        <is>
          <t>US-010-001</t>
        </is>
      </c>
      <c r="C62" s="12" t="n">
        <v>4</v>
      </c>
      <c r="D62" s="12">
        <f>COUNTIF('Acceptance Criteria'!B:B,B62)</f>
        <v/>
      </c>
      <c r="E62" s="12">
        <f>VLOOKUP(B62,'User Stories'!A:L,12,FALSE)</f>
        <v/>
      </c>
      <c r="F62" s="12">
        <f>COUNTIFS('Acceptance Criteria'!B:B,B62,'Acceptance Criteria'!F:F,"&lt;&gt;Not Tested")</f>
        <v/>
      </c>
      <c r="G62" s="12">
        <f>COUNTIFS('Acceptance Criteria'!B:B,B62,'Acceptance Criteria'!F:F,"Pass")</f>
        <v/>
      </c>
      <c r="H62" s="12">
        <f>COUNTIFS('Acceptance Criteria'!B:B,B62,'Acceptance Criteria'!F:F,"Fail")</f>
        <v/>
      </c>
      <c r="I62" s="12">
        <f>IF(C62=D62,"Linked","Mismatch")</f>
        <v/>
      </c>
      <c r="J62" s="24">
        <f>IF(C62=0,0,G62/C62)</f>
        <v/>
      </c>
    </row>
    <row r="63">
      <c r="A63" s="12" t="inlineStr">
        <is>
          <t>EP-010</t>
        </is>
      </c>
      <c r="B63" s="12" t="inlineStr">
        <is>
          <t>US-010-002</t>
        </is>
      </c>
      <c r="C63" s="12" t="n">
        <v>4</v>
      </c>
      <c r="D63" s="12">
        <f>COUNTIF('Acceptance Criteria'!B:B,B63)</f>
        <v/>
      </c>
      <c r="E63" s="12">
        <f>VLOOKUP(B63,'User Stories'!A:L,12,FALSE)</f>
        <v/>
      </c>
      <c r="F63" s="12">
        <f>COUNTIFS('Acceptance Criteria'!B:B,B63,'Acceptance Criteria'!F:F,"&lt;&gt;Not Tested")</f>
        <v/>
      </c>
      <c r="G63" s="12">
        <f>COUNTIFS('Acceptance Criteria'!B:B,B63,'Acceptance Criteria'!F:F,"Pass")</f>
        <v/>
      </c>
      <c r="H63" s="12">
        <f>COUNTIFS('Acceptance Criteria'!B:B,B63,'Acceptance Criteria'!F:F,"Fail")</f>
        <v/>
      </c>
      <c r="I63" s="12">
        <f>IF(C63=D63,"Linked","Mismatch")</f>
        <v/>
      </c>
      <c r="J63" s="24">
        <f>IF(C63=0,0,G63/C63)</f>
        <v/>
      </c>
    </row>
    <row r="64">
      <c r="A64" s="12" t="inlineStr">
        <is>
          <t>EP-010</t>
        </is>
      </c>
      <c r="B64" s="12" t="inlineStr">
        <is>
          <t>US-010-003</t>
        </is>
      </c>
      <c r="C64" s="12" t="n">
        <v>4</v>
      </c>
      <c r="D64" s="12">
        <f>COUNTIF('Acceptance Criteria'!B:B,B64)</f>
        <v/>
      </c>
      <c r="E64" s="12">
        <f>VLOOKUP(B64,'User Stories'!A:L,12,FALSE)</f>
        <v/>
      </c>
      <c r="F64" s="12">
        <f>COUNTIFS('Acceptance Criteria'!B:B,B64,'Acceptance Criteria'!F:F,"&lt;&gt;Not Tested")</f>
        <v/>
      </c>
      <c r="G64" s="12">
        <f>COUNTIFS('Acceptance Criteria'!B:B,B64,'Acceptance Criteria'!F:F,"Pass")</f>
        <v/>
      </c>
      <c r="H64" s="12">
        <f>COUNTIFS('Acceptance Criteria'!B:B,B64,'Acceptance Criteria'!F:F,"Fail")</f>
        <v/>
      </c>
      <c r="I64" s="12">
        <f>IF(C64=D64,"Linked","Mismatch")</f>
        <v/>
      </c>
      <c r="J64" s="24">
        <f>IF(C64=0,0,G64/C64)</f>
        <v/>
      </c>
    </row>
    <row r="65">
      <c r="A65" s="12" t="inlineStr">
        <is>
          <t>EP-010</t>
        </is>
      </c>
      <c r="B65" s="12" t="inlineStr">
        <is>
          <t>US-010-004</t>
        </is>
      </c>
      <c r="C65" s="12" t="n">
        <v>4</v>
      </c>
      <c r="D65" s="12">
        <f>COUNTIF('Acceptance Criteria'!B:B,B65)</f>
        <v/>
      </c>
      <c r="E65" s="12">
        <f>VLOOKUP(B65,'User Stories'!A:L,12,FALSE)</f>
        <v/>
      </c>
      <c r="F65" s="12">
        <f>COUNTIFS('Acceptance Criteria'!B:B,B65,'Acceptance Criteria'!F:F,"&lt;&gt;Not Tested")</f>
        <v/>
      </c>
      <c r="G65" s="12">
        <f>COUNTIFS('Acceptance Criteria'!B:B,B65,'Acceptance Criteria'!F:F,"Pass")</f>
        <v/>
      </c>
      <c r="H65" s="12">
        <f>COUNTIFS('Acceptance Criteria'!B:B,B65,'Acceptance Criteria'!F:F,"Fail")</f>
        <v/>
      </c>
      <c r="I65" s="12">
        <f>IF(C65=D65,"Linked","Mismatch")</f>
        <v/>
      </c>
      <c r="J65" s="24">
        <f>IF(C65=0,0,G65/C65)</f>
        <v/>
      </c>
    </row>
    <row r="66">
      <c r="A66" s="12" t="inlineStr">
        <is>
          <t>EP-010</t>
        </is>
      </c>
      <c r="B66" s="12" t="inlineStr">
        <is>
          <t>US-010-005</t>
        </is>
      </c>
      <c r="C66" s="12" t="n">
        <v>4</v>
      </c>
      <c r="D66" s="12">
        <f>COUNTIF('Acceptance Criteria'!B:B,B66)</f>
        <v/>
      </c>
      <c r="E66" s="12">
        <f>VLOOKUP(B66,'User Stories'!A:L,12,FALSE)</f>
        <v/>
      </c>
      <c r="F66" s="12">
        <f>COUNTIFS('Acceptance Criteria'!B:B,B66,'Acceptance Criteria'!F:F,"&lt;&gt;Not Tested")</f>
        <v/>
      </c>
      <c r="G66" s="12">
        <f>COUNTIFS('Acceptance Criteria'!B:B,B66,'Acceptance Criteria'!F:F,"Pass")</f>
        <v/>
      </c>
      <c r="H66" s="12">
        <f>COUNTIFS('Acceptance Criteria'!B:B,B66,'Acceptance Criteria'!F:F,"Fail")</f>
        <v/>
      </c>
      <c r="I66" s="12">
        <f>IF(C66=D66,"Linked","Mismatch")</f>
        <v/>
      </c>
      <c r="J66" s="24">
        <f>IF(C66=0,0,G66/C66)</f>
        <v/>
      </c>
    </row>
    <row r="67">
      <c r="A67" s="12" t="inlineStr">
        <is>
          <t>EP-011</t>
        </is>
      </c>
      <c r="B67" s="12" t="inlineStr">
        <is>
          <t>US-011-001</t>
        </is>
      </c>
      <c r="C67" s="12" t="n">
        <v>4</v>
      </c>
      <c r="D67" s="12">
        <f>COUNTIF('Acceptance Criteria'!B:B,B67)</f>
        <v/>
      </c>
      <c r="E67" s="12">
        <f>VLOOKUP(B67,'User Stories'!A:L,12,FALSE)</f>
        <v/>
      </c>
      <c r="F67" s="12">
        <f>COUNTIFS('Acceptance Criteria'!B:B,B67,'Acceptance Criteria'!F:F,"&lt;&gt;Not Tested")</f>
        <v/>
      </c>
      <c r="G67" s="12">
        <f>COUNTIFS('Acceptance Criteria'!B:B,B67,'Acceptance Criteria'!F:F,"Pass")</f>
        <v/>
      </c>
      <c r="H67" s="12">
        <f>COUNTIFS('Acceptance Criteria'!B:B,B67,'Acceptance Criteria'!F:F,"Fail")</f>
        <v/>
      </c>
      <c r="I67" s="12">
        <f>IF(C67=D67,"Linked","Mismatch")</f>
        <v/>
      </c>
      <c r="J67" s="24">
        <f>IF(C67=0,0,G67/C67)</f>
        <v/>
      </c>
    </row>
    <row r="68">
      <c r="A68" s="12" t="inlineStr">
        <is>
          <t>EP-011</t>
        </is>
      </c>
      <c r="B68" s="12" t="inlineStr">
        <is>
          <t>US-011-002</t>
        </is>
      </c>
      <c r="C68" s="12" t="n">
        <v>4</v>
      </c>
      <c r="D68" s="12">
        <f>COUNTIF('Acceptance Criteria'!B:B,B68)</f>
        <v/>
      </c>
      <c r="E68" s="12">
        <f>VLOOKUP(B68,'User Stories'!A:L,12,FALSE)</f>
        <v/>
      </c>
      <c r="F68" s="12">
        <f>COUNTIFS('Acceptance Criteria'!B:B,B68,'Acceptance Criteria'!F:F,"&lt;&gt;Not Tested")</f>
        <v/>
      </c>
      <c r="G68" s="12">
        <f>COUNTIFS('Acceptance Criteria'!B:B,B68,'Acceptance Criteria'!F:F,"Pass")</f>
        <v/>
      </c>
      <c r="H68" s="12">
        <f>COUNTIFS('Acceptance Criteria'!B:B,B68,'Acceptance Criteria'!F:F,"Fail")</f>
        <v/>
      </c>
      <c r="I68" s="12">
        <f>IF(C68=D68,"Linked","Mismatch")</f>
        <v/>
      </c>
      <c r="J68" s="24">
        <f>IF(C68=0,0,G68/C68)</f>
        <v/>
      </c>
    </row>
    <row r="69">
      <c r="A69" s="12" t="inlineStr">
        <is>
          <t>EP-011</t>
        </is>
      </c>
      <c r="B69" s="12" t="inlineStr">
        <is>
          <t>US-011-003</t>
        </is>
      </c>
      <c r="C69" s="12" t="n">
        <v>4</v>
      </c>
      <c r="D69" s="12">
        <f>COUNTIF('Acceptance Criteria'!B:B,B69)</f>
        <v/>
      </c>
      <c r="E69" s="12">
        <f>VLOOKUP(B69,'User Stories'!A:L,12,FALSE)</f>
        <v/>
      </c>
      <c r="F69" s="12">
        <f>COUNTIFS('Acceptance Criteria'!B:B,B69,'Acceptance Criteria'!F:F,"&lt;&gt;Not Tested")</f>
        <v/>
      </c>
      <c r="G69" s="12">
        <f>COUNTIFS('Acceptance Criteria'!B:B,B69,'Acceptance Criteria'!F:F,"Pass")</f>
        <v/>
      </c>
      <c r="H69" s="12">
        <f>COUNTIFS('Acceptance Criteria'!B:B,B69,'Acceptance Criteria'!F:F,"Fail")</f>
        <v/>
      </c>
      <c r="I69" s="12">
        <f>IF(C69=D69,"Linked","Mismatch")</f>
        <v/>
      </c>
      <c r="J69" s="24">
        <f>IF(C69=0,0,G69/C69)</f>
        <v/>
      </c>
    </row>
    <row r="70">
      <c r="A70" s="12" t="inlineStr">
        <is>
          <t>EP-011</t>
        </is>
      </c>
      <c r="B70" s="12" t="inlineStr">
        <is>
          <t>US-011-004</t>
        </is>
      </c>
      <c r="C70" s="12" t="n">
        <v>4</v>
      </c>
      <c r="D70" s="12">
        <f>COUNTIF('Acceptance Criteria'!B:B,B70)</f>
        <v/>
      </c>
      <c r="E70" s="12">
        <f>VLOOKUP(B70,'User Stories'!A:L,12,FALSE)</f>
        <v/>
      </c>
      <c r="F70" s="12">
        <f>COUNTIFS('Acceptance Criteria'!B:B,B70,'Acceptance Criteria'!F:F,"&lt;&gt;Not Tested")</f>
        <v/>
      </c>
      <c r="G70" s="12">
        <f>COUNTIFS('Acceptance Criteria'!B:B,B70,'Acceptance Criteria'!F:F,"Pass")</f>
        <v/>
      </c>
      <c r="H70" s="12">
        <f>COUNTIFS('Acceptance Criteria'!B:B,B70,'Acceptance Criteria'!F:F,"Fail")</f>
        <v/>
      </c>
      <c r="I70" s="12">
        <f>IF(C70=D70,"Linked","Mismatch")</f>
        <v/>
      </c>
      <c r="J70" s="24">
        <f>IF(C70=0,0,G70/C70)</f>
        <v/>
      </c>
    </row>
    <row r="71">
      <c r="A71" s="12" t="inlineStr">
        <is>
          <t>EP-012</t>
        </is>
      </c>
      <c r="B71" s="12" t="inlineStr">
        <is>
          <t>US-012-001</t>
        </is>
      </c>
      <c r="C71" s="12" t="n">
        <v>4</v>
      </c>
      <c r="D71" s="12">
        <f>COUNTIF('Acceptance Criteria'!B:B,B71)</f>
        <v/>
      </c>
      <c r="E71" s="12">
        <f>VLOOKUP(B71,'User Stories'!A:L,12,FALSE)</f>
        <v/>
      </c>
      <c r="F71" s="12">
        <f>COUNTIFS('Acceptance Criteria'!B:B,B71,'Acceptance Criteria'!F:F,"&lt;&gt;Not Tested")</f>
        <v/>
      </c>
      <c r="G71" s="12">
        <f>COUNTIFS('Acceptance Criteria'!B:B,B71,'Acceptance Criteria'!F:F,"Pass")</f>
        <v/>
      </c>
      <c r="H71" s="12">
        <f>COUNTIFS('Acceptance Criteria'!B:B,B71,'Acceptance Criteria'!F:F,"Fail")</f>
        <v/>
      </c>
      <c r="I71" s="12">
        <f>IF(C71=D71,"Linked","Mismatch")</f>
        <v/>
      </c>
      <c r="J71" s="24">
        <f>IF(C71=0,0,G71/C71)</f>
        <v/>
      </c>
    </row>
    <row r="72">
      <c r="A72" s="12" t="inlineStr">
        <is>
          <t>EP-012</t>
        </is>
      </c>
      <c r="B72" s="12" t="inlineStr">
        <is>
          <t>US-012-002</t>
        </is>
      </c>
      <c r="C72" s="12" t="n">
        <v>4</v>
      </c>
      <c r="D72" s="12">
        <f>COUNTIF('Acceptance Criteria'!B:B,B72)</f>
        <v/>
      </c>
      <c r="E72" s="12">
        <f>VLOOKUP(B72,'User Stories'!A:L,12,FALSE)</f>
        <v/>
      </c>
      <c r="F72" s="12">
        <f>COUNTIFS('Acceptance Criteria'!B:B,B72,'Acceptance Criteria'!F:F,"&lt;&gt;Not Tested")</f>
        <v/>
      </c>
      <c r="G72" s="12">
        <f>COUNTIFS('Acceptance Criteria'!B:B,B72,'Acceptance Criteria'!F:F,"Pass")</f>
        <v/>
      </c>
      <c r="H72" s="12">
        <f>COUNTIFS('Acceptance Criteria'!B:B,B72,'Acceptance Criteria'!F:F,"Fail")</f>
        <v/>
      </c>
      <c r="I72" s="12">
        <f>IF(C72=D72,"Linked","Mismatch")</f>
        <v/>
      </c>
      <c r="J72" s="24">
        <f>IF(C72=0,0,G72/C72)</f>
        <v/>
      </c>
    </row>
    <row r="73">
      <c r="A73" s="12" t="inlineStr">
        <is>
          <t>EP-012</t>
        </is>
      </c>
      <c r="B73" s="12" t="inlineStr">
        <is>
          <t>US-012-003</t>
        </is>
      </c>
      <c r="C73" s="12" t="n">
        <v>4</v>
      </c>
      <c r="D73" s="12">
        <f>COUNTIF('Acceptance Criteria'!B:B,B73)</f>
        <v/>
      </c>
      <c r="E73" s="12">
        <f>VLOOKUP(B73,'User Stories'!A:L,12,FALSE)</f>
        <v/>
      </c>
      <c r="F73" s="12">
        <f>COUNTIFS('Acceptance Criteria'!B:B,B73,'Acceptance Criteria'!F:F,"&lt;&gt;Not Tested")</f>
        <v/>
      </c>
      <c r="G73" s="12">
        <f>COUNTIFS('Acceptance Criteria'!B:B,B73,'Acceptance Criteria'!F:F,"Pass")</f>
        <v/>
      </c>
      <c r="H73" s="12">
        <f>COUNTIFS('Acceptance Criteria'!B:B,B73,'Acceptance Criteria'!F:F,"Fail")</f>
        <v/>
      </c>
      <c r="I73" s="12">
        <f>IF(C73=D73,"Linked","Mismatch")</f>
        <v/>
      </c>
      <c r="J73" s="24">
        <f>IF(C73=0,0,G73/C73)</f>
        <v/>
      </c>
    </row>
    <row r="74">
      <c r="A74" s="12" t="inlineStr">
        <is>
          <t>EP-012</t>
        </is>
      </c>
      <c r="B74" s="12" t="inlineStr">
        <is>
          <t>US-012-004</t>
        </is>
      </c>
      <c r="C74" s="12" t="n">
        <v>4</v>
      </c>
      <c r="D74" s="12">
        <f>COUNTIF('Acceptance Criteria'!B:B,B74)</f>
        <v/>
      </c>
      <c r="E74" s="12">
        <f>VLOOKUP(B74,'User Stories'!A:L,12,FALSE)</f>
        <v/>
      </c>
      <c r="F74" s="12">
        <f>COUNTIFS('Acceptance Criteria'!B:B,B74,'Acceptance Criteria'!F:F,"&lt;&gt;Not Tested")</f>
        <v/>
      </c>
      <c r="G74" s="12">
        <f>COUNTIFS('Acceptance Criteria'!B:B,B74,'Acceptance Criteria'!F:F,"Pass")</f>
        <v/>
      </c>
      <c r="H74" s="12">
        <f>COUNTIFS('Acceptance Criteria'!B:B,B74,'Acceptance Criteria'!F:F,"Fail")</f>
        <v/>
      </c>
      <c r="I74" s="12">
        <f>IF(C74=D74,"Linked","Mismatch")</f>
        <v/>
      </c>
      <c r="J74" s="24">
        <f>IF(C74=0,0,G74/C74)</f>
        <v/>
      </c>
    </row>
    <row r="75">
      <c r="A75" s="12" t="inlineStr">
        <is>
          <t>EP-012</t>
        </is>
      </c>
      <c r="B75" s="12" t="inlineStr">
        <is>
          <t>US-012-005</t>
        </is>
      </c>
      <c r="C75" s="12" t="n">
        <v>4</v>
      </c>
      <c r="D75" s="12">
        <f>COUNTIF('Acceptance Criteria'!B:B,B75)</f>
        <v/>
      </c>
      <c r="E75" s="12">
        <f>VLOOKUP(B75,'User Stories'!A:L,12,FALSE)</f>
        <v/>
      </c>
      <c r="F75" s="12">
        <f>COUNTIFS('Acceptance Criteria'!B:B,B75,'Acceptance Criteria'!F:F,"&lt;&gt;Not Tested")</f>
        <v/>
      </c>
      <c r="G75" s="12">
        <f>COUNTIFS('Acceptance Criteria'!B:B,B75,'Acceptance Criteria'!F:F,"Pass")</f>
        <v/>
      </c>
      <c r="H75" s="12">
        <f>COUNTIFS('Acceptance Criteria'!B:B,B75,'Acceptance Criteria'!F:F,"Fail")</f>
        <v/>
      </c>
      <c r="I75" s="12">
        <f>IF(C75=D75,"Linked","Mismatch")</f>
        <v/>
      </c>
      <c r="J75" s="24">
        <f>IF(C75=0,0,G75/C75)</f>
        <v/>
      </c>
    </row>
    <row r="76">
      <c r="A76" s="12" t="inlineStr">
        <is>
          <t>EP-012</t>
        </is>
      </c>
      <c r="B76" s="12" t="inlineStr">
        <is>
          <t>US-012-006</t>
        </is>
      </c>
      <c r="C76" s="12" t="n">
        <v>4</v>
      </c>
      <c r="D76" s="12">
        <f>COUNTIF('Acceptance Criteria'!B:B,B76)</f>
        <v/>
      </c>
      <c r="E76" s="12">
        <f>VLOOKUP(B76,'User Stories'!A:L,12,FALSE)</f>
        <v/>
      </c>
      <c r="F76" s="12">
        <f>COUNTIFS('Acceptance Criteria'!B:B,B76,'Acceptance Criteria'!F:F,"&lt;&gt;Not Tested")</f>
        <v/>
      </c>
      <c r="G76" s="12">
        <f>COUNTIFS('Acceptance Criteria'!B:B,B76,'Acceptance Criteria'!F:F,"Pass")</f>
        <v/>
      </c>
      <c r="H76" s="12">
        <f>COUNTIFS('Acceptance Criteria'!B:B,B76,'Acceptance Criteria'!F:F,"Fail")</f>
        <v/>
      </c>
      <c r="I76" s="12">
        <f>IF(C76=D76,"Linked","Mismatch")</f>
        <v/>
      </c>
      <c r="J76" s="24">
        <f>IF(C76=0,0,G76/C76)</f>
        <v/>
      </c>
    </row>
  </sheetData>
  <conditionalFormatting sqref="I2:I76">
    <cfRule type="expression" priority="1" dxfId="0">
      <formula>I2="Linked"</formula>
    </cfRule>
    <cfRule type="expression" priority="2" dxfId="1">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34" customWidth="1" min="2" max="2"/>
    <col width="14" customWidth="1" min="3" max="3"/>
    <col width="14" customWidth="1" min="4" max="4"/>
    <col width="62" customWidth="1" min="5" max="5"/>
    <col width="16" customWidth="1" min="6" max="6"/>
    <col width="16" customWidth="1" min="7" max="7"/>
    <col width="32" customWidth="1" min="8" max="8"/>
    <col width="28" customWidth="1" min="9" max="9"/>
  </cols>
  <sheetData>
    <row r="1" ht="24" customHeight="1">
      <c r="A1" s="5" t="inlineStr">
        <is>
          <t>Risk ID</t>
        </is>
      </c>
      <c r="B1" s="5" t="inlineStr">
        <is>
          <t>Risk</t>
        </is>
      </c>
      <c r="C1" s="5" t="inlineStr">
        <is>
          <t>Impact</t>
        </is>
      </c>
      <c r="D1" s="5" t="inlineStr">
        <is>
          <t>Likelihood</t>
        </is>
      </c>
      <c r="E1" s="5" t="inlineStr">
        <is>
          <t>Mitigation</t>
        </is>
      </c>
      <c r="F1" s="5" t="inlineStr">
        <is>
          <t>Owner</t>
        </is>
      </c>
      <c r="G1" s="5" t="inlineStr">
        <is>
          <t>Status</t>
        </is>
      </c>
      <c r="H1" s="5" t="inlineStr">
        <is>
          <t>Decision / Dependency</t>
        </is>
      </c>
      <c r="I1" s="5" t="inlineStr">
        <is>
          <t>Notes</t>
        </is>
      </c>
    </row>
    <row r="2">
      <c r="A2" s="12" t="inlineStr">
        <is>
          <t>RISK-001</t>
        </is>
      </c>
      <c r="B2" s="12" t="inlineStr">
        <is>
          <t>Timer/attendance race conditions</t>
        </is>
      </c>
      <c r="C2" s="12" t="inlineStr">
        <is>
          <t>High</t>
        </is>
      </c>
      <c r="D2" s="12" t="inlineStr">
        <is>
          <t>Medium</t>
        </is>
      </c>
      <c r="E2" s="12" t="inlineStr">
        <is>
          <t>Use database constraints, transactions and idempotent endpoints for active clock/timer operations.</t>
        </is>
      </c>
      <c r="F2" s="12" t="inlineStr">
        <is>
          <t>Claude (AI Engineer)</t>
        </is>
      </c>
      <c r="G2" s="12" t="inlineStr">
        <is>
          <t>Mitigating</t>
        </is>
      </c>
      <c r="H2" s="12" t="str"/>
      <c r="I2" s="12" t="inlineStr">
        <is>
          <t>Postgres partial unique indexes enforce one active attendance session and one active task timer per user at the DB level, not just in application code; verified by e2e tests.</t>
        </is>
      </c>
    </row>
    <row r="3">
      <c r="A3" s="12" t="inlineStr">
        <is>
          <t>RISK-002</t>
        </is>
      </c>
      <c r="B3" s="12" t="inlineStr">
        <is>
          <t>Users forget to stop timers</t>
        </is>
      </c>
      <c r="C3" s="12" t="inlineStr">
        <is>
          <t>Medium</t>
        </is>
      </c>
      <c r="D3" s="12" t="inlineStr">
        <is>
          <t>High</t>
        </is>
      </c>
      <c r="E3" s="12" t="inlineStr">
        <is>
          <t>Long-running timer reminders, daily reconciliation and correction workflow.</t>
        </is>
      </c>
      <c r="F3" s="12" t="inlineStr">
        <is>
          <t>Claude (AI Engineer)</t>
        </is>
      </c>
      <c r="G3" s="12" t="inlineStr">
        <is>
          <t>Mitigating</t>
        </is>
      </c>
      <c r="H3" s="12" t="str"/>
      <c r="I3" s="12"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c r="A4" s="12" t="inlineStr">
        <is>
          <t>RISK-003</t>
        </is>
      </c>
      <c r="B4" s="12" t="inlineStr">
        <is>
          <t>Browser/client clock manipulation</t>
        </is>
      </c>
      <c r="C4" s="12" t="inlineStr">
        <is>
          <t>High</t>
        </is>
      </c>
      <c r="D4" s="12" t="inlineStr">
        <is>
          <t>Medium</t>
        </is>
      </c>
      <c r="E4" s="12" t="inlineStr">
        <is>
          <t>Use server timestamps for official records; browser only displays derived elapsed time.</t>
        </is>
      </c>
      <c r="F4" s="12" t="inlineStr">
        <is>
          <t>Claude (AI Engineer)</t>
        </is>
      </c>
      <c r="G4" s="12" t="inlineStr">
        <is>
          <t>Mitigating</t>
        </is>
      </c>
      <c r="H4" s="12" t="str"/>
      <c r="I4" s="12" t="inlineStr">
        <is>
          <t>All official clock/timer timestamps are generated server-side; the browser only ever displays a derived elapsed time.</t>
        </is>
      </c>
    </row>
    <row r="5">
      <c r="A5" s="12" t="inlineStr">
        <is>
          <t>RISK-004</t>
        </is>
      </c>
      <c r="B5" s="12" t="inlineStr">
        <is>
          <t>Over-scoping into HR/project management</t>
        </is>
      </c>
      <c r="C5" s="12" t="inlineStr">
        <is>
          <t>High</t>
        </is>
      </c>
      <c r="D5" s="12" t="inlineStr">
        <is>
          <t>Medium</t>
        </is>
      </c>
      <c r="E5" s="12" t="inlineStr">
        <is>
          <t>Keep MVP limited to registration, attendance, breaks, task list, task timer, admin and reporting.</t>
        </is>
      </c>
      <c r="F5" s="12" t="inlineStr">
        <is>
          <t>Claude (AI Engineer)</t>
        </is>
      </c>
      <c r="G5" s="12" t="inlineStr">
        <is>
          <t>Open</t>
        </is>
      </c>
      <c r="H5" s="12" t="str"/>
      <c r="I5" s="12" t="str"/>
    </row>
    <row r="6">
      <c r="A6" s="12" t="inlineStr">
        <is>
          <t>RISK-005</t>
        </is>
      </c>
      <c r="B6" s="12" t="inlineStr">
        <is>
          <t>Audit trail weakened by direct edits</t>
        </is>
      </c>
      <c r="C6" s="12" t="inlineStr">
        <is>
          <t>High</t>
        </is>
      </c>
      <c r="D6" s="12" t="inlineStr">
        <is>
          <t>Low</t>
        </is>
      </c>
      <c r="E6" s="12" t="inlineStr">
        <is>
          <t>Corrections preserve originals and require reason/actor/time.</t>
        </is>
      </c>
      <c r="F6" s="12" t="inlineStr">
        <is>
          <t>Claude (AI Engineer)</t>
        </is>
      </c>
      <c r="G6" s="12" t="inlineStr">
        <is>
          <t>Mitigating</t>
        </is>
      </c>
      <c r="H6" s="12" t="str"/>
      <c r="I6" s="12" t="inlineStr">
        <is>
          <t>Corrections never overwrite the live record until approved, and every correction/direct-edit is captured in the audit log with before/after values.</t>
        </is>
      </c>
    </row>
    <row r="7">
      <c r="A7" s="12" t="inlineStr">
        <is>
          <t>RISK-006</t>
        </is>
      </c>
      <c r="B7" s="12" t="inlineStr">
        <is>
          <t>Sensitive workforce data exposure</t>
        </is>
      </c>
      <c r="C7" s="12" t="inlineStr">
        <is>
          <t>High</t>
        </is>
      </c>
      <c r="D7" s="12" t="inlineStr">
        <is>
          <t>Low</t>
        </is>
      </c>
      <c r="E7" s="12" t="inlineStr">
        <is>
          <t>RBAC, HTTPS, secure sessions, least privilege and privacy-conscious logging.</t>
        </is>
      </c>
      <c r="F7" s="12" t="inlineStr">
        <is>
          <t>Claude (AI Engineer)</t>
        </is>
      </c>
      <c r="G7" s="12" t="inlineStr">
        <is>
          <t>Open</t>
        </is>
      </c>
      <c r="H7" s="12" t="str"/>
      <c r="I7" s="12" t="str"/>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dataValidations count="1">
    <dataValidation sqref="G2:G7" showDropDown="0" showInputMessage="0" showErrorMessage="0" allowBlank="0" type="list">
      <formula1>Lists!$E$2:$E$5</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12" customWidth="1" min="1" max="1"/>
    <col width="38" customWidth="1" min="2" max="2"/>
    <col width="52" customWidth="1" min="3" max="3"/>
    <col width="46" customWidth="1" min="4" max="4"/>
    <col width="52" customWidth="1" min="5" max="5"/>
    <col width="16" customWidth="1" min="6" max="6"/>
  </cols>
  <sheetData>
    <row r="1" ht="24" customHeight="1">
      <c r="A1" s="5" t="inlineStr">
        <is>
          <t>Release</t>
        </is>
      </c>
      <c r="B1" s="5" t="inlineStr">
        <is>
          <t>Goal</t>
        </is>
      </c>
      <c r="C1" s="5" t="inlineStr">
        <is>
          <t>Epic Scope</t>
        </is>
      </c>
      <c r="D1" s="5" t="inlineStr">
        <is>
          <t>Entry Gate</t>
        </is>
      </c>
      <c r="E1" s="5" t="inlineStr">
        <is>
          <t>Exit Gate</t>
        </is>
      </c>
      <c r="F1" s="5" t="inlineStr">
        <is>
          <t>Status</t>
        </is>
      </c>
    </row>
    <row r="2">
      <c r="A2" s="12" t="inlineStr">
        <is>
          <t>MVP</t>
        </is>
      </c>
      <c r="B2" s="12" t="inlineStr">
        <is>
          <t>Deliver usable production baseline</t>
        </is>
      </c>
      <c r="C2" s="12" t="inlineStr">
        <is>
          <t>EP-001 to EP-010 and EP-012</t>
        </is>
      </c>
      <c r="D2" s="12" t="inlineStr">
        <is>
          <t>SRS approved; schema/UX/security baseline ready</t>
        </is>
      </c>
      <c r="E2" s="12" t="inlineStr">
        <is>
          <t>MVP stories accepted; security, concurrency, backup and deployment gates passed</t>
        </is>
      </c>
      <c r="F2" s="12" t="inlineStr">
        <is>
          <t>In Progress</t>
        </is>
      </c>
    </row>
    <row r="3">
      <c r="A3" s="12" t="inlineStr">
        <is>
          <t>R1</t>
        </is>
      </c>
      <c r="B3" s="12" t="inlineStr">
        <is>
          <t>Add reminders and production-led refinements</t>
        </is>
      </c>
      <c r="C3" s="12" t="inlineStr">
        <is>
          <t>EP-011 + approved carry-over improvements</t>
        </is>
      </c>
      <c r="D3" s="12" t="inlineStr">
        <is>
          <t>MVP stable with production telemetry</t>
        </is>
      </c>
      <c r="E3" s="12" t="inlineStr">
        <is>
          <t>R1 AC passed and no blocking regression</t>
        </is>
      </c>
      <c r="F3" s="12" t="inlineStr">
        <is>
          <t>Not Started</t>
        </is>
      </c>
    </row>
    <row r="4">
      <c r="A4" s="12" t="inlineStr">
        <is>
          <t>Later</t>
        </is>
      </c>
      <c r="B4" s="12" t="inlineStr">
        <is>
          <t>Evidence-driven expansion only</t>
        </is>
      </c>
      <c r="C4" s="12" t="inlineStr">
        <is>
          <t>Native mobile / SSO / richer live updates / external integrations if justified</t>
        </is>
      </c>
      <c r="D4" s="12" t="inlineStr">
        <is>
          <t>Business case and production evidence</t>
        </is>
      </c>
      <c r="E4" s="12" t="inlineStr">
        <is>
          <t>Feature-specific readiness criteria</t>
        </is>
      </c>
      <c r="F4" s="12"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6" customWidth="1" min="1" max="1"/>
    <col width="15" customWidth="1" min="2" max="2"/>
    <col width="20" customWidth="1" min="4" max="4"/>
    <col width="12" customWidth="1" min="5" max="5"/>
    <col width="14" customWidth="1" min="7" max="7"/>
    <col width="12" customWidth="1" min="8" max="8"/>
  </cols>
  <sheetData>
    <row r="1">
      <c r="A1" s="21" t="inlineStr">
        <is>
          <t>Attendance &amp; Task Management - Delivery Dashboard</t>
        </is>
      </c>
      <c r="B1" s="1" t="n"/>
      <c r="C1" s="1" t="n"/>
      <c r="D1" s="1" t="n"/>
      <c r="E1" s="1" t="n"/>
      <c r="F1" s="1" t="n"/>
      <c r="G1" s="1" t="n"/>
      <c r="H1" s="1" t="n"/>
    </row>
    <row r="3" ht="24" customHeight="1">
      <c r="A3" s="5" t="inlineStr">
        <is>
          <t>Baseline Metric</t>
        </is>
      </c>
      <c r="B3" s="5" t="inlineStr">
        <is>
          <t>Value</t>
        </is>
      </c>
      <c r="D3" s="5" t="inlineStr">
        <is>
          <t>Story Status</t>
        </is>
      </c>
      <c r="E3" s="5" t="inlineStr">
        <is>
          <t>Count</t>
        </is>
      </c>
      <c r="G3" s="5" t="inlineStr">
        <is>
          <t>Release</t>
        </is>
      </c>
      <c r="H3" s="5" t="inlineStr">
        <is>
          <t>Stories</t>
        </is>
      </c>
    </row>
    <row r="4">
      <c r="A4" s="12" t="inlineStr">
        <is>
          <t>Epics</t>
        </is>
      </c>
      <c r="B4" s="12" t="n">
        <v>12</v>
      </c>
      <c r="D4" s="12" t="inlineStr">
        <is>
          <t>Not Started</t>
        </is>
      </c>
      <c r="E4" s="12">
        <f>COUNTIF('User Stories'!L:L,"Not Started")</f>
        <v/>
      </c>
      <c r="G4" s="12" t="inlineStr">
        <is>
          <t>MVP</t>
        </is>
      </c>
      <c r="H4" s="12">
        <f>COUNTIF('User Stories'!J:J,"MVP")</f>
        <v/>
      </c>
    </row>
    <row r="5">
      <c r="A5" s="12" t="inlineStr">
        <is>
          <t>User Stories</t>
        </is>
      </c>
      <c r="B5" s="12" t="n">
        <v>75</v>
      </c>
      <c r="D5" s="12" t="inlineStr">
        <is>
          <t>In Progress</t>
        </is>
      </c>
      <c r="E5" s="12">
        <f>COUNTIF('User Stories'!L:L,"In Progress")</f>
        <v/>
      </c>
      <c r="G5" s="12" t="inlineStr">
        <is>
          <t>R1</t>
        </is>
      </c>
      <c r="H5" s="12">
        <f>COUNTIF('User Stories'!J:J,"R1")</f>
        <v/>
      </c>
    </row>
    <row r="6">
      <c r="A6" s="12" t="inlineStr">
        <is>
          <t>Acceptance Criteria</t>
        </is>
      </c>
      <c r="B6" s="12" t="n">
        <v>300</v>
      </c>
      <c r="D6" s="12" t="inlineStr">
        <is>
          <t>In Review</t>
        </is>
      </c>
      <c r="E6" s="12">
        <f>COUNTIF('User Stories'!L:L,"In Review")</f>
        <v/>
      </c>
      <c r="G6" s="12" t="inlineStr">
        <is>
          <t>Later</t>
        </is>
      </c>
      <c r="H6" s="12">
        <f>COUNTIF('User Stories'!J:J,"Later")</f>
        <v/>
      </c>
    </row>
    <row r="7">
      <c r="A7" s="12" t="inlineStr">
        <is>
          <t>NFRs</t>
        </is>
      </c>
      <c r="B7" s="12" t="n">
        <v>16</v>
      </c>
      <c r="D7" s="12" t="inlineStr">
        <is>
          <t>Blocked</t>
        </is>
      </c>
      <c r="E7" s="12">
        <f>COUNTIF('User Stories'!L:L,"Blocked")</f>
        <v/>
      </c>
    </row>
    <row r="8">
      <c r="A8" s="12" t="inlineStr">
        <is>
          <t>Business Rules</t>
        </is>
      </c>
      <c r="B8" s="12" t="n">
        <v>14</v>
      </c>
      <c r="D8" s="12" t="inlineStr">
        <is>
          <t>Done</t>
        </is>
      </c>
      <c r="E8" s="12">
        <f>COUNTIF('User Stories'!L:L,"Done")</f>
        <v/>
      </c>
    </row>
    <row r="9">
      <c r="A9" s="12" t="inlineStr">
        <is>
          <t>Screens</t>
        </is>
      </c>
      <c r="B9" s="12" t="n">
        <v>20</v>
      </c>
      <c r="D9" s="12" t="inlineStr">
        <is>
          <t>Deferred</t>
        </is>
      </c>
      <c r="E9" s="12">
        <f>COUNTIF('User Stories'!L:L,"Deferred")</f>
        <v/>
      </c>
    </row>
    <row r="12" ht="24" customHeight="1">
      <c r="A12" s="5" t="inlineStr">
        <is>
          <t>Quality / Delivery KPI</t>
        </is>
      </c>
      <c r="B12" s="5" t="inlineStr">
        <is>
          <t>Value</t>
        </is>
      </c>
    </row>
    <row r="13">
      <c r="A13" s="12" t="inlineStr">
        <is>
          <t>Stories Done %</t>
        </is>
      </c>
      <c r="B13" s="25">
        <f>IFERROR(COUNTIF('User Stories'!L:L,"Done")/(COUNTA('User Stories'!A:A)-1),0)</f>
        <v/>
      </c>
    </row>
    <row r="14">
      <c r="A14" s="12" t="inlineStr">
        <is>
          <t>AC Pass %</t>
        </is>
      </c>
      <c r="B14" s="25">
        <f>IFERROR(COUNTIF('Acceptance Criteria'!F:F,"Pass")/(COUNTA('Acceptance Criteria'!A:A)-1),0)</f>
        <v/>
      </c>
    </row>
    <row r="15">
      <c r="A15" s="12" t="inlineStr">
        <is>
          <t>AC Failed</t>
        </is>
      </c>
      <c r="B15" s="12">
        <f>COUNTIF('Acceptance Criteria'!F:F,"Fail")</f>
        <v/>
      </c>
    </row>
    <row r="16">
      <c r="A16" s="12" t="inlineStr">
        <is>
          <t>Blocked Stories</t>
        </is>
      </c>
      <c r="B16" s="12">
        <f>COUNTIF('User Stories'!L:L,"Blocked")</f>
        <v/>
      </c>
    </row>
    <row r="17">
      <c r="A17" s="12" t="inlineStr">
        <is>
          <t>Traceability Coverage</t>
        </is>
      </c>
      <c r="B17" s="25">
        <f>IFERROR(COUNTIF(Traceability!I:I,"Linked")/(COUNTA(Traceability!B:B)-1),0)</f>
        <v/>
      </c>
    </row>
    <row r="18">
      <c r="A18" s="12" t="inlineStr">
        <is>
          <t>Open Risks</t>
        </is>
      </c>
      <c r="B18" s="12">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2026-09-09T18:20:30Z</dcterms:modified>
</cp:coreProperties>
</file>