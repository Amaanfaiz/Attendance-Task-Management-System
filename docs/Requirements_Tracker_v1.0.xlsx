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13">
    <xf numFmtId="0" fontId="0" fillId="0"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0" borderId="0" applyAlignment="1" pivotButton="0" quotePrefix="0" xfId="0">
      <alignment wrapText="1"/>
    </xf>
    <xf numFmtId="0" fontId="0" fillId="0" borderId="0"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xf numFmtId="0" fontId="2" fillId="3" borderId="1" applyAlignment="1" pivotButton="0" quotePrefix="0" xfId="0">
      <alignment vertical="center"/>
    </xf>
    <xf numFmtId="0" fontId="0" fillId="0" borderId="0" pivotButton="0" quotePrefix="0" xfId="0"/>
    <xf numFmtId="0" fontId="0" fillId="0" borderId="1" applyAlignment="1" pivotButton="0" quotePrefix="0" xfId="0">
      <alignment vertical="top" wrapText="1"/>
    </xf>
    <xf numFmtId="9" fontId="0" fillId="0" borderId="1" applyAlignment="1" pivotButton="0" quotePrefix="0" xfId="0">
      <alignment vertical="top" wrapText="1"/>
    </xf>
    <xf numFmtId="0" fontId="0" fillId="0" borderId="1" applyAlignment="1" pivotButton="0" quotePrefix="0" xfId="0">
      <alignment wrapText="1"/>
    </xf>
    <xf numFmtId="0" fontId="0" fillId="0" borderId="1" pivotButton="0" quotePrefix="0" xfId="0"/>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overlay val="1"/>
    </title>
    <plotArea>
      <layout/>
      <barChart>
        <barDir val="col"/>
        <grouping val="clustered"/>
        <varyColors val="0"/>
        <ser>
          <idx val="0"/>
          <order val="0"/>
          <tx>
            <v>Count</v>
          </tx>
          <spPr>
            <a:ln xmlns:a="http://schemas.openxmlformats.org/drawingml/2006/main">
              <a:prstDash val="solid"/>
            </a:ln>
          </spPr>
          <invertIfNegative val="1"/>
          <cat>
            <strRef>
              <f>Dashboard!$D$4:$D$9</f>
              <strCache>
                <ptCount val="6"/>
                <pt idx="0">
                  <v>Not Started</v>
                </pt>
                <pt idx="1">
                  <v>In Progress</v>
                </pt>
                <pt idx="2">
                  <v>In Review</v>
                </pt>
                <pt idx="3">
                  <v>Blocked</v>
                </pt>
                <pt idx="4">
                  <v>Done</v>
                </pt>
                <pt idx="5">
                  <v>Deferred</v>
                </pt>
              </strCache>
            </strRef>
          </cat>
          <val>
            <numRef>
              <f>Dashboard!$E$4:$E$9</f>
              <numCache>
                <formatCode>General</formatCode>
                <ptCount val="6"/>
                <pt idx="0">
                  <v>0</v>
                </pt>
                <pt idx="1">
                  <v>0</v>
                </pt>
                <pt idx="2">
                  <v>0</v>
                </pt>
                <pt idx="3">
                  <v>0</v>
                </pt>
                <pt idx="4">
                  <v>75</v>
                </pt>
                <pt idx="5">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overlay val="1"/>
    </title>
    <plotArea>
      <layout/>
      <barChart>
        <barDir val="col"/>
        <grouping val="clustered"/>
        <varyColors val="0"/>
        <ser>
          <idx val="0"/>
          <order val="0"/>
          <tx>
            <v>Stories</v>
          </tx>
          <spPr>
            <a:ln xmlns:a="http://schemas.openxmlformats.org/drawingml/2006/main">
              <a:prstDash val="solid"/>
            </a:ln>
          </spPr>
          <invertIfNegative val="1"/>
          <cat>
            <strRef>
              <f>Dashboard!$G$4:$G$6</f>
              <strCache>
                <ptCount val="3"/>
                <pt idx="0">
                  <v>MVP</v>
                </pt>
                <pt idx="1">
                  <v>R1</v>
                </pt>
                <pt idx="2">
                  <v>Later</v>
                </pt>
              </strCache>
            </strRef>
          </cat>
          <val>
            <numRef>
              <f>Dashboard!$H$4:$H$6</f>
              <numCache>
                <formatCode>General</formatCode>
                <ptCount val="3"/>
                <pt idx="0">
                  <v>71</v>
                </pt>
                <pt idx="1">
                  <v>4</v>
                </pt>
                <pt idx="2">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Shown="0" dataDxfId="20">
  <tableColumns count="11">
    <tableColumn id="1" name="AC ID" dataDxfId="19"/>
    <tableColumn id="2" name="Story ID" dataDxfId="18"/>
    <tableColumn id="3" name="Epic ID" dataDxfId="17"/>
    <tableColumn id="4" name="Acceptance Criterion" dataDxfId="16"/>
    <tableColumn id="5" name="Test Case ID" dataDxfId="15"/>
    <tableColumn id="6" name="Test Status" dataDxfId="14"/>
    <tableColumn id="7" name="Evidence / Link" dataDxfId="13"/>
    <tableColumn id="8" name="Defect ID" dataDxfId="12"/>
    <tableColumn id="9" name="Tester" dataDxfId="11"/>
    <tableColumn id="10" name="Test Cycle" dataDxfId="10"/>
    <tableColumn id="11" name="Comments" dataDxfId="9"/>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3.8"/>
  <cols>
    <col width="18" customWidth="1" style="8" min="1" max="6"/>
  </cols>
  <sheetData>
    <row r="1" ht="24" customHeight="1" s="8">
      <c r="A1" s="2" t="inlineStr">
        <is>
          <t>Story Status</t>
        </is>
      </c>
      <c r="B1" s="2" t="inlineStr">
        <is>
          <t>Priority</t>
        </is>
      </c>
      <c r="C1" s="2" t="inlineStr">
        <is>
          <t>Release</t>
        </is>
      </c>
      <c r="D1" s="2" t="inlineStr">
        <is>
          <t>AC Status</t>
        </is>
      </c>
      <c r="E1" s="2" t="inlineStr">
        <is>
          <t>Risk Status</t>
        </is>
      </c>
      <c r="F1" s="2" t="inlineStr">
        <is>
          <t>Test Cycle</t>
        </is>
      </c>
    </row>
    <row r="2">
      <c r="A2" s="4" t="inlineStr">
        <is>
          <t>Not Started</t>
        </is>
      </c>
      <c r="B2" s="4" t="inlineStr">
        <is>
          <t>Must Have</t>
        </is>
      </c>
      <c r="C2" s="4" t="inlineStr">
        <is>
          <t>MVP</t>
        </is>
      </c>
      <c r="D2" s="4" t="inlineStr">
        <is>
          <t>Not Tested</t>
        </is>
      </c>
      <c r="E2" s="4" t="inlineStr">
        <is>
          <t>Open</t>
        </is>
      </c>
      <c r="F2" s="4" t="inlineStr">
        <is>
          <t>SIT</t>
        </is>
      </c>
    </row>
    <row r="3">
      <c r="A3" s="4" t="inlineStr">
        <is>
          <t>In Progress</t>
        </is>
      </c>
      <c r="B3" s="4" t="inlineStr">
        <is>
          <t>Should Have</t>
        </is>
      </c>
      <c r="C3" s="4" t="inlineStr">
        <is>
          <t>R1</t>
        </is>
      </c>
      <c r="D3" s="4" t="inlineStr">
        <is>
          <t>Pass</t>
        </is>
      </c>
      <c r="E3" s="4" t="inlineStr">
        <is>
          <t>Mitigating</t>
        </is>
      </c>
      <c r="F3" s="4" t="inlineStr">
        <is>
          <t>UAT</t>
        </is>
      </c>
    </row>
    <row r="4">
      <c r="A4" s="4" t="inlineStr">
        <is>
          <t>Blocked</t>
        </is>
      </c>
      <c r="B4" s="4" t="inlineStr">
        <is>
          <t>Could Have</t>
        </is>
      </c>
      <c r="C4" s="4" t="inlineStr">
        <is>
          <t>Later</t>
        </is>
      </c>
      <c r="D4" s="4" t="inlineStr">
        <is>
          <t>Fail</t>
        </is>
      </c>
      <c r="E4" s="4" t="inlineStr">
        <is>
          <t>Accepted</t>
        </is>
      </c>
      <c r="F4" s="4" t="inlineStr">
        <is>
          <t>Regression</t>
        </is>
      </c>
    </row>
    <row r="5">
      <c r="A5" s="4" t="inlineStr">
        <is>
          <t>In Review</t>
        </is>
      </c>
      <c r="B5" s="4" t="n"/>
      <c r="C5" s="4" t="n"/>
      <c r="D5" s="4" t="inlineStr">
        <is>
          <t>Blocked</t>
        </is>
      </c>
      <c r="E5" s="4" t="inlineStr">
        <is>
          <t>Closed</t>
        </is>
      </c>
      <c r="F5" s="4" t="n"/>
    </row>
    <row r="6">
      <c r="A6" s="4" t="inlineStr">
        <is>
          <t>Done</t>
        </is>
      </c>
      <c r="B6" s="4" t="n"/>
      <c r="C6" s="4" t="n"/>
      <c r="D6" s="4" t="inlineStr">
        <is>
          <t>Not Applicable</t>
        </is>
      </c>
      <c r="E6" s="4" t="n"/>
      <c r="F6" s="4" t="n"/>
    </row>
    <row r="7">
      <c r="A7" s="4" t="inlineStr">
        <is>
          <t>Deferred</t>
        </is>
      </c>
      <c r="B7" s="4" t="n"/>
      <c r="C7" s="4" t="n"/>
      <c r="D7" s="4" t="n"/>
      <c r="E7" s="4" t="n"/>
      <c r="F7" s="4" t="n"/>
    </row>
    <row r="8">
      <c r="A8" s="4" t="inlineStr">
        <is>
          <t>Cancelled</t>
        </is>
      </c>
      <c r="B8" s="4" t="n"/>
      <c r="C8" s="4" t="n"/>
      <c r="D8" s="4" t="n"/>
      <c r="E8" s="4" t="n"/>
      <c r="F8" s="4" t="n"/>
    </row>
    <row r="9">
      <c r="A9" s="4" t="n"/>
      <c r="B9" s="4" t="n"/>
      <c r="C9" s="4" t="n"/>
      <c r="D9" s="4" t="n"/>
      <c r="E9" s="4" t="n"/>
      <c r="F9" s="4"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3.8"/>
  <cols>
    <col width="12" customWidth="1" style="8" min="1" max="1"/>
    <col width="30" customWidth="1" style="8" min="2" max="2"/>
    <col width="50" customWidth="1" style="8" min="3" max="3"/>
    <col width="14" customWidth="1" style="8" min="4" max="4"/>
    <col width="12" customWidth="1" style="8" min="5" max="5"/>
    <col width="16" customWidth="1" style="8" min="6" max="8"/>
    <col width="12" customWidth="1" style="8" min="9" max="9"/>
    <col width="28" customWidth="1" style="8" min="10" max="10"/>
  </cols>
  <sheetData>
    <row r="1" ht="24" customHeight="1" s="8">
      <c r="A1" s="2" t="inlineStr">
        <is>
          <t>Epic ID</t>
        </is>
      </c>
      <c r="B1" s="2" t="inlineStr">
        <is>
          <t>Epic Name</t>
        </is>
      </c>
      <c r="C1" s="2" t="inlineStr">
        <is>
          <t>Description</t>
        </is>
      </c>
      <c r="D1" s="2" t="inlineStr">
        <is>
          <t>Priority</t>
        </is>
      </c>
      <c r="E1" s="2" t="inlineStr">
        <is>
          <t>Release</t>
        </is>
      </c>
      <c r="F1" s="2" t="inlineStr">
        <is>
          <t>Owner</t>
        </is>
      </c>
      <c r="G1" s="2" t="inlineStr">
        <is>
          <t>Status</t>
        </is>
      </c>
      <c r="H1" s="2" t="inlineStr">
        <is>
          <t>Target Sprint</t>
        </is>
      </c>
      <c r="I1" s="2" t="inlineStr">
        <is>
          <t>% Complete</t>
        </is>
      </c>
      <c r="J1" s="2" t="inlineStr">
        <is>
          <t>Notes</t>
        </is>
      </c>
    </row>
    <row r="2" ht="55.2" customHeight="1" s="8">
      <c r="A2" s="4" t="inlineStr">
        <is>
          <t>EP-001</t>
        </is>
      </c>
      <c r="B2" s="4" t="inlineStr">
        <is>
          <t>Registration &amp; Authentication</t>
        </is>
      </c>
      <c r="C2" s="4" t="inlineStr">
        <is>
          <t>Account registration, approval, login, logout and password recovery.</t>
        </is>
      </c>
      <c r="D2" s="4" t="inlineStr">
        <is>
          <t>Must Have</t>
        </is>
      </c>
      <c r="E2" s="4" t="inlineStr">
        <is>
          <t>MVP</t>
        </is>
      </c>
      <c r="F2" s="4" t="inlineStr">
        <is>
          <t>Amaan</t>
        </is>
      </c>
      <c r="G2" s="4" t="inlineStr">
        <is>
          <t>Done</t>
        </is>
      </c>
      <c r="H2" s="4" t="inlineStr">
        <is>
          <t>Week 1</t>
        </is>
      </c>
      <c r="I2" s="5" t="n">
        <v>100</v>
      </c>
      <c r="J2" s="4" t="inlineStr">
        <is>
          <t>Register/approve/login/logout/forgot+reset password/session-inactivity all implemented. Core auth path covered by e2e tests. | CRITICAL, found 2026-09-10: password-reset emails are actually rejected by Resend in production for any real user other than the Resend account owner (sandbox domain restriction, DEF-022, RISK-009). The reset-token mechanism itself is sound and Pass; email delivery of it is not, right now.</t>
        </is>
      </c>
    </row>
    <row r="3" ht="55.2" customHeight="1" s="8">
      <c r="A3" s="4" t="inlineStr">
        <is>
          <t>EP-002</t>
        </is>
      </c>
      <c r="B3" s="4" t="inlineStr">
        <is>
          <t>User &amp; Role Administration</t>
        </is>
      </c>
      <c r="C3" s="4" t="inlineStr">
        <is>
          <t>User profiles, employee identifiers, roles, activation/suspension and department assignment.</t>
        </is>
      </c>
      <c r="D3" s="4" t="inlineStr">
        <is>
          <t>Must Have</t>
        </is>
      </c>
      <c r="E3" s="4" t="inlineStr">
        <is>
          <t>MVP</t>
        </is>
      </c>
      <c r="F3" s="4" t="inlineStr">
        <is>
          <t>Amaan</t>
        </is>
      </c>
      <c r="G3" s="4" t="inlineStr">
        <is>
          <t>Done</t>
        </is>
      </c>
      <c r="H3" s="4" t="inlineStr">
        <is>
          <t>Week 1</t>
        </is>
      </c>
      <c r="I3" s="5" t="n">
        <v>100</v>
      </c>
      <c r="J3" s="4" t="inlineStr">
        <is>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 | Third SRS pass, 2026-09-10: confirmed only 2 roles exist (EMPLOYEE, ADMINISTRATOR) against the SRS's own §3 Stakeholders table naming a 3rd, read-only "Auditor / Management Viewer" persona (RISK-015). AC-002-004-01's own wording ("At minimum Employee and Administrator roles exist") technically permits just 2, so this is a narrative-level gap, not a failed AC.</t>
        </is>
      </c>
    </row>
    <row r="4" ht="69" customHeight="1" s="8">
      <c r="A4" s="4" t="inlineStr">
        <is>
          <t>EP-003</t>
        </is>
      </c>
      <c r="B4" s="4" t="inlineStr">
        <is>
          <t>Attendance Clock-In / Clock-Out</t>
        </is>
      </c>
      <c r="C4" s="4" t="inlineStr">
        <is>
          <t>Record the employee workday using authoritative clock-in and clock-out events.</t>
        </is>
      </c>
      <c r="D4" s="4" t="inlineStr">
        <is>
          <t>Must Have</t>
        </is>
      </c>
      <c r="E4" s="4" t="inlineStr">
        <is>
          <t>MVP</t>
        </is>
      </c>
      <c r="F4" s="4" t="inlineStr">
        <is>
          <t>Amaan</t>
        </is>
      </c>
      <c r="G4" s="4" t="inlineStr">
        <is>
          <t>Done</t>
        </is>
      </c>
      <c r="H4" s="4" t="inlineStr">
        <is>
          <t>Week 1</t>
        </is>
      </c>
      <c r="I4" s="5" t="n">
        <v>100</v>
      </c>
      <c r="J4" s="4" t="inlineStr">
        <is>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is>
      </c>
    </row>
    <row r="5" ht="69" customHeight="1" s="8">
      <c r="A5" s="4" t="inlineStr">
        <is>
          <t>EP-004</t>
        </is>
      </c>
      <c r="B5" s="4" t="inlineStr">
        <is>
          <t>Break Management</t>
        </is>
      </c>
      <c r="C5" s="4" t="inlineStr">
        <is>
          <t>Record start/end of breaks and exclude applicable break time from net working time.</t>
        </is>
      </c>
      <c r="D5" s="4" t="inlineStr">
        <is>
          <t>Must Have</t>
        </is>
      </c>
      <c r="E5" s="4" t="inlineStr">
        <is>
          <t>MVP</t>
        </is>
      </c>
      <c r="F5" s="4" t="inlineStr">
        <is>
          <t>Amaan</t>
        </is>
      </c>
      <c r="G5" s="4" t="inlineStr">
        <is>
          <t>Done</t>
        </is>
      </c>
      <c r="H5" s="4" t="inlineStr">
        <is>
          <t>Week 1</t>
        </is>
      </c>
      <c r="I5" s="5" t="n">
        <v>100</v>
      </c>
      <c r="J5" s="4" t="inlineStr">
        <is>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is>
      </c>
    </row>
    <row r="6" ht="41.4" customHeight="1" s="8">
      <c r="A6" s="4" t="inlineStr">
        <is>
          <t>EP-005</t>
        </is>
      </c>
      <c r="B6" s="4" t="inlineStr">
        <is>
          <t>Task Management</t>
        </is>
      </c>
      <c r="C6" s="4" t="inlineStr">
        <is>
          <t>Create, assign, prioritise, update and complete tasks used for professional time allocation.</t>
        </is>
      </c>
      <c r="D6" s="4" t="inlineStr">
        <is>
          <t>Must Have</t>
        </is>
      </c>
      <c r="E6" s="4" t="inlineStr">
        <is>
          <t>MVP</t>
        </is>
      </c>
      <c r="F6" s="4" t="inlineStr">
        <is>
          <t>Amaan</t>
        </is>
      </c>
      <c r="G6" s="4" t="inlineStr">
        <is>
          <t>Done</t>
        </is>
      </c>
      <c r="H6" s="4" t="inlineStr">
        <is>
          <t>Week 1</t>
        </is>
      </c>
      <c r="I6" s="5" t="n">
        <v>100</v>
      </c>
      <c r="J6" s="4" t="inlineStr">
        <is>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is>
      </c>
    </row>
    <row r="7" ht="69" customHeight="1" s="8">
      <c r="A7" s="4" t="inlineStr">
        <is>
          <t>EP-006</t>
        </is>
      </c>
      <c r="B7" s="4" t="inlineStr">
        <is>
          <t>Task Time Tracking</t>
        </is>
      </c>
      <c r="C7" s="4" t="inlineStr">
        <is>
          <t>Run a live server-authoritative timer against a task with pause, resume, stop and switch behaviour.</t>
        </is>
      </c>
      <c r="D7" s="4" t="inlineStr">
        <is>
          <t>Must Have</t>
        </is>
      </c>
      <c r="E7" s="4" t="inlineStr">
        <is>
          <t>MVP</t>
        </is>
      </c>
      <c r="F7" s="4" t="inlineStr">
        <is>
          <t>Amaan</t>
        </is>
      </c>
      <c r="G7" s="4" t="inlineStr">
        <is>
          <t>Done</t>
        </is>
      </c>
      <c r="H7" s="4" t="inlineStr">
        <is>
          <t>Week 1</t>
        </is>
      </c>
      <c r="I7" s="5" t="n">
        <v>100</v>
      </c>
      <c r="J7" s="4" t="inlineStr">
        <is>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is>
      </c>
    </row>
    <row r="8" ht="82.8" customHeight="1" s="8">
      <c r="A8" s="4" t="inlineStr">
        <is>
          <t>EP-007</t>
        </is>
      </c>
      <c r="B8" s="4" t="inlineStr">
        <is>
          <t>Attendance &amp; Task-Time Reconciliation</t>
        </is>
      </c>
      <c r="C8" s="4" t="inlineStr">
        <is>
          <t>Compare net attendance time with task time and identify unallocated working time.</t>
        </is>
      </c>
      <c r="D8" s="4" t="inlineStr">
        <is>
          <t>Must Have</t>
        </is>
      </c>
      <c r="E8" s="4" t="inlineStr">
        <is>
          <t>MVP</t>
        </is>
      </c>
      <c r="F8" s="4" t="inlineStr">
        <is>
          <t>Amaan</t>
        </is>
      </c>
      <c r="G8" s="4" t="inlineStr">
        <is>
          <t>Done</t>
        </is>
      </c>
      <c r="H8" s="4" t="inlineStr">
        <is>
          <t>Week 1</t>
        </is>
      </c>
      <c r="I8" s="5" t="n">
        <v>100</v>
      </c>
      <c r="J8" s="4" t="inlineStr">
        <is>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is>
      </c>
    </row>
    <row r="9" ht="110.4" customHeight="1" s="8">
      <c r="A9" s="4" t="inlineStr">
        <is>
          <t>EP-008</t>
        </is>
      </c>
      <c r="B9" s="4" t="inlineStr">
        <is>
          <t>Employee &amp; Administrator Dashboards</t>
        </is>
      </c>
      <c r="C9" s="4" t="inlineStr">
        <is>
          <t>Provide simple live views of attendance, breaks, tasks and current activity.</t>
        </is>
      </c>
      <c r="D9" s="4" t="inlineStr">
        <is>
          <t>Must Have</t>
        </is>
      </c>
      <c r="E9" s="4" t="inlineStr">
        <is>
          <t>MVP</t>
        </is>
      </c>
      <c r="F9" s="4" t="inlineStr">
        <is>
          <t>Amaan</t>
        </is>
      </c>
      <c r="G9" s="4" t="inlineStr">
        <is>
          <t>Done</t>
        </is>
      </c>
      <c r="H9" s="4" t="inlineStr">
        <is>
          <t>Week 1</t>
        </is>
      </c>
      <c r="I9" s="5" t="n">
        <v>100</v>
      </c>
      <c r="J9" s="4" t="inlineStr">
        <is>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is>
      </c>
    </row>
    <row r="10" ht="69" customHeight="1" s="8">
      <c r="A10" s="4" t="inlineStr">
        <is>
          <t>EP-009</t>
        </is>
      </c>
      <c r="B10" s="4" t="inlineStr">
        <is>
          <t>Corrections, Approvals &amp; Audit</t>
        </is>
      </c>
      <c r="C10" s="4" t="inlineStr">
        <is>
          <t>Allow controlled corrections to attendance/task time while preserving a full audit trail.</t>
        </is>
      </c>
      <c r="D10" s="4" t="inlineStr">
        <is>
          <t>Must Have</t>
        </is>
      </c>
      <c r="E10" s="4" t="inlineStr">
        <is>
          <t>MVP</t>
        </is>
      </c>
      <c r="F10" s="4" t="inlineStr">
        <is>
          <t>Amaan</t>
        </is>
      </c>
      <c r="G10" s="4" t="inlineStr">
        <is>
          <t>Done</t>
        </is>
      </c>
      <c r="H10" s="4" t="inlineStr">
        <is>
          <t>Week 1</t>
        </is>
      </c>
      <c r="I10" s="5" t="n">
        <v>100</v>
      </c>
      <c r="J10" s="4" t="inlineStr">
        <is>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 | Third SRS pass, 2026-09-10: US-009-005's own Persona is "Auditor", a role that doesn't actually exist in the system (RISK-015) - its 4 ACs are satisfied via admin-gated access instead, which is functionally fine but not literally what the persona describes.</t>
        </is>
      </c>
    </row>
    <row r="11" ht="234.6" customHeight="1" s="8">
      <c r="A11" s="4" t="inlineStr">
        <is>
          <t>EP-010</t>
        </is>
      </c>
      <c r="B11" s="4" t="inlineStr">
        <is>
          <t>Reports &amp; Export</t>
        </is>
      </c>
      <c r="C11" s="4" t="inlineStr">
        <is>
          <t>Attendance, break, task and utilisation reports with filter and export capabilities.</t>
        </is>
      </c>
      <c r="D11" s="4" t="inlineStr">
        <is>
          <t>Should Have</t>
        </is>
      </c>
      <c r="E11" s="4" t="inlineStr">
        <is>
          <t>MVP</t>
        </is>
      </c>
      <c r="F11" s="4" t="inlineStr">
        <is>
          <t>Amaan</t>
        </is>
      </c>
      <c r="G11" s="4" t="inlineStr">
        <is>
          <t>Done</t>
        </is>
      </c>
      <c r="H11" s="4" t="inlineStr">
        <is>
          <t>Week 1</t>
        </is>
      </c>
      <c r="I11" s="5" t="n">
        <v>100</v>
      </c>
      <c r="J11" s="4" t="inlineStr">
        <is>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is>
      </c>
    </row>
    <row r="12" ht="358.8" customHeight="1" s="8">
      <c r="A12" s="4" t="inlineStr">
        <is>
          <t>EP-011</t>
        </is>
      </c>
      <c r="B12" s="4" t="inlineStr">
        <is>
          <t>Notifications &amp; Reminders</t>
        </is>
      </c>
      <c r="C12" s="4" t="inlineStr">
        <is>
          <t>Operational reminders for missing clock-out, incomplete task time and assigned tasks.</t>
        </is>
      </c>
      <c r="D12" s="4" t="inlineStr">
        <is>
          <t>Should Have</t>
        </is>
      </c>
      <c r="E12" s="4" t="inlineStr">
        <is>
          <t>R1</t>
        </is>
      </c>
      <c r="F12" s="4" t="inlineStr">
        <is>
          <t>Amaan</t>
        </is>
      </c>
      <c r="G12" s="4" t="inlineStr">
        <is>
          <t>Done</t>
        </is>
      </c>
      <c r="H12" s="4" t="inlineStr">
        <is>
          <t>Week 1</t>
        </is>
      </c>
      <c r="I12" s="5" t="n">
        <v>100</v>
      </c>
      <c r="J12" s="4" t="inlineStr">
        <is>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is>
      </c>
    </row>
    <row r="13" ht="248.4" customHeight="1" s="8">
      <c r="A13" s="4" t="inlineStr">
        <is>
          <t>EP-012</t>
        </is>
      </c>
      <c r="B13" s="4" t="inlineStr">
        <is>
          <t>Security, Reliability &amp; Operations</t>
        </is>
      </c>
      <c r="C13" s="4" t="inlineStr">
        <is>
          <t>Security controls, observability, backup, performance and production readiness.</t>
        </is>
      </c>
      <c r="D13" s="4" t="inlineStr">
        <is>
          <t>Must Have</t>
        </is>
      </c>
      <c r="E13" s="4" t="inlineStr">
        <is>
          <t>MVP</t>
        </is>
      </c>
      <c r="F13" s="4" t="inlineStr">
        <is>
          <t>Amaan</t>
        </is>
      </c>
      <c r="G13" s="4" t="inlineStr">
        <is>
          <t>Done</t>
        </is>
      </c>
      <c r="H13" s="4" t="inlineStr">
        <is>
          <t>Week 1</t>
        </is>
      </c>
      <c r="I13" s="5" t="n">
        <v>100</v>
      </c>
      <c r="J13" s="4" t="inlineStr">
        <is>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 | Second full SRS re-read, 2026-09-10, section by section against the current repo, found 5 more real gaps beyond the tracker's 300 ACs (RISK-010 through RISK-014): no Playwright browser E2E automation, no DST-boundary test, no separate Staging environment, the OpenAPI spec isn't validated in CI, and the database connection isn't on a least-privilege role. None of these are fabricated - each traces to a specific SRS line, confirmed by direct text search plus a matching code/infra check, not assumed. Also worth stating plainly: the SRS's own Definition of Done (§17.2) says "no unresolved Critical/High security defect," which is not strictly true right now given the 4 Critical + 30 High Dependabot findings tracked in RISK-008 - the practical exposure was assessed as low and documented, but under a literal reading of the SRS's own exit criteria this remains open, not resolved.</t>
        </is>
      </c>
    </row>
    <row r="14">
      <c r="A14" s="9" t="inlineStr">
        <is>
          <t>EP-013</t>
        </is>
      </c>
      <c r="B14" s="9" t="inlineStr">
        <is>
          <t>Employee Records: Profile, Emergency Contacts &amp; Documents</t>
        </is>
      </c>
      <c r="C14" s="9" t="inlineStr">
        <is>
          <t>Admin-captured Date of Birth and Job Title at account creation; employee self-service Personal Details (address, mobile, personal email, bank details) and Emergency Contact via a request/admin-approval workflow; admin/employee upload of 10 compliance document types (passport, right-to-work, eVisa, CV, etc.) backed by Azure Blob Storage.</t>
        </is>
      </c>
      <c r="D14" s="9" t="inlineStr">
        <is>
          <t>Should Have</t>
        </is>
      </c>
      <c r="E14" s="9" t="inlineStr">
        <is>
          <t>R1</t>
        </is>
      </c>
      <c r="F14" s="9" t="inlineStr">
        <is>
          <t>Amaan</t>
        </is>
      </c>
      <c r="G14" s="9" t="inlineStr">
        <is>
          <t>Done</t>
        </is>
      </c>
      <c r="H14" s="9" t="inlineStr">
        <is>
          <t>Week 1</t>
        </is>
      </c>
      <c r="I14" s="10" t="n">
        <v>100</v>
      </c>
      <c r="J14" s="9" t="inlineStr">
        <is>
          <t>Built and deployed: dateOfBirth/jobTitle added to the admin Create User form (required there, bulk-import stays at its existing 6 fields per explicit scope decision); a new EmployeeProfile + EmergencyContact + ProfileChangeRequest data model mirroring the existing Corrections request/approve pattern (employee submits a proposed change, sits PENDING, admin approves/rejects via a new Profile Changes review page with a current-vs-proposed diff; a separate admin-direct path in the User Detail Drawer applies immediately, same distinction as Corrections' own direct path); a new Document model + DocumentsController/Service + BlobStorageService storing files in a new private Azure Blob Storage container per environment, self-or-admin access with Auditor explicitly excluded (confirmed via the existing AuditorScopeGuard, no new mechanism needed), admin-only soft-delete that still purges the underlying blob immediately. Bank account number is masked to the last 4 digits on every steady-state read, full value visible only on the one-time admin approval review. All new endpoints audited (DOCUMENT_UPLOADED/DOWNLOADED/DELETED, PROFILE_CHANGE_REQUESTED/APPROVED/REJECTED, ADMIN_DIRECT_PROFILE_UPDATE). Live-verified end-to-end in three separate environments: local dev (curl + browser, including a real diff-view bug found live - the admin review screen was leaking raw id/userId/createdAt/updatedAt fields into the current-vs-proposed comparison, fixed by scoping the underlying Prisma select() to just the real profile fields, re-verified), Staging (Deploy Staging #32/#33, real Azure Blob Storage round-trip confirmed byte-identical via upload+download+diff, admin direct-edit and document delete confirmed live), and Production (Deploy #60/#61, migration applied against the live database via a temporary firewall-rule bracket, same real Blob Storage round-trip and direct-edit checks repeated and passed, test accounts suspended afterward, not left dangling). All 53 existing automated tests (6 unit + 47 e2e) still pass - zero regressions from this epic's changes to users.controller.ts/users.service.ts. Epic was originally mislabelled EP-012 in source comments before this tracker entry was written - EP-012 was already assigned to "Security, Reliability &amp; Operations"; corrected to EP-013 across all 15 affected files (comment-only change) and redeployed to both environments before this tracker update, so code and tracker agree.</t>
        </is>
      </c>
    </row>
  </sheetData>
  <conditionalFormatting sqref="G2:G13">
    <cfRule type="expression" priority="1" dxfId="1">
      <formula>G2="Done"</formula>
    </cfRule>
    <cfRule type="expression" priority="2" dxfId="0">
      <formula>G2="Blocked"</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84"/>
  <sheetViews>
    <sheetView workbookViewId="0">
      <selection activeCell="A1" sqref="A1"/>
    </sheetView>
  </sheetViews>
  <sheetFormatPr baseColWidth="8" defaultRowHeight="13.8"/>
  <cols>
    <col width="15" customWidth="1" style="8" min="1" max="1"/>
    <col width="12" customWidth="1" style="8" min="2" max="2"/>
    <col width="30" customWidth="1" style="8" min="3" max="3"/>
    <col width="20" customWidth="1" style="8" min="4" max="4"/>
    <col width="62" customWidth="1" style="8" min="5" max="5"/>
    <col width="10" customWidth="1" style="8" min="6" max="6"/>
    <col width="22" customWidth="1" style="8" min="7" max="7"/>
    <col width="16" customWidth="1" style="8" min="8" max="8"/>
    <col width="14" customWidth="1" style="8" min="9" max="9"/>
    <col width="12" customWidth="1" style="8" min="10" max="10"/>
    <col width="14" customWidth="1" style="8" min="11" max="11"/>
    <col width="16" customWidth="1" style="8" min="12" max="12"/>
    <col width="14" customWidth="1" style="8" min="13" max="13"/>
    <col width="28" customWidth="1" style="8" min="14" max="15"/>
  </cols>
  <sheetData>
    <row r="1" ht="24" customHeight="1" s="8">
      <c r="A1" s="2" t="inlineStr">
        <is>
          <t>Story ID</t>
        </is>
      </c>
      <c r="B1" s="2" t="inlineStr">
        <is>
          <t>Epic ID</t>
        </is>
      </c>
      <c r="C1" s="2" t="inlineStr">
        <is>
          <t>Title</t>
        </is>
      </c>
      <c r="D1" s="2" t="inlineStr">
        <is>
          <t>Persona</t>
        </is>
      </c>
      <c r="E1" s="2" t="inlineStr">
        <is>
          <t>User Story</t>
        </is>
      </c>
      <c r="F1" s="2" t="inlineStr">
        <is>
          <t>AC Count</t>
        </is>
      </c>
      <c r="G1" s="2" t="inlineStr">
        <is>
          <t>Dependencies</t>
        </is>
      </c>
      <c r="H1" s="2" t="inlineStr">
        <is>
          <t>Owner</t>
        </is>
      </c>
      <c r="I1" s="2" t="inlineStr">
        <is>
          <t>Priority</t>
        </is>
      </c>
      <c r="J1" s="2" t="inlineStr">
        <is>
          <t>Release</t>
        </is>
      </c>
      <c r="K1" s="2" t="inlineStr">
        <is>
          <t>Sprint</t>
        </is>
      </c>
      <c r="L1" s="2" t="inlineStr">
        <is>
          <t>Status</t>
        </is>
      </c>
      <c r="M1" s="2" t="inlineStr">
        <is>
          <t>Estimate Points</t>
        </is>
      </c>
      <c r="N1" s="2" t="inlineStr">
        <is>
          <t>Dev Notes</t>
        </is>
      </c>
      <c r="O1" s="2" t="inlineStr">
        <is>
          <t>QA Notes</t>
        </is>
      </c>
    </row>
    <row r="2" ht="55.2" customHeight="1" s="8">
      <c r="A2" s="4" t="inlineStr">
        <is>
          <t>US-001-001</t>
        </is>
      </c>
      <c r="B2" s="4" t="inlineStr">
        <is>
          <t>EP-001</t>
        </is>
      </c>
      <c r="C2" s="4" t="inlineStr">
        <is>
          <t>Register a new account</t>
        </is>
      </c>
      <c r="D2" s="4" t="inlineStr">
        <is>
          <t>Employee</t>
        </is>
      </c>
      <c r="E2" s="4" t="inlineStr">
        <is>
          <t>As a new user, I want to register an account so that I can use the attendance system.</t>
        </is>
      </c>
      <c r="F2" s="4" t="n">
        <v>4</v>
      </c>
      <c r="G2" s="4" t="inlineStr">
        <is>
          <t>None</t>
        </is>
      </c>
      <c r="H2" s="4" t="inlineStr">
        <is>
          <t>Amaan</t>
        </is>
      </c>
      <c r="I2" s="4" t="inlineStr">
        <is>
          <t>Must Have</t>
        </is>
      </c>
      <c r="J2" s="4" t="inlineStr">
        <is>
          <t>MVP</t>
        </is>
      </c>
      <c r="K2" s="4" t="inlineStr">
        <is>
          <t>Week 1</t>
        </is>
      </c>
      <c r="L2" s="4" t="inlineStr">
        <is>
          <t>Done</t>
        </is>
      </c>
      <c r="M2" s="4" t="n">
        <v>3</v>
      </c>
      <c r="N2" s="4" t="inlineStr">
        <is>
          <t>Implemented and functionally working; not individually covered by an automated test this session.</t>
        </is>
      </c>
      <c r="O2" s="4" t="inlineStr">
        <is>
          <t>All 4 ACs manually re-verified live against the deployed Azure app, 2026-09-09, and Pass. No defects found for this story.</t>
        </is>
      </c>
    </row>
    <row r="3" ht="55.2" customHeight="1" s="8">
      <c r="A3" s="4" t="inlineStr">
        <is>
          <t>US-001-002</t>
        </is>
      </c>
      <c r="B3" s="4" t="inlineStr">
        <is>
          <t>EP-001</t>
        </is>
      </c>
      <c r="C3" s="4" t="inlineStr">
        <is>
          <t>Approve pending registration</t>
        </is>
      </c>
      <c r="D3" s="4" t="inlineStr">
        <is>
          <t>Administrator</t>
        </is>
      </c>
      <c r="E3" s="4" t="inlineStr">
        <is>
          <t>As an administrator, I want to approve a pending registration so that only authorised staff gain access.</t>
        </is>
      </c>
      <c r="F3" s="4" t="n">
        <v>4</v>
      </c>
      <c r="G3" s="4" t="inlineStr">
        <is>
          <t>US-001-001</t>
        </is>
      </c>
      <c r="H3" s="4" t="inlineStr">
        <is>
          <t>Amaan</t>
        </is>
      </c>
      <c r="I3" s="4" t="inlineStr">
        <is>
          <t>Must Have</t>
        </is>
      </c>
      <c r="J3" s="4" t="inlineStr">
        <is>
          <t>MVP</t>
        </is>
      </c>
      <c r="K3" s="4" t="inlineStr">
        <is>
          <t>Week 1</t>
        </is>
      </c>
      <c r="L3" s="4" t="inlineStr">
        <is>
          <t>Done</t>
        </is>
      </c>
      <c r="M3" s="4" t="n">
        <v>3</v>
      </c>
      <c r="N3" s="4" t="inlineStr">
        <is>
          <t>Verified by e2e test: pending queue visible to admin, approval activates account and records approver/date.</t>
        </is>
      </c>
      <c r="O3" s="4" t="inlineStr">
        <is>
          <t>All 4 ACs manually re-verified live against the deployed Azure app, 2026-09-09, and Pass. No defects found for this story.</t>
        </is>
      </c>
    </row>
    <row r="4" ht="69" customHeight="1" s="8">
      <c r="A4" s="4" t="inlineStr">
        <is>
          <t>US-001-003</t>
        </is>
      </c>
      <c r="B4" s="4" t="inlineStr">
        <is>
          <t>EP-001</t>
        </is>
      </c>
      <c r="C4" s="4" t="inlineStr">
        <is>
          <t>Login</t>
        </is>
      </c>
      <c r="D4" s="4" t="inlineStr">
        <is>
          <t>Employee</t>
        </is>
      </c>
      <c r="E4" s="4" t="inlineStr">
        <is>
          <t>As a registered user, I want to sign in securely so that I can access my attendance and tasks.</t>
        </is>
      </c>
      <c r="F4" s="4" t="n">
        <v>4</v>
      </c>
      <c r="G4" s="4" t="inlineStr">
        <is>
          <t>US-001-001, US-001-002</t>
        </is>
      </c>
      <c r="H4" s="4" t="inlineStr">
        <is>
          <t>Amaan</t>
        </is>
      </c>
      <c r="I4" s="4" t="inlineStr">
        <is>
          <t>Must Have</t>
        </is>
      </c>
      <c r="J4" s="4" t="inlineStr">
        <is>
          <t>MVP</t>
        </is>
      </c>
      <c r="K4" s="4" t="inlineStr">
        <is>
          <t>Week 1</t>
        </is>
      </c>
      <c r="L4" s="4" t="inlineStr">
        <is>
          <t>Done</t>
        </is>
      </c>
      <c r="M4" s="4" t="n">
        <v>3</v>
      </c>
      <c r="N4" s="4" t="inlineStr">
        <is>
          <t>Verified by e2e test: pending/inactive accounts blocked; active accounts authenticate via HttpOnly cookies.</t>
        </is>
      </c>
      <c r="O4" s="4" t="inlineStr">
        <is>
          <t>All 4 ACs manually re-verified live against the deployed Azure app, 2026-09-09, and Pass. No defects found for this story.</t>
        </is>
      </c>
    </row>
    <row r="5" ht="55.2" customHeight="1" s="8">
      <c r="A5" s="4" t="inlineStr">
        <is>
          <t>US-001-004</t>
        </is>
      </c>
      <c r="B5" s="4" t="inlineStr">
        <is>
          <t>EP-001</t>
        </is>
      </c>
      <c r="C5" s="4" t="inlineStr">
        <is>
          <t>Logout</t>
        </is>
      </c>
      <c r="D5" s="4" t="inlineStr">
        <is>
          <t>Employee</t>
        </is>
      </c>
      <c r="E5" s="4" t="inlineStr">
        <is>
          <t>As a user, I want to log out so that my account is not left accessible on a shared device.</t>
        </is>
      </c>
      <c r="F5" s="4" t="n">
        <v>4</v>
      </c>
      <c r="G5" s="4" t="inlineStr">
        <is>
          <t>US-001-003</t>
        </is>
      </c>
      <c r="H5" s="4" t="inlineStr">
        <is>
          <t>Amaan</t>
        </is>
      </c>
      <c r="I5" s="4" t="inlineStr">
        <is>
          <t>Must Have</t>
        </is>
      </c>
      <c r="J5" s="4" t="inlineStr">
        <is>
          <t>MVP</t>
        </is>
      </c>
      <c r="K5" s="4" t="inlineStr">
        <is>
          <t>Week 1</t>
        </is>
      </c>
      <c r="L5" s="4" t="inlineStr">
        <is>
          <t>Done</t>
        </is>
      </c>
      <c r="M5" s="4" t="n">
        <v>3</v>
      </c>
      <c r="N5" s="4" t="inlineStr">
        <is>
          <t>Verified by e2e test: logout revokes refresh token, subsequent /auth/refresh returns 401.</t>
        </is>
      </c>
      <c r="O5" s="4" t="inlineStr">
        <is>
          <t>All 4 ACs manually re-verified live against the deployed Azure app, 2026-09-09, and Pass. No defects found for this story.</t>
        </is>
      </c>
    </row>
    <row r="6" ht="55.2" customHeight="1" s="8">
      <c r="A6" s="4" t="inlineStr">
        <is>
          <t>US-001-005</t>
        </is>
      </c>
      <c r="B6" s="4" t="inlineStr">
        <is>
          <t>EP-001</t>
        </is>
      </c>
      <c r="C6" s="4" t="inlineStr">
        <is>
          <t>Forgot password</t>
        </is>
      </c>
      <c r="D6" s="4" t="inlineStr">
        <is>
          <t>Employee</t>
        </is>
      </c>
      <c r="E6" s="4" t="inlineStr">
        <is>
          <t>As a user, I want to request a password reset so that I can regain account access.</t>
        </is>
      </c>
      <c r="F6" s="4" t="n">
        <v>4</v>
      </c>
      <c r="G6" s="4" t="inlineStr">
        <is>
          <t>US-001-001</t>
        </is>
      </c>
      <c r="H6" s="4" t="inlineStr">
        <is>
          <t>Amaan</t>
        </is>
      </c>
      <c r="I6" s="4" t="inlineStr">
        <is>
          <t>Must Have</t>
        </is>
      </c>
      <c r="J6" s="4" t="inlineStr">
        <is>
          <t>MVP</t>
        </is>
      </c>
      <c r="K6" s="4" t="inlineStr">
        <is>
          <t>Week 1</t>
        </is>
      </c>
      <c r="L6" s="4" t="inlineStr">
        <is>
          <t>Done</t>
        </is>
      </c>
      <c r="M6" s="4" t="n">
        <v>3</v>
      </c>
      <c r="N6" s="4" t="inlineStr">
        <is>
          <t>Implemented and functionally working; not individually covered by an automated test this session.</t>
        </is>
      </c>
      <c r="O6" s="4" t="inlineStr">
        <is>
          <t>All 4 ACs Pass for the reset-token mechanism itself (works correctly, verified via local dev's devResetToken field since production never exposes the raw token, by design). CRITICAL CAVEAT found live 2026-09-10, DEF-022: the actual email carrying that link is REJECTED by Resend in production for any recipient other than the Resend account's own verified address - confirmed via a real forgot-password request and the resulting server log entry, not assumed. A real user cannot currently receive a password-reset email in production. See RISK-009.</t>
        </is>
      </c>
    </row>
    <row r="7" ht="55.2" customHeight="1" s="8">
      <c r="A7" s="4" t="inlineStr">
        <is>
          <t>US-001-006</t>
        </is>
      </c>
      <c r="B7" s="4" t="inlineStr">
        <is>
          <t>EP-001</t>
        </is>
      </c>
      <c r="C7" s="4" t="inlineStr">
        <is>
          <t>Reset password</t>
        </is>
      </c>
      <c r="D7" s="4" t="inlineStr">
        <is>
          <t>Employee</t>
        </is>
      </c>
      <c r="E7" s="4" t="inlineStr">
        <is>
          <t>As a user, I want to set a new password using a valid reset link.</t>
        </is>
      </c>
      <c r="F7" s="4" t="n">
        <v>4</v>
      </c>
      <c r="G7" s="4" t="inlineStr">
        <is>
          <t>US-001-005</t>
        </is>
      </c>
      <c r="H7" s="4" t="inlineStr">
        <is>
          <t>Amaan</t>
        </is>
      </c>
      <c r="I7" s="4" t="inlineStr">
        <is>
          <t>Must Have</t>
        </is>
      </c>
      <c r="J7" s="4" t="inlineStr">
        <is>
          <t>MVP</t>
        </is>
      </c>
      <c r="K7" s="4" t="inlineStr">
        <is>
          <t>Week 1</t>
        </is>
      </c>
      <c r="L7" s="4" t="inlineStr">
        <is>
          <t>Done</t>
        </is>
      </c>
      <c r="M7" s="4" t="n">
        <v>3</v>
      </c>
      <c r="N7" s="4" t="inlineStr">
        <is>
          <t>Implemented and functionally working; not individually covered by an automated test this session.</t>
        </is>
      </c>
      <c r="O7" s="4" t="inlineStr">
        <is>
          <t>All 4 ACs manually re-verified live against the deployed Azure app, 2026-09-09, and Pass. No defects found for this story.</t>
        </is>
      </c>
    </row>
    <row r="8" ht="124.2" customHeight="1" s="8">
      <c r="A8" s="4" t="inlineStr">
        <is>
          <t>US-001-007</t>
        </is>
      </c>
      <c r="B8" s="4" t="inlineStr">
        <is>
          <t>EP-001</t>
        </is>
      </c>
      <c r="C8" s="4" t="inlineStr">
        <is>
          <t>Session timeout</t>
        </is>
      </c>
      <c r="D8" s="4" t="inlineStr">
        <is>
          <t>Security Administrator</t>
        </is>
      </c>
      <c r="E8" s="4" t="inlineStr">
        <is>
          <t>As a security administrator, I want inactive sessions to expire so that unattended devices do not remain authenticated.</t>
        </is>
      </c>
      <c r="F8" s="4" t="n">
        <v>4</v>
      </c>
      <c r="G8" s="4" t="inlineStr">
        <is>
          <t>US-001-003</t>
        </is>
      </c>
      <c r="H8" s="4" t="inlineStr">
        <is>
          <t>Amaan</t>
        </is>
      </c>
      <c r="I8" s="4" t="inlineStr">
        <is>
          <t>Must Have</t>
        </is>
      </c>
      <c r="J8" s="4" t="inlineStr">
        <is>
          <t>MVP</t>
        </is>
      </c>
      <c r="K8" s="4" t="inlineStr">
        <is>
          <t>Week 1</t>
        </is>
      </c>
      <c r="L8" s="4" t="inlineStr">
        <is>
          <t>Done</t>
        </is>
      </c>
      <c r="M8" s="4" t="n">
        <v>3</v>
      </c>
      <c r="N8" s="4" t="inlineStr">
        <is>
          <t>Backend session-timeout mechanism and frontend expired-session messaging both verified working live, 2026-09-08 (see AC-001-007-03/04 evidence). The frontend gap found during AC sign-off is now fixed and re-verified against the live deployment.</t>
        </is>
      </c>
      <c r="O8" s="4" t="inlineStr">
        <is>
          <t>All 4 ACs manually re-verified live against the deployed Azure app, 2026-09-09, and Pass. No defects found for this story.</t>
        </is>
      </c>
    </row>
    <row r="9" ht="55.2" customHeight="1" s="8">
      <c r="A9" s="4" t="inlineStr">
        <is>
          <t>US-002-001</t>
        </is>
      </c>
      <c r="B9" s="4" t="inlineStr">
        <is>
          <t>EP-002</t>
        </is>
      </c>
      <c r="C9" s="4" t="inlineStr">
        <is>
          <t>Create user administratively</t>
        </is>
      </c>
      <c r="D9" s="4" t="inlineStr">
        <is>
          <t>Administrator</t>
        </is>
      </c>
      <c r="E9" s="4" t="inlineStr">
        <is>
          <t>As an administrator, I want to create a user directly so that employees can be onboarded without self-registration.</t>
        </is>
      </c>
      <c r="F9" s="4" t="n">
        <v>4</v>
      </c>
      <c r="G9" s="4" t="inlineStr">
        <is>
          <t>US-001-001</t>
        </is>
      </c>
      <c r="H9" s="4" t="inlineStr">
        <is>
          <t>Amaan</t>
        </is>
      </c>
      <c r="I9" s="4" t="inlineStr">
        <is>
          <t>Must Have</t>
        </is>
      </c>
      <c r="J9" s="4" t="inlineStr">
        <is>
          <t>MVP</t>
        </is>
      </c>
      <c r="K9" s="4" t="inlineStr">
        <is>
          <t>Week 1</t>
        </is>
      </c>
      <c r="L9" s="4" t="inlineStr">
        <is>
          <t>Done</t>
        </is>
      </c>
      <c r="M9" s="4" t="n">
        <v>3</v>
      </c>
      <c r="N9" s="4" t="inlineStr">
        <is>
          <t>Implemented and functionally working; not individually covered by an automated test this session.</t>
        </is>
      </c>
      <c r="O9" s="4" t="inlineStr">
        <is>
          <t>All 4 ACs manually re-verified live against the deployed Azure app, 2026-09-09, and Pass. No defects found for this story.</t>
        </is>
      </c>
    </row>
    <row r="10" ht="55.2" customHeight="1" s="8">
      <c r="A10" s="4" t="inlineStr">
        <is>
          <t>US-002-002</t>
        </is>
      </c>
      <c r="B10" s="4" t="inlineStr">
        <is>
          <t>EP-002</t>
        </is>
      </c>
      <c r="C10" s="4" t="inlineStr">
        <is>
          <t>Edit user profile</t>
        </is>
      </c>
      <c r="D10" s="4" t="inlineStr">
        <is>
          <t>Administrator</t>
        </is>
      </c>
      <c r="E10" s="4" t="inlineStr">
        <is>
          <t>As an administrator, I want to edit user details so that records remain accurate.</t>
        </is>
      </c>
      <c r="F10" s="4" t="n">
        <v>4</v>
      </c>
      <c r="G10" s="4" t="inlineStr">
        <is>
          <t>US-002-001</t>
        </is>
      </c>
      <c r="H10" s="4" t="inlineStr">
        <is>
          <t>Amaan</t>
        </is>
      </c>
      <c r="I10" s="4" t="inlineStr">
        <is>
          <t>Must Have</t>
        </is>
      </c>
      <c r="J10" s="4" t="inlineStr">
        <is>
          <t>MVP</t>
        </is>
      </c>
      <c r="K10" s="4" t="inlineStr">
        <is>
          <t>Week 1</t>
        </is>
      </c>
      <c r="L10" s="4" t="inlineStr">
        <is>
          <t>Done</t>
        </is>
      </c>
      <c r="M10" s="4" t="n">
        <v>3</v>
      </c>
      <c r="N10" s="4" t="inlineStr">
        <is>
          <t>Implemented and functionally working; not individually covered by an automated test this session.</t>
        </is>
      </c>
      <c r="O10" s="4" t="inlineStr">
        <is>
          <t>All 4 ACs manually re-verified live against the deployed Azure app, 2026-09-09, and Pass. 1 real defect(s) found and fixed during testing: AC-002-002-01 (DEF-001): No UI existed to edit a user's name, email, phone, department or employee number after creation, despite the backend fully supporting it - built the missing User Detail screen (SCR-013).</t>
        </is>
      </c>
    </row>
    <row r="11" ht="55.2" customHeight="1" s="8">
      <c r="A11" s="4" t="inlineStr">
        <is>
          <t>US-002-003</t>
        </is>
      </c>
      <c r="B11" s="4" t="inlineStr">
        <is>
          <t>EP-002</t>
        </is>
      </c>
      <c r="C11" s="4" t="inlineStr">
        <is>
          <t>Manage my profile</t>
        </is>
      </c>
      <c r="D11" s="4" t="inlineStr">
        <is>
          <t>Employee</t>
        </is>
      </c>
      <c r="E11" s="4" t="inlineStr">
        <is>
          <t>As an employee, I want to update permitted profile information so that contact details remain current.</t>
        </is>
      </c>
      <c r="F11" s="4" t="n">
        <v>4</v>
      </c>
      <c r="G11" s="4" t="inlineStr">
        <is>
          <t>US-001-003</t>
        </is>
      </c>
      <c r="H11" s="4" t="inlineStr">
        <is>
          <t>Amaan</t>
        </is>
      </c>
      <c r="I11" s="4" t="inlineStr">
        <is>
          <t>Must Have</t>
        </is>
      </c>
      <c r="J11" s="4" t="inlineStr">
        <is>
          <t>MVP</t>
        </is>
      </c>
      <c r="K11" s="4" t="inlineStr">
        <is>
          <t>Week 1</t>
        </is>
      </c>
      <c r="L11" s="4" t="inlineStr">
        <is>
          <t>Done</t>
        </is>
      </c>
      <c r="M11" s="4" t="n">
        <v>3</v>
      </c>
      <c r="N11" s="4" t="inlineStr">
        <is>
          <t>Implemented and functionally working; not individually covered by an automated test this session.</t>
        </is>
      </c>
      <c r="O11" s="4" t="inlineStr">
        <is>
          <t>All 4 ACs manually re-verified live against the deployed Azure app, 2026-09-09, and Pass. No defects found for this story.</t>
        </is>
      </c>
    </row>
    <row r="12" ht="55.2" customHeight="1" s="8">
      <c r="A12" s="4" t="inlineStr">
        <is>
          <t>US-002-004</t>
        </is>
      </c>
      <c r="B12" s="4" t="inlineStr">
        <is>
          <t>EP-002</t>
        </is>
      </c>
      <c r="C12" s="4" t="inlineStr">
        <is>
          <t>Assign role</t>
        </is>
      </c>
      <c r="D12" s="4" t="inlineStr">
        <is>
          <t>Administrator</t>
        </is>
      </c>
      <c r="E12" s="4" t="inlineStr">
        <is>
          <t>As an administrator, I want to assign Employee or Administrator roles so that permissions match responsibilities.</t>
        </is>
      </c>
      <c r="F12" s="4" t="n">
        <v>4</v>
      </c>
      <c r="G12" s="4" t="inlineStr">
        <is>
          <t>US-002-001</t>
        </is>
      </c>
      <c r="H12" s="4" t="inlineStr">
        <is>
          <t>Amaan</t>
        </is>
      </c>
      <c r="I12" s="4" t="inlineStr">
        <is>
          <t>Must Have</t>
        </is>
      </c>
      <c r="J12" s="4" t="inlineStr">
        <is>
          <t>MVP</t>
        </is>
      </c>
      <c r="K12" s="4" t="inlineStr">
        <is>
          <t>Week 1</t>
        </is>
      </c>
      <c r="L12" s="4" t="inlineStr">
        <is>
          <t>Done</t>
        </is>
      </c>
      <c r="M12" s="4" t="n">
        <v>3</v>
      </c>
      <c r="N12" s="4" t="inlineStr">
        <is>
          <t>Implemented and functionally working; not individually covered by an automated test this session.</t>
        </is>
      </c>
      <c r="O12" s="4" t="inlineStr">
        <is>
          <t>All 4 ACs manually re-verified live against the deployed Azure app, 2026-09-09, and Pass. No defects found for this story.</t>
        </is>
      </c>
    </row>
    <row r="13" ht="55.2" customHeight="1" s="8">
      <c r="A13" s="4" t="inlineStr">
        <is>
          <t>US-002-005</t>
        </is>
      </c>
      <c r="B13" s="4" t="inlineStr">
        <is>
          <t>EP-002</t>
        </is>
      </c>
      <c r="C13" s="4" t="inlineStr">
        <is>
          <t>Activate suspend deactivate user</t>
        </is>
      </c>
      <c r="D13" s="4" t="inlineStr">
        <is>
          <t>Administrator</t>
        </is>
      </c>
      <c r="E13" s="4" t="inlineStr">
        <is>
          <t>As an administrator, I want to control account status so that access can be removed without deleting history.</t>
        </is>
      </c>
      <c r="F13" s="4" t="n">
        <v>4</v>
      </c>
      <c r="G13" s="4" t="inlineStr">
        <is>
          <t>US-002-001</t>
        </is>
      </c>
      <c r="H13" s="4" t="inlineStr">
        <is>
          <t>Amaan</t>
        </is>
      </c>
      <c r="I13" s="4" t="inlineStr">
        <is>
          <t>Must Have</t>
        </is>
      </c>
      <c r="J13" s="4" t="inlineStr">
        <is>
          <t>MVP</t>
        </is>
      </c>
      <c r="K13" s="4" t="inlineStr">
        <is>
          <t>Week 1</t>
        </is>
      </c>
      <c r="L13" s="4" t="inlineStr">
        <is>
          <t>Done</t>
        </is>
      </c>
      <c r="M13" s="4" t="n">
        <v>3</v>
      </c>
      <c r="N13" s="4" t="inlineStr">
        <is>
          <t>Implemented and functionally working; not individually covered by an automated test this session.</t>
        </is>
      </c>
      <c r="O13" s="4" t="inlineStr">
        <is>
          <t>All 4 ACs manually re-verified live against the deployed Azure app, 2026-09-09, and Pass. No defects found for this story.</t>
        </is>
      </c>
    </row>
    <row r="14" ht="55.2" customHeight="1" s="8">
      <c r="A14" s="4" t="inlineStr">
        <is>
          <t>US-002-006</t>
        </is>
      </c>
      <c r="B14" s="4" t="inlineStr">
        <is>
          <t>EP-002</t>
        </is>
      </c>
      <c r="C14" s="4" t="inlineStr">
        <is>
          <t>Assign department and employee number</t>
        </is>
      </c>
      <c r="D14" s="4" t="inlineStr">
        <is>
          <t>Administrator</t>
        </is>
      </c>
      <c r="E14" s="4" t="inlineStr">
        <is>
          <t>As an administrator, I want optional employee number and department fields so that reports can be grouped.</t>
        </is>
      </c>
      <c r="F14" s="4" t="n">
        <v>4</v>
      </c>
      <c r="G14" s="4" t="inlineStr">
        <is>
          <t>US-002-001</t>
        </is>
      </c>
      <c r="H14" s="4" t="inlineStr">
        <is>
          <t>Amaan</t>
        </is>
      </c>
      <c r="I14" s="4" t="inlineStr">
        <is>
          <t>Must Have</t>
        </is>
      </c>
      <c r="J14" s="4" t="inlineStr">
        <is>
          <t>MVP</t>
        </is>
      </c>
      <c r="K14" s="4" t="inlineStr">
        <is>
          <t>Week 1</t>
        </is>
      </c>
      <c r="L14" s="4" t="inlineStr">
        <is>
          <t>Done</t>
        </is>
      </c>
      <c r="M14" s="4" t="n">
        <v>3</v>
      </c>
      <c r="N14" s="4" t="inlineStr">
        <is>
          <t>Implemented and functionally working; not individually covered by an automated test this session.</t>
        </is>
      </c>
      <c r="O14" s="4" t="inlineStr">
        <is>
          <t>All 4 ACs manually re-verified live against the deployed Azure app, 2026-09-09, and Pass. 2 real defect(s) found and fixed during testing: AC-002-006-01 (DEF-002): Creating a user with a duplicate employee number returned a raw, unhandled 500 instead of a clean conflict error.; AC-002-006-04 (DEF-003): Leaving Department at "None" or Employee Number blank silently failed to submit the admin create-user form (empty-string vs. optional-field handling).</t>
        </is>
      </c>
    </row>
    <row r="15" ht="55.2" customHeight="1" s="8">
      <c r="A15" s="4" t="inlineStr">
        <is>
          <t>US-003-001</t>
        </is>
      </c>
      <c r="B15" s="4" t="inlineStr">
        <is>
          <t>EP-003</t>
        </is>
      </c>
      <c r="C15" s="4" t="inlineStr">
        <is>
          <t>Clock in</t>
        </is>
      </c>
      <c r="D15" s="4" t="inlineStr">
        <is>
          <t>Employee</t>
        </is>
      </c>
      <c r="E15" s="4" t="inlineStr">
        <is>
          <t>As an employee, I want to clock in so that the system records when my workday starts.</t>
        </is>
      </c>
      <c r="F15" s="4" t="n">
        <v>4</v>
      </c>
      <c r="G15" s="4" t="inlineStr">
        <is>
          <t>US-001-003, US-002-005</t>
        </is>
      </c>
      <c r="H15" s="4" t="inlineStr">
        <is>
          <t>Amaan</t>
        </is>
      </c>
      <c r="I15" s="4" t="inlineStr">
        <is>
          <t>Must Have</t>
        </is>
      </c>
      <c r="J15" s="4" t="inlineStr">
        <is>
          <t>MVP</t>
        </is>
      </c>
      <c r="K15" s="4" t="inlineStr">
        <is>
          <t>Week 1</t>
        </is>
      </c>
      <c r="L15" s="4" t="inlineStr">
        <is>
          <t>Done</t>
        </is>
      </c>
      <c r="M15" s="4" t="n">
        <v>3</v>
      </c>
      <c r="N15" s="4" t="inlineStr">
        <is>
          <t>Verified by e2e test + browser: server-timestamped clock-in, duplicate clock-in rejected via DB partial unique index (BR-002).</t>
        </is>
      </c>
      <c r="O15" s="4" t="inlineStr">
        <is>
          <t>All 4 ACs manually re-verified live against the deployed Azure app, 2026-09-09, and Pass. No defects found for this story.</t>
        </is>
      </c>
    </row>
    <row r="16" ht="55.2" customHeight="1" s="8">
      <c r="A16" s="4" t="inlineStr">
        <is>
          <t>US-003-002</t>
        </is>
      </c>
      <c r="B16" s="4" t="inlineStr">
        <is>
          <t>EP-003</t>
        </is>
      </c>
      <c r="C16" s="4" t="inlineStr">
        <is>
          <t>Clock out</t>
        </is>
      </c>
      <c r="D16" s="4" t="inlineStr">
        <is>
          <t>Employee</t>
        </is>
      </c>
      <c r="E16" s="4" t="inlineStr">
        <is>
          <t>As an employee, I want to clock out so that my workday duration is finalised.</t>
        </is>
      </c>
      <c r="F16" s="4" t="n">
        <v>4</v>
      </c>
      <c r="G16" s="4" t="inlineStr">
        <is>
          <t>US-003-001</t>
        </is>
      </c>
      <c r="H16" s="4" t="inlineStr">
        <is>
          <t>Amaan</t>
        </is>
      </c>
      <c r="I16" s="4" t="inlineStr">
        <is>
          <t>Must Have</t>
        </is>
      </c>
      <c r="J16" s="4" t="inlineStr">
        <is>
          <t>MVP</t>
        </is>
      </c>
      <c r="K16" s="4" t="inlineStr">
        <is>
          <t>Week 1</t>
        </is>
      </c>
      <c r="L16" s="4" t="inlineStr">
        <is>
          <t>Done</t>
        </is>
      </c>
      <c r="M16" s="4" t="n">
        <v>3</v>
      </c>
      <c r="N16" s="4" t="inlineStr">
        <is>
          <t>Verified by e2e test + browser: BR-007 confirmation flow for active break/timer before completing clock-out.</t>
        </is>
      </c>
      <c r="O16" s="4" t="inlineStr">
        <is>
          <t>All 4 ACs manually re-verified live against the deployed Azure app, 2026-09-09, and Pass. No defects found for this story.</t>
        </is>
      </c>
    </row>
    <row r="17" ht="55.2" customHeight="1" s="8">
      <c r="A17" s="4" t="inlineStr">
        <is>
          <t>US-003-003</t>
        </is>
      </c>
      <c r="B17" s="4" t="inlineStr">
        <is>
          <t>EP-003</t>
        </is>
      </c>
      <c r="C17" s="4" t="inlineStr">
        <is>
          <t>Show current attendance state</t>
        </is>
      </c>
      <c r="D17" s="4" t="inlineStr">
        <is>
          <t>Employee</t>
        </is>
      </c>
      <c r="E17" s="4" t="inlineStr">
        <is>
          <t>As an employee, I want to see whether I am clocked in, on break or clocked out.</t>
        </is>
      </c>
      <c r="F17" s="4" t="n">
        <v>4</v>
      </c>
      <c r="G17" s="4" t="inlineStr">
        <is>
          <t>US-003-001</t>
        </is>
      </c>
      <c r="H17" s="4" t="inlineStr">
        <is>
          <t>Amaan</t>
        </is>
      </c>
      <c r="I17" s="4" t="inlineStr">
        <is>
          <t>Must Have</t>
        </is>
      </c>
      <c r="J17" s="4" t="inlineStr">
        <is>
          <t>MVP</t>
        </is>
      </c>
      <c r="K17" s="4" t="inlineStr">
        <is>
          <t>Week 1</t>
        </is>
      </c>
      <c r="L17" s="4" t="inlineStr">
        <is>
          <t>Done</t>
        </is>
      </c>
      <c r="M17" s="4" t="n">
        <v>3</v>
      </c>
      <c r="N17" s="4" t="inlineStr">
        <is>
          <t>Implemented and functionally working; not individually covered by an automated test this session.</t>
        </is>
      </c>
      <c r="O17" s="4" t="inlineStr">
        <is>
          <t>All 4 ACs manually re-verified live against the deployed Azure app, 2026-09-09, and Pass. No defects found for this story.</t>
        </is>
      </c>
    </row>
    <row r="18" ht="55.2" customHeight="1" s="8">
      <c r="A18" s="4" t="inlineStr">
        <is>
          <t>US-003-004</t>
        </is>
      </c>
      <c r="B18" s="4" t="inlineStr">
        <is>
          <t>EP-003</t>
        </is>
      </c>
      <c r="C18" s="4" t="inlineStr">
        <is>
          <t>Prevent duplicate clock in</t>
        </is>
      </c>
      <c r="D18" s="4" t="inlineStr">
        <is>
          <t>Employee</t>
        </is>
      </c>
      <c r="E18" s="4" t="inlineStr">
        <is>
          <t>As an employee, I want the system to prevent accidental duplicate clock-ins.</t>
        </is>
      </c>
      <c r="F18" s="4" t="n">
        <v>4</v>
      </c>
      <c r="G18" s="4" t="inlineStr">
        <is>
          <t>US-003-001</t>
        </is>
      </c>
      <c r="H18" s="4" t="inlineStr">
        <is>
          <t>Amaan</t>
        </is>
      </c>
      <c r="I18" s="4" t="inlineStr">
        <is>
          <t>Must Have</t>
        </is>
      </c>
      <c r="J18" s="4" t="inlineStr">
        <is>
          <t>MVP</t>
        </is>
      </c>
      <c r="K18" s="4" t="inlineStr">
        <is>
          <t>Week 1</t>
        </is>
      </c>
      <c r="L18" s="4" t="inlineStr">
        <is>
          <t>Done</t>
        </is>
      </c>
      <c r="M18" s="4" t="n">
        <v>3</v>
      </c>
      <c r="N18" s="4" t="inlineStr">
        <is>
          <t>Implemented and functionally working; not individually covered by an automated test this session.</t>
        </is>
      </c>
      <c r="O18" s="4" t="inlineStr">
        <is>
          <t>All 4 ACs manually re-verified live against the deployed Azure app, 2026-09-09, and Pass. No defects found for this story.</t>
        </is>
      </c>
    </row>
    <row r="19" ht="69" customHeight="1" s="8">
      <c r="A19" s="4" t="inlineStr">
        <is>
          <t>US-003-005</t>
        </is>
      </c>
      <c r="B19" s="4" t="inlineStr">
        <is>
          <t>EP-003</t>
        </is>
      </c>
      <c r="C19" s="4" t="inlineStr">
        <is>
          <t>Warn before clock out with active task</t>
        </is>
      </c>
      <c r="D19" s="4" t="inlineStr">
        <is>
          <t>Employee</t>
        </is>
      </c>
      <c r="E19" s="4" t="inlineStr">
        <is>
          <t>As an employee, I want a warning if I try to clock out while a task timer is running.</t>
        </is>
      </c>
      <c r="F19" s="4" t="n">
        <v>4</v>
      </c>
      <c r="G19" s="4" t="inlineStr">
        <is>
          <t>US-003-002, US-006-001</t>
        </is>
      </c>
      <c r="H19" s="4" t="inlineStr">
        <is>
          <t>Amaan</t>
        </is>
      </c>
      <c r="I19" s="4" t="inlineStr">
        <is>
          <t>Must Have</t>
        </is>
      </c>
      <c r="J19" s="4" t="inlineStr">
        <is>
          <t>MVP</t>
        </is>
      </c>
      <c r="K19" s="4" t="inlineStr">
        <is>
          <t>Week 1</t>
        </is>
      </c>
      <c r="L19" s="4" t="inlineStr">
        <is>
          <t>Done</t>
        </is>
      </c>
      <c r="M19" s="4" t="n">
        <v>3</v>
      </c>
      <c r="N19" s="4" t="inlineStr">
        <is>
          <t>Verified by e2e test: clock-out returns requiresConfirmation when a task timer is active; confirmed action stops both at one timestamp.</t>
        </is>
      </c>
      <c r="O19" s="4" t="inlineStr">
        <is>
          <t>All 4 ACs manually re-verified live against the deployed Azure app, 2026-09-09, and Pass. No defects found for this story.</t>
        </is>
      </c>
    </row>
    <row r="20" ht="55.2" customHeight="1" s="8">
      <c r="A20" s="4" t="inlineStr">
        <is>
          <t>US-003-006</t>
        </is>
      </c>
      <c r="B20" s="4" t="inlineStr">
        <is>
          <t>EP-003</t>
        </is>
      </c>
      <c r="C20" s="4" t="inlineStr">
        <is>
          <t>Warn before clock out while on break</t>
        </is>
      </c>
      <c r="D20" s="4" t="inlineStr">
        <is>
          <t>Employee</t>
        </is>
      </c>
      <c r="E20" s="4" t="inlineStr">
        <is>
          <t>As an employee, I want a warning if I try to clock out during an active break.</t>
        </is>
      </c>
      <c r="F20" s="4" t="n">
        <v>4</v>
      </c>
      <c r="G20" s="4" t="inlineStr">
        <is>
          <t>US-003-002, US-004-001</t>
        </is>
      </c>
      <c r="H20" s="4" t="inlineStr">
        <is>
          <t>Amaan</t>
        </is>
      </c>
      <c r="I20" s="4" t="inlineStr">
        <is>
          <t>Must Have</t>
        </is>
      </c>
      <c r="J20" s="4" t="inlineStr">
        <is>
          <t>MVP</t>
        </is>
      </c>
      <c r="K20" s="4" t="inlineStr">
        <is>
          <t>Week 1</t>
        </is>
      </c>
      <c r="L20" s="4" t="inlineStr">
        <is>
          <t>Done</t>
        </is>
      </c>
      <c r="M20" s="4" t="n">
        <v>3</v>
      </c>
      <c r="N20" s="4" t="inlineStr">
        <is>
          <t>Implemented and functionally working; not individually covered by an automated test this session.</t>
        </is>
      </c>
      <c r="O20" s="4" t="inlineStr">
        <is>
          <t>All 4 ACs manually re-verified live against the deployed Azure app, 2026-09-09, and Pass. No defects found for this story.</t>
        </is>
      </c>
    </row>
    <row r="21" ht="55.2" customHeight="1" s="8">
      <c r="A21" s="4" t="inlineStr">
        <is>
          <t>US-003-007</t>
        </is>
      </c>
      <c r="B21" s="4" t="inlineStr">
        <is>
          <t>EP-003</t>
        </is>
      </c>
      <c r="C21" s="4" t="inlineStr">
        <is>
          <t>Attendance history</t>
        </is>
      </c>
      <c r="D21" s="4" t="inlineStr">
        <is>
          <t>Employee</t>
        </is>
      </c>
      <c r="E21" s="4" t="inlineStr">
        <is>
          <t>As an employee, I want to view my previous attendance records so that I can verify my working hours.</t>
        </is>
      </c>
      <c r="F21" s="4" t="n">
        <v>4</v>
      </c>
      <c r="G21" s="4" t="inlineStr">
        <is>
          <t>US-003-002</t>
        </is>
      </c>
      <c r="H21" s="4" t="inlineStr">
        <is>
          <t>Amaan</t>
        </is>
      </c>
      <c r="I21" s="4" t="inlineStr">
        <is>
          <t>Must Have</t>
        </is>
      </c>
      <c r="J21" s="4" t="inlineStr">
        <is>
          <t>MVP</t>
        </is>
      </c>
      <c r="K21" s="4" t="inlineStr">
        <is>
          <t>Week 1</t>
        </is>
      </c>
      <c r="L21" s="4" t="inlineStr">
        <is>
          <t>Done</t>
        </is>
      </c>
      <c r="M21" s="4" t="n">
        <v>3</v>
      </c>
      <c r="N21" s="4" t="inlineStr">
        <is>
          <t>Implemented and functionally working; not individually covered by an automated test this session.</t>
        </is>
      </c>
      <c r="O21" s="4" t="inlineStr">
        <is>
          <t>All 4 ACs manually re-verified live against the deployed Azure app, 2026-09-09, and Pass. 2 real defect(s) found and fixed during testing: AC-003-007-01 (DEF-004): Attendance history's Breaks column showed a raw record count instead of total break duration.; AC-003-007-03 (DEF-005): Attendance history's date-range filter excluded almost the entire "to" day due to UTC-midnight date parsing.</t>
        </is>
      </c>
    </row>
    <row r="22" ht="55.2" customHeight="1" s="8">
      <c r="A22" s="4" t="inlineStr">
        <is>
          <t>US-003-008</t>
        </is>
      </c>
      <c r="B22" s="4" t="inlineStr">
        <is>
          <t>EP-003</t>
        </is>
      </c>
      <c r="C22" s="4" t="inlineStr">
        <is>
          <t>Administrator live attendance list</t>
        </is>
      </c>
      <c r="D22" s="4" t="inlineStr">
        <is>
          <t>Administrator</t>
        </is>
      </c>
      <c r="E22" s="4" t="inlineStr">
        <is>
          <t>As an administrator, I want to see who is currently clocked in so that I understand current staffing.</t>
        </is>
      </c>
      <c r="F22" s="4" t="n">
        <v>4</v>
      </c>
      <c r="G22" s="4" t="inlineStr">
        <is>
          <t>US-003-001, US-002-004</t>
        </is>
      </c>
      <c r="H22" s="4" t="inlineStr">
        <is>
          <t>Amaan</t>
        </is>
      </c>
      <c r="I22" s="4" t="inlineStr">
        <is>
          <t>Must Have</t>
        </is>
      </c>
      <c r="J22" s="4" t="inlineStr">
        <is>
          <t>MVP</t>
        </is>
      </c>
      <c r="K22" s="4" t="inlineStr">
        <is>
          <t>Week 1</t>
        </is>
      </c>
      <c r="L22" s="4" t="inlineStr">
        <is>
          <t>Done</t>
        </is>
      </c>
      <c r="M22" s="4" t="n">
        <v>3</v>
      </c>
      <c r="N22" s="4" t="inlineStr">
        <is>
          <t>Implemented and functionally working; not individually covered by an automated test this session.</t>
        </is>
      </c>
      <c r="O22" s="4" t="inlineStr">
        <is>
          <t>All 4 ACs manually re-verified live against the deployed Azure app, 2026-09-09, and Pass. 1 real defect(s) found and fixed during testing: AC-003-008-03 (DEF-006): Admin Live Attendance table showed only "clocked in since &lt;time&gt;", never a running duration.</t>
        </is>
      </c>
    </row>
    <row r="23" ht="55.2" customHeight="1" s="8">
      <c r="A23" s="4" t="inlineStr">
        <is>
          <t>US-004-001</t>
        </is>
      </c>
      <c r="B23" s="4" t="inlineStr">
        <is>
          <t>EP-004</t>
        </is>
      </c>
      <c r="C23" s="4" t="inlineStr">
        <is>
          <t>Start break</t>
        </is>
      </c>
      <c r="D23" s="4" t="inlineStr">
        <is>
          <t>Employee</t>
        </is>
      </c>
      <c r="E23" s="4" t="inlineStr">
        <is>
          <t>As an employee, I want to start a break so that non-working break time is tracked.</t>
        </is>
      </c>
      <c r="F23" s="4" t="n">
        <v>4</v>
      </c>
      <c r="G23" s="4" t="inlineStr">
        <is>
          <t>US-003-001</t>
        </is>
      </c>
      <c r="H23" s="4" t="inlineStr">
        <is>
          <t>Amaan</t>
        </is>
      </c>
      <c r="I23" s="4" t="inlineStr">
        <is>
          <t>Must Have</t>
        </is>
      </c>
      <c r="J23" s="4" t="inlineStr">
        <is>
          <t>MVP</t>
        </is>
      </c>
      <c r="K23" s="4" t="inlineStr">
        <is>
          <t>Week 1</t>
        </is>
      </c>
      <c r="L23" s="4" t="inlineStr">
        <is>
          <t>Done</t>
        </is>
      </c>
      <c r="M23" s="4" t="n">
        <v>3</v>
      </c>
      <c r="N23" s="4" t="inlineStr">
        <is>
          <t>Verified by e2e test: starting a break pauses the active task timer at the same server boundary (BR-005).</t>
        </is>
      </c>
      <c r="O23" s="4" t="inlineStr">
        <is>
          <t>All 4 ACs manually re-verified live against the deployed Azure app, 2026-09-09, and Pass. No defects found for this story.</t>
        </is>
      </c>
    </row>
    <row r="24" ht="41.4" customHeight="1" s="8">
      <c r="A24" s="4" t="inlineStr">
        <is>
          <t>US-004-002</t>
        </is>
      </c>
      <c r="B24" s="4" t="inlineStr">
        <is>
          <t>EP-004</t>
        </is>
      </c>
      <c r="C24" s="4" t="inlineStr">
        <is>
          <t>End break</t>
        </is>
      </c>
      <c r="D24" s="4" t="inlineStr">
        <is>
          <t>Employee</t>
        </is>
      </c>
      <c r="E24" s="4" t="inlineStr">
        <is>
          <t>As an employee, I want to end my break so that working time resumes.</t>
        </is>
      </c>
      <c r="F24" s="4" t="n">
        <v>4</v>
      </c>
      <c r="G24" s="4" t="inlineStr">
        <is>
          <t>US-004-001</t>
        </is>
      </c>
      <c r="H24" s="4" t="inlineStr">
        <is>
          <t>Amaan</t>
        </is>
      </c>
      <c r="I24" s="4" t="inlineStr">
        <is>
          <t>Must Have</t>
        </is>
      </c>
      <c r="J24" s="4" t="inlineStr">
        <is>
          <t>MVP</t>
        </is>
      </c>
      <c r="K24" s="4" t="inlineStr">
        <is>
          <t>Week 1</t>
        </is>
      </c>
      <c r="L24" s="4" t="inlineStr">
        <is>
          <t>Done</t>
        </is>
      </c>
      <c r="M24" s="4" t="n">
        <v>3</v>
      </c>
      <c r="N24" s="4" t="inlineStr">
        <is>
          <t>Verified by e2e test: ending a break does not auto-resume the task (BR-006).</t>
        </is>
      </c>
      <c r="O24" s="4" t="inlineStr">
        <is>
          <t>All 4 ACs manually re-verified live against the deployed Azure app, 2026-09-09, and Pass. No defects found for this story.</t>
        </is>
      </c>
    </row>
    <row r="25" ht="69" customHeight="1" s="8">
      <c r="A25" s="4" t="inlineStr">
        <is>
          <t>US-004-003</t>
        </is>
      </c>
      <c r="B25" s="4" t="inlineStr">
        <is>
          <t>EP-004</t>
        </is>
      </c>
      <c r="C25" s="4" t="inlineStr">
        <is>
          <t>Multiple breaks in one day</t>
        </is>
      </c>
      <c r="D25" s="4" t="inlineStr">
        <is>
          <t>Employee</t>
        </is>
      </c>
      <c r="E25" s="4" t="inlineStr">
        <is>
          <t>As an employee, I want to take more than one break during a workday so that all break periods are recorded.</t>
        </is>
      </c>
      <c r="F25" s="4" t="n">
        <v>4</v>
      </c>
      <c r="G25" s="4" t="inlineStr">
        <is>
          <t>US-004-001, US-004-002</t>
        </is>
      </c>
      <c r="H25" s="4" t="inlineStr">
        <is>
          <t>Amaan</t>
        </is>
      </c>
      <c r="I25" s="4" t="inlineStr">
        <is>
          <t>Must Have</t>
        </is>
      </c>
      <c r="J25" s="4" t="inlineStr">
        <is>
          <t>MVP</t>
        </is>
      </c>
      <c r="K25" s="4" t="inlineStr">
        <is>
          <t>Week 1</t>
        </is>
      </c>
      <c r="L25" s="4" t="inlineStr">
        <is>
          <t>Done</t>
        </is>
      </c>
      <c r="M25" s="4" t="n">
        <v>3</v>
      </c>
      <c r="N25" s="4" t="inlineStr">
        <is>
          <t>Verified by e2e test: two sequential breaks in one day each create a separate, non-overlapping record linked to the same attendance session.</t>
        </is>
      </c>
      <c r="O25" s="4" t="inlineStr">
        <is>
          <t>All 4 ACs manually re-verified live against the deployed Azure app, 2026-09-09, and Pass. No defects found for this story.</t>
        </is>
      </c>
    </row>
    <row r="26" ht="55.2" customHeight="1" s="8">
      <c r="A26" s="4" t="inlineStr">
        <is>
          <t>US-004-004</t>
        </is>
      </c>
      <c r="B26" s="4" t="inlineStr">
        <is>
          <t>EP-004</t>
        </is>
      </c>
      <c r="C26" s="4" t="inlineStr">
        <is>
          <t>Pause active task when break starts</t>
        </is>
      </c>
      <c r="D26" s="4" t="inlineStr">
        <is>
          <t>Employee</t>
        </is>
      </c>
      <c r="E26" s="4" t="inlineStr">
        <is>
          <t>As an employee, I want an active task timer paused when I start a break so that task time does not include break time.</t>
        </is>
      </c>
      <c r="F26" s="4" t="n">
        <v>4</v>
      </c>
      <c r="G26" s="4" t="inlineStr">
        <is>
          <t>US-004-001, US-006-001</t>
        </is>
      </c>
      <c r="H26" s="4" t="inlineStr">
        <is>
          <t>Amaan</t>
        </is>
      </c>
      <c r="I26" s="4" t="inlineStr">
        <is>
          <t>Must Have</t>
        </is>
      </c>
      <c r="J26" s="4" t="inlineStr">
        <is>
          <t>MVP</t>
        </is>
      </c>
      <c r="K26" s="4" t="inlineStr">
        <is>
          <t>Week 1</t>
        </is>
      </c>
      <c r="L26" s="4" t="inlineStr">
        <is>
          <t>Done</t>
        </is>
      </c>
      <c r="M26" s="4" t="n">
        <v>3</v>
      </c>
      <c r="N26" s="4" t="inlineStr">
        <is>
          <t>Verified by e2e test (BR-005): active timer closed atomically when break starts; caller is told which task paused.</t>
        </is>
      </c>
      <c r="O26" s="4" t="inlineStr">
        <is>
          <t>All 4 ACs manually re-verified live against the deployed Azure app, 2026-09-09, and Pass. No defects found for this story.</t>
        </is>
      </c>
    </row>
    <row r="27" ht="55.2" customHeight="1" s="8">
      <c r="A27" s="4" t="inlineStr">
        <is>
          <t>US-004-005</t>
        </is>
      </c>
      <c r="B27" s="4" t="inlineStr">
        <is>
          <t>EP-004</t>
        </is>
      </c>
      <c r="C27" s="4" t="inlineStr">
        <is>
          <t>Break history</t>
        </is>
      </c>
      <c r="D27" s="4" t="inlineStr">
        <is>
          <t>Employee</t>
        </is>
      </c>
      <c r="E27" s="4" t="inlineStr">
        <is>
          <t>As an employee, I want to view breaks within each attendance day.</t>
        </is>
      </c>
      <c r="F27" s="4" t="n">
        <v>4</v>
      </c>
      <c r="G27" s="4" t="inlineStr">
        <is>
          <t>US-004-002</t>
        </is>
      </c>
      <c r="H27" s="4" t="inlineStr">
        <is>
          <t>Amaan</t>
        </is>
      </c>
      <c r="I27" s="4" t="inlineStr">
        <is>
          <t>Must Have</t>
        </is>
      </c>
      <c r="J27" s="4" t="inlineStr">
        <is>
          <t>MVP</t>
        </is>
      </c>
      <c r="K27" s="4" t="inlineStr">
        <is>
          <t>Week 1</t>
        </is>
      </c>
      <c r="L27" s="4" t="inlineStr">
        <is>
          <t>Done</t>
        </is>
      </c>
      <c r="M27" s="4" t="n">
        <v>3</v>
      </c>
      <c r="N27" s="4" t="inlineStr">
        <is>
          <t>Implemented and functionally working; not individually covered by an automated test this session.</t>
        </is>
      </c>
      <c r="O27" s="4" t="inlineStr">
        <is>
          <t>All 4 ACs manually re-verified live against the deployed Azure app, 2026-09-09, and Pass. 1 real defect(s) found and fixed during testing: AC-004-005-01 (DEF-007): SCR-006 "Attendance Day Detail / Timeline" screen, named in the SRS, had never been built.</t>
        </is>
      </c>
    </row>
    <row r="28" ht="55.2" customHeight="1" s="8">
      <c r="A28" s="4" t="inlineStr">
        <is>
          <t>US-004-006</t>
        </is>
      </c>
      <c r="B28" s="4" t="inlineStr">
        <is>
          <t>EP-004</t>
        </is>
      </c>
      <c r="C28" s="4" t="inlineStr">
        <is>
          <t>Administrator break report</t>
        </is>
      </c>
      <c r="D28" s="4" t="inlineStr">
        <is>
          <t>Administrator</t>
        </is>
      </c>
      <c r="E28" s="4" t="inlineStr">
        <is>
          <t>As an administrator, I want break reporting so that I can review break usage.</t>
        </is>
      </c>
      <c r="F28" s="4" t="n">
        <v>4</v>
      </c>
      <c r="G28" s="4" t="inlineStr">
        <is>
          <t>US-004-002</t>
        </is>
      </c>
      <c r="H28" s="4" t="inlineStr">
        <is>
          <t>Amaan</t>
        </is>
      </c>
      <c r="I28" s="4" t="inlineStr">
        <is>
          <t>Must Have</t>
        </is>
      </c>
      <c r="J28" s="4" t="inlineStr">
        <is>
          <t>MVP</t>
        </is>
      </c>
      <c r="K28" s="4" t="inlineStr">
        <is>
          <t>Week 1</t>
        </is>
      </c>
      <c r="L28" s="4" t="inlineStr">
        <is>
          <t>Done</t>
        </is>
      </c>
      <c r="M28" s="4" t="n">
        <v>3</v>
      </c>
      <c r="N28" s="4" t="inlineStr">
        <is>
          <t>Implemented and functionally working; not individually covered by an automated test this session.</t>
        </is>
      </c>
      <c r="O28" s="4" t="inlineStr">
        <is>
          <t>All 4 ACs manually re-verified live against the deployed Azure app, 2026-09-09, and Pass. 1 real defect(s) found and fixed during testing: AC-004-006-01 (DEF-008): Admin Breaks report had no employee filter despite the backend already supporting one.</t>
        </is>
      </c>
    </row>
    <row r="29" ht="41.4" customHeight="1" s="8">
      <c r="A29" s="4" t="inlineStr">
        <is>
          <t>US-005-001</t>
        </is>
      </c>
      <c r="B29" s="4" t="inlineStr">
        <is>
          <t>EP-005</t>
        </is>
      </c>
      <c r="C29" s="4" t="inlineStr">
        <is>
          <t>Create task</t>
        </is>
      </c>
      <c r="D29" s="4" t="inlineStr">
        <is>
          <t>Administrator</t>
        </is>
      </c>
      <c r="E29" s="4" t="inlineStr">
        <is>
          <t>As an administrator, I want to create a task so that work can be assigned and timed.</t>
        </is>
      </c>
      <c r="F29" s="4" t="n">
        <v>4</v>
      </c>
      <c r="G29" s="4" t="inlineStr">
        <is>
          <t>US-002-004</t>
        </is>
      </c>
      <c r="H29" s="4" t="inlineStr">
        <is>
          <t>Amaan</t>
        </is>
      </c>
      <c r="I29" s="4" t="inlineStr">
        <is>
          <t>Must Have</t>
        </is>
      </c>
      <c r="J29" s="4" t="inlineStr">
        <is>
          <t>MVP</t>
        </is>
      </c>
      <c r="K29" s="4" t="inlineStr">
        <is>
          <t>Week 1</t>
        </is>
      </c>
      <c r="L29" s="4" t="inlineStr">
        <is>
          <t>Done</t>
        </is>
      </c>
      <c r="M29" s="4" t="n">
        <v>3</v>
      </c>
      <c r="N29" s="4" t="inlineStr">
        <is>
          <t>Verified by e2e test: admin-created task receives a UUID and audit entry.</t>
        </is>
      </c>
      <c r="O29" s="4" t="inlineStr">
        <is>
          <t>All 4 ACs manually re-verified live against the deployed Azure app, 2026-09-09, and Pass. No defects found for this story.</t>
        </is>
      </c>
    </row>
    <row r="30" ht="55.2" customHeight="1" s="8">
      <c r="A30" s="4" t="inlineStr">
        <is>
          <t>US-005-002</t>
        </is>
      </c>
      <c r="B30" s="4" t="inlineStr">
        <is>
          <t>EP-005</t>
        </is>
      </c>
      <c r="C30" s="4" t="inlineStr">
        <is>
          <t>Employee creates own task</t>
        </is>
      </c>
      <c r="D30" s="4" t="inlineStr">
        <is>
          <t>Employee</t>
        </is>
      </c>
      <c r="E30" s="4" t="inlineStr">
        <is>
          <t>As an employee, I want to create a task when permitted so that unplanned work can still be tracked.</t>
        </is>
      </c>
      <c r="F30" s="4" t="n">
        <v>4</v>
      </c>
      <c r="G30" s="4" t="inlineStr">
        <is>
          <t>US-005-001</t>
        </is>
      </c>
      <c r="H30" s="4" t="inlineStr">
        <is>
          <t>Amaan</t>
        </is>
      </c>
      <c r="I30" s="4" t="inlineStr">
        <is>
          <t>Must Have</t>
        </is>
      </c>
      <c r="J30" s="4" t="inlineStr">
        <is>
          <t>MVP</t>
        </is>
      </c>
      <c r="K30" s="4" t="inlineStr">
        <is>
          <t>Week 1</t>
        </is>
      </c>
      <c r="L30" s="4" t="inlineStr">
        <is>
          <t>Done</t>
        </is>
      </c>
      <c r="M30" s="4" t="n">
        <v>3</v>
      </c>
      <c r="N30" s="4" t="inlineStr">
        <is>
          <t>Implemented and functionally working; not individually covered by an automated test this session.</t>
        </is>
      </c>
      <c r="O30" s="4" t="inlineStr">
        <is>
          <t>All 4 ACs manually re-verified live against the deployed Azure app, 2026-09-09, and Pass. No defects found for this story.</t>
        </is>
      </c>
    </row>
    <row r="31" ht="27.6" customHeight="1" s="8">
      <c r="A31" s="4" t="inlineStr">
        <is>
          <t>US-005-003</t>
        </is>
      </c>
      <c r="B31" s="4" t="inlineStr">
        <is>
          <t>EP-005</t>
        </is>
      </c>
      <c r="C31" s="4" t="inlineStr">
        <is>
          <t>Assign task to user</t>
        </is>
      </c>
      <c r="D31" s="4" t="inlineStr">
        <is>
          <t>Administrator</t>
        </is>
      </c>
      <c r="E31" s="4" t="inlineStr">
        <is>
          <t>As an administrator, I want to assign a task to an employee so that responsibility is clear.</t>
        </is>
      </c>
      <c r="F31" s="4" t="n">
        <v>4</v>
      </c>
      <c r="G31" s="4" t="inlineStr">
        <is>
          <t>US-005-001, US-002-001</t>
        </is>
      </c>
      <c r="H31" s="4" t="inlineStr">
        <is>
          <t>Amaan</t>
        </is>
      </c>
      <c r="I31" s="4" t="inlineStr">
        <is>
          <t>Must Have</t>
        </is>
      </c>
      <c r="J31" s="4" t="inlineStr">
        <is>
          <t>MVP</t>
        </is>
      </c>
      <c r="K31" s="4" t="inlineStr">
        <is>
          <t>Week 1</t>
        </is>
      </c>
      <c r="L31" s="4" t="inlineStr">
        <is>
          <t>Done</t>
        </is>
      </c>
      <c r="M31" s="4" t="n">
        <v>3</v>
      </c>
      <c r="N31" s="4" t="inlineStr">
        <is>
          <t>Verified by e2e test: task assignment visible to assignee.</t>
        </is>
      </c>
      <c r="O31" s="4" t="inlineStr">
        <is>
          <t>All 4 ACs manually re-verified live against the deployed Azure app, 2026-09-09, and Pass. No defects found for this story.</t>
        </is>
      </c>
    </row>
    <row r="32" ht="55.2" customHeight="1" s="8">
      <c r="A32" s="4" t="inlineStr">
        <is>
          <t>US-005-004</t>
        </is>
      </c>
      <c r="B32" s="4" t="inlineStr">
        <is>
          <t>EP-005</t>
        </is>
      </c>
      <c r="C32" s="4" t="inlineStr">
        <is>
          <t>Set task priority</t>
        </is>
      </c>
      <c r="D32" s="4" t="inlineStr">
        <is>
          <t>Administrator</t>
        </is>
      </c>
      <c r="E32" s="4" t="inlineStr">
        <is>
          <t>As an administrator, I want task priority so that employees can understand relative urgency.</t>
        </is>
      </c>
      <c r="F32" s="4" t="n">
        <v>4</v>
      </c>
      <c r="G32" s="4" t="inlineStr">
        <is>
          <t>US-005-001</t>
        </is>
      </c>
      <c r="H32" s="4" t="inlineStr">
        <is>
          <t>Amaan</t>
        </is>
      </c>
      <c r="I32" s="4" t="inlineStr">
        <is>
          <t>Must Have</t>
        </is>
      </c>
      <c r="J32" s="4" t="inlineStr">
        <is>
          <t>MVP</t>
        </is>
      </c>
      <c r="K32" s="4" t="inlineStr">
        <is>
          <t>Week 1</t>
        </is>
      </c>
      <c r="L32" s="4" t="inlineStr">
        <is>
          <t>Done</t>
        </is>
      </c>
      <c r="M32" s="4" t="n">
        <v>3</v>
      </c>
      <c r="N32" s="4" t="inlineStr">
        <is>
          <t>Implemented and functionally working; not individually covered by an automated test this session.</t>
        </is>
      </c>
      <c r="O32" s="4" t="inlineStr">
        <is>
          <t>All 4 ACs manually re-verified live against the deployed Azure app, 2026-09-09, and Pass. No defects found for this story.</t>
        </is>
      </c>
    </row>
    <row r="33" ht="55.2" customHeight="1" s="8">
      <c r="A33" s="4" t="inlineStr">
        <is>
          <t>US-005-005</t>
        </is>
      </c>
      <c r="B33" s="4" t="inlineStr">
        <is>
          <t>EP-005</t>
        </is>
      </c>
      <c r="C33" s="4" t="inlineStr">
        <is>
          <t>Set estimated time</t>
        </is>
      </c>
      <c r="D33" s="4" t="inlineStr">
        <is>
          <t>Administrator</t>
        </is>
      </c>
      <c r="E33" s="4" t="inlineStr">
        <is>
          <t>As an administrator, I want an estimated task duration so that actual effort can be compared.</t>
        </is>
      </c>
      <c r="F33" s="4" t="n">
        <v>4</v>
      </c>
      <c r="G33" s="4" t="inlineStr">
        <is>
          <t>US-005-001</t>
        </is>
      </c>
      <c r="H33" s="4" t="inlineStr">
        <is>
          <t>Amaan</t>
        </is>
      </c>
      <c r="I33" s="4" t="inlineStr">
        <is>
          <t>Must Have</t>
        </is>
      </c>
      <c r="J33" s="4" t="inlineStr">
        <is>
          <t>MVP</t>
        </is>
      </c>
      <c r="K33" s="4" t="inlineStr">
        <is>
          <t>Week 1</t>
        </is>
      </c>
      <c r="L33" s="4" t="inlineStr">
        <is>
          <t>Done</t>
        </is>
      </c>
      <c r="M33" s="4" t="n">
        <v>3</v>
      </c>
      <c r="N33" s="4" t="inlineStr">
        <is>
          <t>Implemented and functionally working; not individually covered by an automated test this session.</t>
        </is>
      </c>
      <c r="O33" s="4" t="inlineStr">
        <is>
          <t>All 4 ACs manually re-verified live against the deployed Azure app, 2026-09-09, and Pass. 1 real defect(s) found and fixed during testing: AC-005-005-02 (DEF-009): Leaving "Estimated minutes" blank on the real task form failed with a raw NaN validation error.</t>
        </is>
      </c>
    </row>
    <row r="34" ht="55.2" customHeight="1" s="8">
      <c r="A34" s="4" t="inlineStr">
        <is>
          <t>US-005-006</t>
        </is>
      </c>
      <c r="B34" s="4" t="inlineStr">
        <is>
          <t>EP-005</t>
        </is>
      </c>
      <c r="C34" s="4" t="inlineStr">
        <is>
          <t>Update task status</t>
        </is>
      </c>
      <c r="D34" s="4" t="inlineStr">
        <is>
          <t>Employee</t>
        </is>
      </c>
      <c r="E34" s="4" t="inlineStr">
        <is>
          <t>As an employee, I want to update task status so that progress is visible.</t>
        </is>
      </c>
      <c r="F34" s="4" t="n">
        <v>4</v>
      </c>
      <c r="G34" s="4" t="inlineStr">
        <is>
          <t>US-005-001, US-005-003</t>
        </is>
      </c>
      <c r="H34" s="4" t="inlineStr">
        <is>
          <t>Amaan</t>
        </is>
      </c>
      <c r="I34" s="4" t="inlineStr">
        <is>
          <t>Must Have</t>
        </is>
      </c>
      <c r="J34" s="4" t="inlineStr">
        <is>
          <t>MVP</t>
        </is>
      </c>
      <c r="K34" s="4" t="inlineStr">
        <is>
          <t>Week 1</t>
        </is>
      </c>
      <c r="L34" s="4" t="inlineStr">
        <is>
          <t>Done</t>
        </is>
      </c>
      <c r="M34" s="4" t="n">
        <v>3</v>
      </c>
      <c r="N34" s="4" t="inlineStr">
        <is>
          <t>Implemented and functionally working; not individually covered by an automated test this session.</t>
        </is>
      </c>
      <c r="O34" s="4" t="inlineStr">
        <is>
          <t>All 4 ACs manually re-verified live against the deployed Azure app, 2026-09-09, and Pass. 1 real defect(s) found and fixed during testing: AC-005-006-04 (DEF-010): Automatic To Do -&gt; In Progress task transitions (via starting/switching a timer) were never written to the audit trail.</t>
        </is>
      </c>
    </row>
    <row r="35" ht="55.2" customHeight="1" s="8">
      <c r="A35" s="4" t="inlineStr">
        <is>
          <t>US-005-007</t>
        </is>
      </c>
      <c r="B35" s="4" t="inlineStr">
        <is>
          <t>EP-005</t>
        </is>
      </c>
      <c r="C35" s="4" t="inlineStr">
        <is>
          <t>Complete task</t>
        </is>
      </c>
      <c r="D35" s="4" t="inlineStr">
        <is>
          <t>Employee</t>
        </is>
      </c>
      <c r="E35" s="4" t="inlineStr">
        <is>
          <t>As an employee, I want to mark a task completed so that finished work is clearly identified.</t>
        </is>
      </c>
      <c r="F35" s="4" t="n">
        <v>4</v>
      </c>
      <c r="G35" s="4" t="inlineStr">
        <is>
          <t>US-005-006, US-006-005</t>
        </is>
      </c>
      <c r="H35" s="4" t="inlineStr">
        <is>
          <t>Amaan</t>
        </is>
      </c>
      <c r="I35" s="4" t="inlineStr">
        <is>
          <t>Must Have</t>
        </is>
      </c>
      <c r="J35" s="4" t="inlineStr">
        <is>
          <t>MVP</t>
        </is>
      </c>
      <c r="K35" s="4" t="inlineStr">
        <is>
          <t>Week 1</t>
        </is>
      </c>
      <c r="L35" s="4" t="inlineStr">
        <is>
          <t>Done</t>
        </is>
      </c>
      <c r="M35" s="4" t="n">
        <v>3</v>
      </c>
      <c r="N35" s="4" t="inlineStr">
        <is>
          <t>Implemented and functionally working; not individually covered by an automated test this session.</t>
        </is>
      </c>
      <c r="O35" s="4" t="inlineStr">
        <is>
          <t>All 4 ACs manually re-verified live against the deployed Azure app, 2026-09-09, and Pass. No defects found for this story.</t>
        </is>
      </c>
    </row>
    <row r="36" ht="55.2" customHeight="1" s="8">
      <c r="A36" s="4" t="inlineStr">
        <is>
          <t>US-005-008</t>
        </is>
      </c>
      <c r="B36" s="4" t="inlineStr">
        <is>
          <t>EP-005</t>
        </is>
      </c>
      <c r="C36" s="4" t="inlineStr">
        <is>
          <t>My task list</t>
        </is>
      </c>
      <c r="D36" s="4" t="inlineStr">
        <is>
          <t>Employee</t>
        </is>
      </c>
      <c r="E36" s="4" t="inlineStr">
        <is>
          <t>As an employee, I want to see my assigned tasks so that I know what work is available.</t>
        </is>
      </c>
      <c r="F36" s="4" t="n">
        <v>4</v>
      </c>
      <c r="G36" s="4" t="inlineStr">
        <is>
          <t>US-005-003</t>
        </is>
      </c>
      <c r="H36" s="4" t="inlineStr">
        <is>
          <t>Amaan</t>
        </is>
      </c>
      <c r="I36" s="4" t="inlineStr">
        <is>
          <t>Must Have</t>
        </is>
      </c>
      <c r="J36" s="4" t="inlineStr">
        <is>
          <t>MVP</t>
        </is>
      </c>
      <c r="K36" s="4" t="inlineStr">
        <is>
          <t>Week 1</t>
        </is>
      </c>
      <c r="L36" s="4" t="inlineStr">
        <is>
          <t>Done</t>
        </is>
      </c>
      <c r="M36" s="4" t="n">
        <v>3</v>
      </c>
      <c r="N36" s="4" t="inlineStr">
        <is>
          <t>Implemented and functionally working; not individually covered by an automated test this session.</t>
        </is>
      </c>
      <c r="O36" s="4" t="inlineStr">
        <is>
          <t>All 4 ACs manually re-verified live against the deployed Azure app, 2026-09-09, and Pass. 2 real defect(s) found and fixed during testing: AC-005-008-02 (DEF-011): Employee My Tasks page had no status or priority filter UI despite the backend supporting both.; AC-005-008-03 (DEF-012): Task list endpoints never computed actual time per row - only the single-task detail endpoint did.</t>
        </is>
      </c>
    </row>
    <row r="37" ht="55.2" customHeight="1" s="8">
      <c r="A37" s="4" t="inlineStr">
        <is>
          <t>US-006-001</t>
        </is>
      </c>
      <c r="B37" s="4" t="inlineStr">
        <is>
          <t>EP-006</t>
        </is>
      </c>
      <c r="C37" s="4" t="inlineStr">
        <is>
          <t>Start task timer</t>
        </is>
      </c>
      <c r="D37" s="4" t="inlineStr">
        <is>
          <t>Employee</t>
        </is>
      </c>
      <c r="E37" s="4" t="inlineStr">
        <is>
          <t>As an employee, I want to start a timer on a task so that actual task effort is recorded.</t>
        </is>
      </c>
      <c r="F37" s="4" t="n">
        <v>4</v>
      </c>
      <c r="G37" s="4" t="inlineStr">
        <is>
          <t>US-003-001, US-005-003</t>
        </is>
      </c>
      <c r="H37" s="4" t="inlineStr">
        <is>
          <t>Amaan</t>
        </is>
      </c>
      <c r="I37" s="4" t="inlineStr">
        <is>
          <t>Must Have</t>
        </is>
      </c>
      <c r="J37" s="4" t="inlineStr">
        <is>
          <t>MVP</t>
        </is>
      </c>
      <c r="K37" s="4" t="inlineStr">
        <is>
          <t>Week 1</t>
        </is>
      </c>
      <c r="L37" s="4" t="inlineStr">
        <is>
          <t>Done</t>
        </is>
      </c>
      <c r="M37" s="4" t="n">
        <v>3</v>
      </c>
      <c r="N37" s="4" t="inlineStr">
        <is>
          <t>Verified by e2e test: requires clocked-in/not-on-break, rejects when already running (BR-003 via DB partial unique index).</t>
        </is>
      </c>
      <c r="O37" s="4" t="inlineStr">
        <is>
          <t>All 4 ACs manually re-verified live against the deployed Azure app, 2026-09-09, and Pass. No defects found for this story.</t>
        </is>
      </c>
    </row>
    <row r="38" ht="55.2" customHeight="1" s="8">
      <c r="A38" s="4" t="inlineStr">
        <is>
          <t>US-006-002</t>
        </is>
      </c>
      <c r="B38" s="4" t="inlineStr">
        <is>
          <t>EP-006</t>
        </is>
      </c>
      <c r="C38" s="4" t="inlineStr">
        <is>
          <t>Global active timer display</t>
        </is>
      </c>
      <c r="D38" s="4" t="inlineStr">
        <is>
          <t>Employee</t>
        </is>
      </c>
      <c r="E38" s="4" t="inlineStr">
        <is>
          <t>As an employee, I want the running task timer visible throughout the application so that I always know what is being tracked.</t>
        </is>
      </c>
      <c r="F38" s="4" t="n">
        <v>4</v>
      </c>
      <c r="G38" s="4" t="inlineStr">
        <is>
          <t>US-006-001</t>
        </is>
      </c>
      <c r="H38" s="4" t="inlineStr">
        <is>
          <t>Amaan</t>
        </is>
      </c>
      <c r="I38" s="4" t="inlineStr">
        <is>
          <t>Must Have</t>
        </is>
      </c>
      <c r="J38" s="4" t="inlineStr">
        <is>
          <t>MVP</t>
        </is>
      </c>
      <c r="K38" s="4" t="inlineStr">
        <is>
          <t>Week 1</t>
        </is>
      </c>
      <c r="L38" s="4" t="inlineStr">
        <is>
          <t>Done</t>
        </is>
      </c>
      <c r="M38" s="4" t="n">
        <v>3</v>
      </c>
      <c r="N38" s="4" t="inlineStr">
        <is>
          <t>Implemented and functionally working; not individually covered by an automated test this session.</t>
        </is>
      </c>
      <c r="O38" s="4" t="inlineStr">
        <is>
          <t>All 4 ACs manually re-verified live against the deployed Azure app, 2026-09-09, and Pass. No defects found for this story.</t>
        </is>
      </c>
    </row>
    <row r="39" ht="55.2" customHeight="1" s="8">
      <c r="A39" s="4" t="inlineStr">
        <is>
          <t>US-006-003</t>
        </is>
      </c>
      <c r="B39" s="4" t="inlineStr">
        <is>
          <t>EP-006</t>
        </is>
      </c>
      <c r="C39" s="4" t="inlineStr">
        <is>
          <t>Pause task timer</t>
        </is>
      </c>
      <c r="D39" s="4" t="inlineStr">
        <is>
          <t>Employee</t>
        </is>
      </c>
      <c r="E39" s="4" t="inlineStr">
        <is>
          <t>As an employee, I want to pause task tracking so that non-task time is not recorded.</t>
        </is>
      </c>
      <c r="F39" s="4" t="n">
        <v>4</v>
      </c>
      <c r="G39" s="4" t="inlineStr">
        <is>
          <t>US-006-001</t>
        </is>
      </c>
      <c r="H39" s="4" t="inlineStr">
        <is>
          <t>Amaan</t>
        </is>
      </c>
      <c r="I39" s="4" t="inlineStr">
        <is>
          <t>Must Have</t>
        </is>
      </c>
      <c r="J39" s="4" t="inlineStr">
        <is>
          <t>MVP</t>
        </is>
      </c>
      <c r="K39" s="4" t="inlineStr">
        <is>
          <t>Week 1</t>
        </is>
      </c>
      <c r="L39" s="4" t="inlineStr">
        <is>
          <t>Done</t>
        </is>
      </c>
      <c r="M39" s="4" t="n">
        <v>3</v>
      </c>
      <c r="N39" s="4" t="inlineStr">
        <is>
          <t>Implemented; pause closes the current segment. Covered indirectly by switch/stop e2e assertions.</t>
        </is>
      </c>
      <c r="O39" s="4" t="inlineStr">
        <is>
          <t>All 4 ACs manually re-verified live against the deployed Azure app, 2026-09-09, and Pass. No defects found for this story.</t>
        </is>
      </c>
    </row>
    <row r="40" ht="41.4" customHeight="1" s="8">
      <c r="A40" s="4" t="inlineStr">
        <is>
          <t>US-006-004</t>
        </is>
      </c>
      <c r="B40" s="4" t="inlineStr">
        <is>
          <t>EP-006</t>
        </is>
      </c>
      <c r="C40" s="4" t="inlineStr">
        <is>
          <t>Resume task timer</t>
        </is>
      </c>
      <c r="D40" s="4" t="inlineStr">
        <is>
          <t>Employee</t>
        </is>
      </c>
      <c r="E40" s="4" t="inlineStr">
        <is>
          <t>As an employee, I want to resume a paused task so that tracking continues.</t>
        </is>
      </c>
      <c r="F40" s="4" t="n">
        <v>4</v>
      </c>
      <c r="G40" s="4" t="inlineStr">
        <is>
          <t>US-006-003</t>
        </is>
      </c>
      <c r="H40" s="4" t="inlineStr">
        <is>
          <t>Amaan</t>
        </is>
      </c>
      <c r="I40" s="4" t="inlineStr">
        <is>
          <t>Must Have</t>
        </is>
      </c>
      <c r="J40" s="4" t="inlineStr">
        <is>
          <t>MVP</t>
        </is>
      </c>
      <c r="K40" s="4" t="inlineStr">
        <is>
          <t>Week 1</t>
        </is>
      </c>
      <c r="L40" s="4" t="inlineStr">
        <is>
          <t>Done</t>
        </is>
      </c>
      <c r="M40" s="4" t="n">
        <v>3</v>
      </c>
      <c r="N40" s="4" t="inlineStr">
        <is>
          <t>Verified by e2e test: resume after break creates a new segment; only one active timer afterward.</t>
        </is>
      </c>
      <c r="O40" s="4" t="inlineStr">
        <is>
          <t>All 4 ACs manually re-verified live against the deployed Azure app, 2026-09-09, and Pass. No defects found for this story.</t>
        </is>
      </c>
    </row>
    <row r="41" ht="55.2" customHeight="1" s="8">
      <c r="A41" s="4" t="inlineStr">
        <is>
          <t>US-006-005</t>
        </is>
      </c>
      <c r="B41" s="4" t="inlineStr">
        <is>
          <t>EP-006</t>
        </is>
      </c>
      <c r="C41" s="4" t="inlineStr">
        <is>
          <t>Stop task timer</t>
        </is>
      </c>
      <c r="D41" s="4" t="inlineStr">
        <is>
          <t>Employee</t>
        </is>
      </c>
      <c r="E41" s="4" t="inlineStr">
        <is>
          <t>As an employee, I want to stop task tracking so that the task time entry is finalised.</t>
        </is>
      </c>
      <c r="F41" s="4" t="n">
        <v>4</v>
      </c>
      <c r="G41" s="4" t="inlineStr">
        <is>
          <t>US-006-001</t>
        </is>
      </c>
      <c r="H41" s="4" t="inlineStr">
        <is>
          <t>Amaan</t>
        </is>
      </c>
      <c r="I41" s="4" t="inlineStr">
        <is>
          <t>Must Have</t>
        </is>
      </c>
      <c r="J41" s="4" t="inlineStr">
        <is>
          <t>MVP</t>
        </is>
      </c>
      <c r="K41" s="4" t="inlineStr">
        <is>
          <t>Week 1</t>
        </is>
      </c>
      <c r="L41" s="4" t="inlineStr">
        <is>
          <t>Done</t>
        </is>
      </c>
      <c r="M41" s="4" t="n">
        <v>3</v>
      </c>
      <c r="N41" s="4" t="inlineStr">
        <is>
          <t>Implemented and functionally working; not individually covered by an automated test this session.</t>
        </is>
      </c>
      <c r="O41" s="4" t="inlineStr">
        <is>
          <t>All 4 ACs manually re-verified live against the deployed Azure app, 2026-09-09, and Pass. No defects found for this story.</t>
        </is>
      </c>
    </row>
    <row r="42" ht="41.4" customHeight="1" s="8">
      <c r="A42" s="4" t="inlineStr">
        <is>
          <t>US-006-006</t>
        </is>
      </c>
      <c r="B42" s="4" t="inlineStr">
        <is>
          <t>EP-006</t>
        </is>
      </c>
      <c r="C42" s="4" t="inlineStr">
        <is>
          <t>Switch task</t>
        </is>
      </c>
      <c r="D42" s="4" t="inlineStr">
        <is>
          <t>Employee</t>
        </is>
      </c>
      <c r="E42" s="4" t="inlineStr">
        <is>
          <t>As an employee, I want to switch directly to another task so that work transitions are captured accurately.</t>
        </is>
      </c>
      <c r="F42" s="4" t="n">
        <v>4</v>
      </c>
      <c r="G42" s="4" t="inlineStr">
        <is>
          <t>US-006-001, US-005-003</t>
        </is>
      </c>
      <c r="H42" s="4" t="inlineStr">
        <is>
          <t>Amaan</t>
        </is>
      </c>
      <c r="I42" s="4" t="inlineStr">
        <is>
          <t>Must Have</t>
        </is>
      </c>
      <c r="J42" s="4" t="inlineStr">
        <is>
          <t>MVP</t>
        </is>
      </c>
      <c r="K42" s="4" t="inlineStr">
        <is>
          <t>Week 1</t>
        </is>
      </c>
      <c r="L42" s="4" t="inlineStr">
        <is>
          <t>Done</t>
        </is>
      </c>
      <c r="M42" s="4" t="n">
        <v>3</v>
      </c>
      <c r="N42" s="4" t="inlineStr">
        <is>
          <t>Implemented and manually browser-tested: stop+start at one consistent boundary, no overlap.</t>
        </is>
      </c>
      <c r="O42" s="4" t="inlineStr">
        <is>
          <t>All 4 ACs manually re-verified live against the deployed Azure app, 2026-09-09, and Pass. No defects found for this story.</t>
        </is>
      </c>
    </row>
    <row r="43" ht="55.2" customHeight="1" s="8">
      <c r="A43" s="4" t="inlineStr">
        <is>
          <t>US-006-007</t>
        </is>
      </c>
      <c r="B43" s="4" t="inlineStr">
        <is>
          <t>EP-006</t>
        </is>
      </c>
      <c r="C43" s="4" t="inlineStr">
        <is>
          <t>Prevent concurrent task timers</t>
        </is>
      </c>
      <c r="D43" s="4" t="inlineStr">
        <is>
          <t>System Administrator</t>
        </is>
      </c>
      <c r="E43" s="4" t="inlineStr">
        <is>
          <t>As a system administrator, I want concurrent task timers prevented so that time is not double counted.</t>
        </is>
      </c>
      <c r="F43" s="4" t="n">
        <v>4</v>
      </c>
      <c r="G43" s="4" t="inlineStr">
        <is>
          <t>US-006-001</t>
        </is>
      </c>
      <c r="H43" s="4" t="inlineStr">
        <is>
          <t>Amaan</t>
        </is>
      </c>
      <c r="I43" s="4" t="inlineStr">
        <is>
          <t>Must Have</t>
        </is>
      </c>
      <c r="J43" s="4" t="inlineStr">
        <is>
          <t>MVP</t>
        </is>
      </c>
      <c r="K43" s="4" t="inlineStr">
        <is>
          <t>Week 1</t>
        </is>
      </c>
      <c r="L43" s="4" t="inlineStr">
        <is>
          <t>Done</t>
        </is>
      </c>
      <c r="M43" s="4" t="n">
        <v>3</v>
      </c>
      <c r="N43" s="4" t="inlineStr">
        <is>
          <t>Verified by e2e test: second concurrent timer rejected with existing-timer info in the response body.</t>
        </is>
      </c>
      <c r="O43" s="4" t="inlineStr">
        <is>
          <t>All 4 ACs manually re-verified live against the deployed Azure app, 2026-09-09, and Pass. No defects found for this story.</t>
        </is>
      </c>
    </row>
    <row r="44" ht="82.8" customHeight="1" s="8">
      <c r="A44" s="4" t="inlineStr">
        <is>
          <t>US-006-008</t>
        </is>
      </c>
      <c r="B44" s="4" t="inlineStr">
        <is>
          <t>EP-006</t>
        </is>
      </c>
      <c r="C44" s="4" t="inlineStr">
        <is>
          <t>Timer survives browser refresh</t>
        </is>
      </c>
      <c r="D44" s="4" t="inlineStr">
        <is>
          <t>Employee</t>
        </is>
      </c>
      <c r="E44" s="4" t="inlineStr">
        <is>
          <t>As an employee, I want the timer to continue if I refresh or close the page so that time is not lost.</t>
        </is>
      </c>
      <c r="F44" s="4" t="n">
        <v>4</v>
      </c>
      <c r="G44" s="4" t="inlineStr">
        <is>
          <t>US-006-001</t>
        </is>
      </c>
      <c r="H44" s="4" t="inlineStr">
        <is>
          <t>Amaan</t>
        </is>
      </c>
      <c r="I44" s="4" t="inlineStr">
        <is>
          <t>Must Have</t>
        </is>
      </c>
      <c r="J44" s="4" t="inlineStr">
        <is>
          <t>MVP</t>
        </is>
      </c>
      <c r="K44" s="4" t="inlineStr">
        <is>
          <t>Week 1</t>
        </is>
      </c>
      <c r="L44" s="4" t="inlineStr">
        <is>
          <t>Done</t>
        </is>
      </c>
      <c r="M44" s="4" t="n">
        <v>3</v>
      </c>
      <c r="N44" s="4" t="inlineStr">
        <is>
          <t>Architecturally guaranteed — no per-second writes, elapsed time is always recomputed client-side from the stored start timestamp. Not explicitly browser-refresh-tested this session.</t>
        </is>
      </c>
      <c r="O44" s="4" t="inlineStr">
        <is>
          <t>All 4 ACs manually re-verified live against the deployed Azure app, 2026-09-09, and Pass. No defects found for this story.</t>
        </is>
      </c>
    </row>
    <row r="45" ht="55.2" customHeight="1" s="8">
      <c r="A45" s="4" t="inlineStr">
        <is>
          <t>US-006-009</t>
        </is>
      </c>
      <c r="B45" s="4" t="inlineStr">
        <is>
          <t>EP-006</t>
        </is>
      </c>
      <c r="C45" s="4" t="inlineStr">
        <is>
          <t>Daily task time log</t>
        </is>
      </c>
      <c r="D45" s="4" t="inlineStr">
        <is>
          <t>Employee</t>
        </is>
      </c>
      <c r="E45" s="4" t="inlineStr">
        <is>
          <t>As an employee, I want to see task time intervals for a day so that I can verify what I worked on.</t>
        </is>
      </c>
      <c r="F45" s="4" t="n">
        <v>4</v>
      </c>
      <c r="G45" s="4" t="inlineStr">
        <is>
          <t>US-006-005</t>
        </is>
      </c>
      <c r="H45" s="4" t="inlineStr">
        <is>
          <t>Amaan</t>
        </is>
      </c>
      <c r="I45" s="4" t="inlineStr">
        <is>
          <t>Must Have</t>
        </is>
      </c>
      <c r="J45" s="4" t="inlineStr">
        <is>
          <t>MVP</t>
        </is>
      </c>
      <c r="K45" s="4" t="inlineStr">
        <is>
          <t>Week 1</t>
        </is>
      </c>
      <c r="L45" s="4" t="inlineStr">
        <is>
          <t>Done</t>
        </is>
      </c>
      <c r="M45" s="4" t="n">
        <v>3</v>
      </c>
      <c r="N45" s="4" t="inlineStr">
        <is>
          <t>Implemented and functionally working; not individually covered by an automated test this session.</t>
        </is>
      </c>
      <c r="O45" s="4" t="inlineStr">
        <is>
          <t>All 4 ACs manually re-verified live against the deployed Azure app, 2026-09-09, and Pass. No defects found for this story.</t>
        </is>
      </c>
    </row>
    <row r="46" ht="55.2" customHeight="1" s="8">
      <c r="A46" s="4" t="inlineStr">
        <is>
          <t>US-006-010</t>
        </is>
      </c>
      <c r="B46" s="4" t="inlineStr">
        <is>
          <t>EP-006</t>
        </is>
      </c>
      <c r="C46" s="4" t="inlineStr">
        <is>
          <t>Task estimate versus actual</t>
        </is>
      </c>
      <c r="D46" s="4" t="inlineStr">
        <is>
          <t>Employee</t>
        </is>
      </c>
      <c r="E46" s="4" t="inlineStr">
        <is>
          <t>As an employee, I want to compare estimated and actual task time so that I can understand overruns.</t>
        </is>
      </c>
      <c r="F46" s="4" t="n">
        <v>4</v>
      </c>
      <c r="G46" s="4" t="inlineStr">
        <is>
          <t>US-005-005, US-006-009</t>
        </is>
      </c>
      <c r="H46" s="4" t="inlineStr">
        <is>
          <t>Amaan</t>
        </is>
      </c>
      <c r="I46" s="4" t="inlineStr">
        <is>
          <t>Must Have</t>
        </is>
      </c>
      <c r="J46" s="4" t="inlineStr">
        <is>
          <t>MVP</t>
        </is>
      </c>
      <c r="K46" s="4" t="inlineStr">
        <is>
          <t>Week 1</t>
        </is>
      </c>
      <c r="L46" s="4" t="inlineStr">
        <is>
          <t>Done</t>
        </is>
      </c>
      <c r="M46" s="4" t="n">
        <v>3</v>
      </c>
      <c r="N46" s="4" t="inlineStr">
        <is>
          <t>Implemented and functionally working; not individually covered by an automated test this session.</t>
        </is>
      </c>
      <c r="O46" s="4" t="inlineStr">
        <is>
          <t>All 4 ACs manually re-verified live against the deployed Azure app, 2026-09-09, and Pass. No defects found for this story.</t>
        </is>
      </c>
    </row>
    <row r="47" ht="55.2" customHeight="1" s="8">
      <c r="A47" s="4" t="inlineStr">
        <is>
          <t>US-007-001</t>
        </is>
      </c>
      <c r="B47" s="4" t="inlineStr">
        <is>
          <t>EP-007</t>
        </is>
      </c>
      <c r="C47" s="4" t="inlineStr">
        <is>
          <t>Calculate net working time</t>
        </is>
      </c>
      <c r="D47" s="4" t="inlineStr">
        <is>
          <t>System</t>
        </is>
      </c>
      <c r="E47" s="4" t="inlineStr">
        <is>
          <t>As the system, I want to calculate net working time so that attendance is accurate.</t>
        </is>
      </c>
      <c r="F47" s="4" t="n">
        <v>4</v>
      </c>
      <c r="G47" s="4" t="inlineStr">
        <is>
          <t>US-003-002, US-004-002</t>
        </is>
      </c>
      <c r="H47" s="4" t="inlineStr">
        <is>
          <t>Amaan</t>
        </is>
      </c>
      <c r="I47" s="4" t="inlineStr">
        <is>
          <t>Must Have</t>
        </is>
      </c>
      <c r="J47" s="4" t="inlineStr">
        <is>
          <t>MVP</t>
        </is>
      </c>
      <c r="K47" s="4" t="inlineStr">
        <is>
          <t>Week 1</t>
        </is>
      </c>
      <c r="L47" s="4" t="inlineStr">
        <is>
          <t>Done</t>
        </is>
      </c>
      <c r="M47" s="4" t="n">
        <v>3</v>
      </c>
      <c r="N47" s="4" t="inlineStr">
        <is>
          <t>Verified by unit test (exact SRS worked example: 7h30m worked, 6h45m tasked, 45m unallocated) and e2e test.</t>
        </is>
      </c>
      <c r="O47" s="4" t="inlineStr">
        <is>
          <t>All 4 ACs manually re-verified live against the deployed Azure app, 2026-09-09, and Pass. No defects found for this story.</t>
        </is>
      </c>
    </row>
    <row r="48" ht="27.6" customHeight="1" s="8">
      <c r="A48" s="4" t="inlineStr">
        <is>
          <t>US-007-002</t>
        </is>
      </c>
      <c r="B48" s="4" t="inlineStr">
        <is>
          <t>EP-007</t>
        </is>
      </c>
      <c r="C48" s="4" t="inlineStr">
        <is>
          <t>Calculate task time</t>
        </is>
      </c>
      <c r="D48" s="4" t="inlineStr">
        <is>
          <t>System</t>
        </is>
      </c>
      <c r="E48" s="4" t="inlineStr">
        <is>
          <t>As the system, I want to calculate total task time for a day so that recorded activity is measurable.</t>
        </is>
      </c>
      <c r="F48" s="4" t="n">
        <v>4</v>
      </c>
      <c r="G48" s="4" t="inlineStr">
        <is>
          <t>US-006-005</t>
        </is>
      </c>
      <c r="H48" s="4" t="inlineStr">
        <is>
          <t>Amaan</t>
        </is>
      </c>
      <c r="I48" s="4" t="inlineStr">
        <is>
          <t>Must Have</t>
        </is>
      </c>
      <c r="J48" s="4" t="inlineStr">
        <is>
          <t>MVP</t>
        </is>
      </c>
      <c r="K48" s="4" t="inlineStr">
        <is>
          <t>Week 1</t>
        </is>
      </c>
      <c r="L48" s="4" t="inlineStr">
        <is>
          <t>Done</t>
        </is>
      </c>
      <c r="M48" s="4" t="n">
        <v>3</v>
      </c>
      <c r="N48" s="4" t="inlineStr">
        <is>
          <t>Verified by unit test and e2e test.</t>
        </is>
      </c>
      <c r="O48" s="4" t="inlineStr">
        <is>
          <t>All 4 ACs manually re-verified live against the deployed Azure app, 2026-09-09, and Pass. No defects found for this story.</t>
        </is>
      </c>
    </row>
    <row r="49" ht="27.6" customHeight="1" s="8">
      <c r="A49" s="4" t="inlineStr">
        <is>
          <t>US-007-003</t>
        </is>
      </c>
      <c r="B49" s="4" t="inlineStr">
        <is>
          <t>EP-007</t>
        </is>
      </c>
      <c r="C49" s="4" t="inlineStr">
        <is>
          <t>Calculate unallocated time</t>
        </is>
      </c>
      <c r="D49" s="4" t="inlineStr">
        <is>
          <t>Employee</t>
        </is>
      </c>
      <c r="E49" s="4" t="inlineStr">
        <is>
          <t>As an employee, I want to see unallocated working time so that I can identify missing task tracking.</t>
        </is>
      </c>
      <c r="F49" s="4" t="n">
        <v>4</v>
      </c>
      <c r="G49" s="4" t="inlineStr">
        <is>
          <t>US-007-001, US-007-002</t>
        </is>
      </c>
      <c r="H49" s="4" t="inlineStr">
        <is>
          <t>Amaan</t>
        </is>
      </c>
      <c r="I49" s="4" t="inlineStr">
        <is>
          <t>Must Have</t>
        </is>
      </c>
      <c r="J49" s="4" t="inlineStr">
        <is>
          <t>MVP</t>
        </is>
      </c>
      <c r="K49" s="4" t="inlineStr">
        <is>
          <t>Week 1</t>
        </is>
      </c>
      <c r="L49" s="4" t="inlineStr">
        <is>
          <t>Done</t>
        </is>
      </c>
      <c r="M49" s="4" t="n">
        <v>3</v>
      </c>
      <c r="N49" s="4" t="inlineStr">
        <is>
          <t>Verified by unit test (never negative) and e2e test.</t>
        </is>
      </c>
      <c r="O49" s="4" t="inlineStr">
        <is>
          <t>All 4 ACs manually re-verified live against the deployed Azure app, 2026-09-09, and Pass. No defects found for this story.</t>
        </is>
      </c>
    </row>
    <row r="50" ht="110.4" customHeight="1" s="8">
      <c r="A50" s="4" t="inlineStr">
        <is>
          <t>US-007-004</t>
        </is>
      </c>
      <c r="B50" s="4" t="inlineStr">
        <is>
          <t>EP-007</t>
        </is>
      </c>
      <c r="C50" s="4" t="inlineStr">
        <is>
          <t>Flag task time exceeding attendance</t>
        </is>
      </c>
      <c r="D50" s="4" t="inlineStr">
        <is>
          <t>Administrator</t>
        </is>
      </c>
      <c r="E50" s="4" t="inlineStr">
        <is>
          <t>As an administrator, I want impossible time relationships flagged so that data quality issues are corrected.</t>
        </is>
      </c>
      <c r="F50" s="4" t="n">
        <v>4</v>
      </c>
      <c r="G50" s="4" t="inlineStr">
        <is>
          <t>US-007-003</t>
        </is>
      </c>
      <c r="H50" s="4" t="inlineStr">
        <is>
          <t>Amaan</t>
        </is>
      </c>
      <c r="I50" s="4" t="inlineStr">
        <is>
          <t>Must Have</t>
        </is>
      </c>
      <c r="J50" s="4" t="inlineStr">
        <is>
          <t>MVP</t>
        </is>
      </c>
      <c r="K50" s="4" t="inlineStr">
        <is>
          <t>Week 1</t>
        </is>
      </c>
      <c r="L50" s="4" t="inlineStr">
        <is>
          <t>Done</t>
        </is>
      </c>
      <c r="M50" s="4" t="n">
        <v>3</v>
      </c>
      <c r="N50" s="4" t="inlineStr">
        <is>
          <t>Verified by unit test: task time exceeding attendance flags hasDataQualityException without altering original records. No dedicated admin exception-review screen yet — surfaced via My Day badge and reconciliation payload only.</t>
        </is>
      </c>
      <c r="O50" s="4" t="inlineStr">
        <is>
          <t>All 4 ACs manually re-verified live against the deployed Azure app, 2026-09-09, and Pass. No defects found for this story.</t>
        </is>
      </c>
    </row>
    <row r="51" ht="55.2" customHeight="1" s="8">
      <c r="A51" s="4" t="inlineStr">
        <is>
          <t>US-007-005</t>
        </is>
      </c>
      <c r="B51" s="4" t="inlineStr">
        <is>
          <t>EP-007</t>
        </is>
      </c>
      <c r="C51" s="4" t="inlineStr">
        <is>
          <t>Daily activity timeline</t>
        </is>
      </c>
      <c r="D51" s="4" t="inlineStr">
        <is>
          <t>Employee</t>
        </is>
      </c>
      <c r="E51" s="4" t="inlineStr">
        <is>
          <t>As an employee, I want one timeline of attendance, breaks and task activity so that my workday is understandable.</t>
        </is>
      </c>
      <c r="F51" s="4" t="n">
        <v>4</v>
      </c>
      <c r="G51" s="4" t="inlineStr">
        <is>
          <t>US-003-002, US-004-002, US-006-009</t>
        </is>
      </c>
      <c r="H51" s="4" t="inlineStr">
        <is>
          <t>Amaan</t>
        </is>
      </c>
      <c r="I51" s="4" t="inlineStr">
        <is>
          <t>Must Have</t>
        </is>
      </c>
      <c r="J51" s="4" t="inlineStr">
        <is>
          <t>MVP</t>
        </is>
      </c>
      <c r="K51" s="4" t="inlineStr">
        <is>
          <t>Week 1</t>
        </is>
      </c>
      <c r="L51" s="4" t="inlineStr">
        <is>
          <t>Done</t>
        </is>
      </c>
      <c r="M51" s="4" t="n">
        <v>3</v>
      </c>
      <c r="N51" s="4" t="inlineStr">
        <is>
          <t>Implemented and functionally working; not individually covered by an automated test this session.</t>
        </is>
      </c>
      <c r="O51" s="4" t="inlineStr">
        <is>
          <t>All 4 ACs manually re-verified live against the deployed Azure app, 2026-09-09, and Pass. No defects found for this story.</t>
        </is>
      </c>
    </row>
    <row r="52" ht="55.2" customHeight="1" s="8">
      <c r="A52" s="4" t="inlineStr">
        <is>
          <t>US-008-001</t>
        </is>
      </c>
      <c r="B52" s="4" t="inlineStr">
        <is>
          <t>EP-008</t>
        </is>
      </c>
      <c r="C52" s="4" t="inlineStr">
        <is>
          <t>Employee My Day dashboard</t>
        </is>
      </c>
      <c r="D52" s="4" t="inlineStr">
        <is>
          <t>Employee</t>
        </is>
      </c>
      <c r="E52" s="4" t="inlineStr">
        <is>
          <t>As an employee, I want a single dashboard for attendance, break status, current task and totals so that daily actions are simple.</t>
        </is>
      </c>
      <c r="F52" s="4" t="n">
        <v>4</v>
      </c>
      <c r="G52" s="4" t="inlineStr">
        <is>
          <t>US-003-003, US-006-002, US-007-003</t>
        </is>
      </c>
      <c r="H52" s="4" t="inlineStr">
        <is>
          <t>Amaan</t>
        </is>
      </c>
      <c r="I52" s="4" t="inlineStr">
        <is>
          <t>Must Have</t>
        </is>
      </c>
      <c r="J52" s="4" t="inlineStr">
        <is>
          <t>MVP</t>
        </is>
      </c>
      <c r="K52" s="4" t="inlineStr">
        <is>
          <t>Week 1</t>
        </is>
      </c>
      <c r="L52" s="4" t="inlineStr">
        <is>
          <t>Done</t>
        </is>
      </c>
      <c r="M52" s="4" t="n">
        <v>3</v>
      </c>
      <c r="N52" s="4" t="inlineStr">
        <is>
          <t>Implemented and functionally working; not individually covered by an automated test this session.</t>
        </is>
      </c>
      <c r="O52" s="4" t="inlineStr">
        <is>
          <t>All 4 ACs manually re-verified live against the deployed Azure app, 2026-09-09, and Pass. No defects found for this story.</t>
        </is>
      </c>
    </row>
    <row r="53" ht="55.2" customHeight="1" s="8">
      <c r="A53" s="4" t="inlineStr">
        <is>
          <t>US-008-002</t>
        </is>
      </c>
      <c r="B53" s="4" t="inlineStr">
        <is>
          <t>EP-008</t>
        </is>
      </c>
      <c r="C53" s="4" t="inlineStr">
        <is>
          <t>Administrator dashboard KPIs</t>
        </is>
      </c>
      <c r="D53" s="4" t="inlineStr">
        <is>
          <t>Administrator</t>
        </is>
      </c>
      <c r="E53" s="4" t="inlineStr">
        <is>
          <t>As an administrator, I want high-level daily KPIs so that I can understand current workforce activity.</t>
        </is>
      </c>
      <c r="F53" s="4" t="n">
        <v>4</v>
      </c>
      <c r="G53" s="4" t="inlineStr">
        <is>
          <t>US-003-008, US-006-001</t>
        </is>
      </c>
      <c r="H53" s="4" t="inlineStr">
        <is>
          <t>Amaan</t>
        </is>
      </c>
      <c r="I53" s="4" t="inlineStr">
        <is>
          <t>Must Have</t>
        </is>
      </c>
      <c r="J53" s="4" t="inlineStr">
        <is>
          <t>MVP</t>
        </is>
      </c>
      <c r="K53" s="4" t="inlineStr">
        <is>
          <t>Week 1</t>
        </is>
      </c>
      <c r="L53" s="4" t="inlineStr">
        <is>
          <t>Done</t>
        </is>
      </c>
      <c r="M53" s="4" t="n">
        <v>3</v>
      </c>
      <c r="N53" s="4" t="inlineStr">
        <is>
          <t>Implemented and functionally working; not individually covered by an automated test this session.</t>
        </is>
      </c>
      <c r="O53" s="4" t="inlineStr">
        <is>
          <t>All 4 ACs manually re-verified live against the deployed Azure app, 2026-09-09, and Pass. 1 real defect(s) found and fixed during testing: AC-008-002-04 (DEF-013): Dashboard KPI tiles were static numbers with no link through to the underlying filtered view.</t>
        </is>
      </c>
    </row>
    <row r="54" ht="55.2" customHeight="1" s="8">
      <c r="A54" s="4" t="inlineStr">
        <is>
          <t>US-008-003</t>
        </is>
      </c>
      <c r="B54" s="4" t="inlineStr">
        <is>
          <t>EP-008</t>
        </is>
      </c>
      <c r="C54" s="4" t="inlineStr">
        <is>
          <t>Live user activity table</t>
        </is>
      </c>
      <c r="D54" s="4" t="inlineStr">
        <is>
          <t>Administrator</t>
        </is>
      </c>
      <c r="E54" s="4" t="inlineStr">
        <is>
          <t>As an administrator, I want a live table of user status so that I can see current attendance and task activity.</t>
        </is>
      </c>
      <c r="F54" s="4" t="n">
        <v>4</v>
      </c>
      <c r="G54" s="4" t="inlineStr">
        <is>
          <t>US-003-008</t>
        </is>
      </c>
      <c r="H54" s="4" t="inlineStr">
        <is>
          <t>Amaan</t>
        </is>
      </c>
      <c r="I54" s="4" t="inlineStr">
        <is>
          <t>Must Have</t>
        </is>
      </c>
      <c r="J54" s="4" t="inlineStr">
        <is>
          <t>MVP</t>
        </is>
      </c>
      <c r="K54" s="4" t="inlineStr">
        <is>
          <t>Week 1</t>
        </is>
      </c>
      <c r="L54" s="4" t="inlineStr">
        <is>
          <t>Done</t>
        </is>
      </c>
      <c r="M54" s="4" t="n">
        <v>3</v>
      </c>
      <c r="N54" s="4" t="inlineStr">
        <is>
          <t>Implemented and functionally working; not individually covered by an automated test this session.</t>
        </is>
      </c>
      <c r="O54" s="4" t="inlineStr">
        <is>
          <t>All 4 ACs manually re-verified live against the deployed Azure app, 2026-09-09, and Pass. 1 real defect(s) found and fixed during testing: AC-008-003-04 (DEF-014): Live Attendance admin table had zero search or filter capability.</t>
        </is>
      </c>
    </row>
    <row r="55" ht="55.2" customHeight="1" s="8">
      <c r="A55" s="4" t="inlineStr">
        <is>
          <t>US-008-004</t>
        </is>
      </c>
      <c r="B55" s="4" t="inlineStr">
        <is>
          <t>EP-008</t>
        </is>
      </c>
      <c r="C55" s="4" t="inlineStr">
        <is>
          <t>Task dashboard</t>
        </is>
      </c>
      <c r="D55" s="4" t="inlineStr">
        <is>
          <t>Administrator</t>
        </is>
      </c>
      <c r="E55" s="4" t="inlineStr">
        <is>
          <t>As an administrator, I want task status summaries so that I can identify active, overdue and completed work.</t>
        </is>
      </c>
      <c r="F55" s="4" t="n">
        <v>4</v>
      </c>
      <c r="G55" s="4" t="inlineStr">
        <is>
          <t>US-005-006</t>
        </is>
      </c>
      <c r="H55" s="4" t="inlineStr">
        <is>
          <t>Amaan</t>
        </is>
      </c>
      <c r="I55" s="4" t="inlineStr">
        <is>
          <t>Must Have</t>
        </is>
      </c>
      <c r="J55" s="4" t="inlineStr">
        <is>
          <t>MVP</t>
        </is>
      </c>
      <c r="K55" s="4" t="inlineStr">
        <is>
          <t>Week 1</t>
        </is>
      </c>
      <c r="L55" s="4" t="inlineStr">
        <is>
          <t>Done</t>
        </is>
      </c>
      <c r="M55" s="4" t="n">
        <v>3</v>
      </c>
      <c r="N55" s="4" t="inlineStr">
        <is>
          <t>Implemented and functionally working; not individually covered by an automated test this session.</t>
        </is>
      </c>
      <c r="O55" s="4" t="inlineStr">
        <is>
          <t>All 4 ACs manually re-verified live against the deployed Azure app, 2026-09-09, and Pass. No defects found for this story.</t>
        </is>
      </c>
    </row>
    <row r="56" ht="220.8" customHeight="1" s="8">
      <c r="A56" s="4" t="inlineStr">
        <is>
          <t>US-008-005</t>
        </is>
      </c>
      <c r="B56" s="4" t="inlineStr">
        <is>
          <t>EP-008</t>
        </is>
      </c>
      <c r="C56" s="4" t="inlineStr">
        <is>
          <t>Responsive dashboard</t>
        </is>
      </c>
      <c r="D56" s="4" t="inlineStr">
        <is>
          <t>Employee</t>
        </is>
      </c>
      <c r="E56" s="4" t="inlineStr">
        <is>
          <t>As a user, I want dashboards usable on phone and desktop so that I can clock and track tasks from different devices.</t>
        </is>
      </c>
      <c r="F56" s="4" t="n">
        <v>4</v>
      </c>
      <c r="G56" s="4" t="inlineStr">
        <is>
          <t>US-008-001, US-008-002</t>
        </is>
      </c>
      <c r="H56" s="4" t="inlineStr">
        <is>
          <t>Amaan</t>
        </is>
      </c>
      <c r="I56" s="4" t="inlineStr">
        <is>
          <t>Must Have</t>
        </is>
      </c>
      <c r="J56" s="4" t="inlineStr">
        <is>
          <t>MVP</t>
        </is>
      </c>
      <c r="K56" s="4" t="inlineStr">
        <is>
          <t>Week 1</t>
        </is>
      </c>
      <c r="L56" s="4" t="inlineStr">
        <is>
          <t>Done</t>
        </is>
      </c>
      <c r="M56" s="4" t="n">
        <v>3</v>
      </c>
      <c r="N56" s="4"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4" t="inlineStr">
        <is>
          <t>All 4 ACs manually re-verified live against the deployed Azure app, 2026-09-09, and Pass. 1 real defect(s) found and fixed during testing: AC-008-005-03 (DEF-015): The header carrying the live timer bar scrolled out of view on tall pages at mobile width, hiding the active timer.</t>
        </is>
      </c>
    </row>
    <row r="57" ht="41.4" customHeight="1" s="8">
      <c r="A57" s="4" t="inlineStr">
        <is>
          <t>US-009-001</t>
        </is>
      </c>
      <c r="B57" s="4" t="inlineStr">
        <is>
          <t>EP-009</t>
        </is>
      </c>
      <c r="C57" s="4" t="inlineStr">
        <is>
          <t>Request attendance correction</t>
        </is>
      </c>
      <c r="D57" s="4" t="inlineStr">
        <is>
          <t>Employee</t>
        </is>
      </c>
      <c r="E57" s="4" t="inlineStr">
        <is>
          <t>As an employee, I want to request correction of an attendance mistake so that records can be fixed without hidden edits.</t>
        </is>
      </c>
      <c r="F57" s="4" t="n">
        <v>4</v>
      </c>
      <c r="G57" s="4" t="inlineStr">
        <is>
          <t>US-003-002</t>
        </is>
      </c>
      <c r="H57" s="4" t="inlineStr">
        <is>
          <t>Amaan</t>
        </is>
      </c>
      <c r="I57" s="4" t="inlineStr">
        <is>
          <t>Must Have</t>
        </is>
      </c>
      <c r="J57" s="4" t="inlineStr">
        <is>
          <t>MVP</t>
        </is>
      </c>
      <c r="K57" s="4" t="inlineStr">
        <is>
          <t>Week 1</t>
        </is>
      </c>
      <c r="L57" s="4" t="inlineStr">
        <is>
          <t>Done</t>
        </is>
      </c>
      <c r="M57" s="4" t="n">
        <v>3</v>
      </c>
      <c r="N57" s="4" t="inlineStr">
        <is>
          <t>Verified by e2e test: request does not overwrite the original record; visible to the requester.</t>
        </is>
      </c>
      <c r="O57" s="4" t="inlineStr">
        <is>
          <t>All 4 ACs manually re-verified live against the deployed Azure app, 2026-09-09, and Pass. No defects found for this story.</t>
        </is>
      </c>
    </row>
    <row r="58" ht="55.2" customHeight="1" s="8">
      <c r="A58" s="4" t="inlineStr">
        <is>
          <t>US-009-002</t>
        </is>
      </c>
      <c r="B58" s="4" t="inlineStr">
        <is>
          <t>EP-009</t>
        </is>
      </c>
      <c r="C58" s="4" t="inlineStr">
        <is>
          <t>Approve attendance correction</t>
        </is>
      </c>
      <c r="D58" s="4" t="inlineStr">
        <is>
          <t>Administrator</t>
        </is>
      </c>
      <c r="E58" s="4" t="inlineStr">
        <is>
          <t>As an administrator, I want to approve or reject attendance corrections so that changes are controlled.</t>
        </is>
      </c>
      <c r="F58" s="4" t="n">
        <v>4</v>
      </c>
      <c r="G58" s="4" t="inlineStr">
        <is>
          <t>US-009-001</t>
        </is>
      </c>
      <c r="H58" s="4" t="inlineStr">
        <is>
          <t>Amaan</t>
        </is>
      </c>
      <c r="I58" s="4" t="inlineStr">
        <is>
          <t>Must Have</t>
        </is>
      </c>
      <c r="J58" s="4" t="inlineStr">
        <is>
          <t>MVP</t>
        </is>
      </c>
      <c r="K58" s="4" t="inlineStr">
        <is>
          <t>Week 1</t>
        </is>
      </c>
      <c r="L58" s="4" t="inlineStr">
        <is>
          <t>Done</t>
        </is>
      </c>
      <c r="M58" s="4" t="n">
        <v>3</v>
      </c>
      <c r="N58" s="4" t="inlineStr">
        <is>
          <t>Verified by e2e test: approval applies the corrected values and preserves the original in the audit log (before/after).</t>
        </is>
      </c>
      <c r="O58" s="4" t="inlineStr">
        <is>
          <t>All 4 ACs manually re-verified live against the deployed Azure app, 2026-09-09, and Pass. 1 real defect(s) found and fixed during testing: AC-009-002-01 (DEF-016): Pending-corrections review list only showed the proposed value, with no way to see the original value being changed from.</t>
        </is>
      </c>
    </row>
    <row r="59" ht="55.2" customHeight="1" s="8">
      <c r="A59" s="4" t="inlineStr">
        <is>
          <t>US-009-003</t>
        </is>
      </c>
      <c r="B59" s="4" t="inlineStr">
        <is>
          <t>EP-009</t>
        </is>
      </c>
      <c r="C59" s="4" t="inlineStr">
        <is>
          <t>Request task time correction</t>
        </is>
      </c>
      <c r="D59" s="4" t="inlineStr">
        <is>
          <t>Employee</t>
        </is>
      </c>
      <c r="E59" s="4" t="inlineStr">
        <is>
          <t>As an employee, I want to request correction of task time so that forgotten/incorrect timer events can be resolved.</t>
        </is>
      </c>
      <c r="F59" s="4" t="n">
        <v>4</v>
      </c>
      <c r="G59" s="4" t="inlineStr">
        <is>
          <t>US-006-009</t>
        </is>
      </c>
      <c r="H59" s="4" t="inlineStr">
        <is>
          <t>Amaan</t>
        </is>
      </c>
      <c r="I59" s="4" t="inlineStr">
        <is>
          <t>Must Have</t>
        </is>
      </c>
      <c r="J59" s="4" t="inlineStr">
        <is>
          <t>MVP</t>
        </is>
      </c>
      <c r="K59" s="4" t="inlineStr">
        <is>
          <t>Week 1</t>
        </is>
      </c>
      <c r="L59" s="4" t="inlineStr">
        <is>
          <t>Done</t>
        </is>
      </c>
      <c r="M59" s="4" t="n">
        <v>3</v>
      </c>
      <c r="N59" s="4" t="inlineStr">
        <is>
          <t>Implemented and functionally working; not individually covered by an automated test this session.</t>
        </is>
      </c>
      <c r="O59" s="4" t="inlineStr">
        <is>
          <t>All 4 ACs manually re-verified live against the deployed Azure app, 2026-09-09, and Pass. 2 real defect(s) found and fixed during testing: AC-009-003-01 (DEF-017): Requesting a correction on a task-time entry (not just an attendance session) had no frontend at all.; AC-009-003-04 (DEF-018): Approving a correction that proposed only an end time skipped overlap validation entirely, letting an approval create genuinely overlapping task time.</t>
        </is>
      </c>
    </row>
    <row r="60" ht="55.2" customHeight="1" s="8">
      <c r="A60" s="4" t="inlineStr">
        <is>
          <t>US-009-004</t>
        </is>
      </c>
      <c r="B60" s="4" t="inlineStr">
        <is>
          <t>EP-009</t>
        </is>
      </c>
      <c r="C60" s="4" t="inlineStr">
        <is>
          <t>Administrator direct correction</t>
        </is>
      </c>
      <c r="D60" s="4" t="inlineStr">
        <is>
          <t>Administrator</t>
        </is>
      </c>
      <c r="E60" s="4" t="inlineStr">
        <is>
          <t>As an administrator, I want to correct authorised records directly so that operational errors can be resolved quickly.</t>
        </is>
      </c>
      <c r="F60" s="4" t="n">
        <v>4</v>
      </c>
      <c r="G60" s="4" t="inlineStr">
        <is>
          <t>US-003-002, US-006-005</t>
        </is>
      </c>
      <c r="H60" s="4" t="inlineStr">
        <is>
          <t>Amaan</t>
        </is>
      </c>
      <c r="I60" s="4" t="inlineStr">
        <is>
          <t>Must Have</t>
        </is>
      </c>
      <c r="J60" s="4" t="inlineStr">
        <is>
          <t>MVP</t>
        </is>
      </c>
      <c r="K60" s="4" t="inlineStr">
        <is>
          <t>Week 1</t>
        </is>
      </c>
      <c r="L60" s="4" t="inlineStr">
        <is>
          <t>Done</t>
        </is>
      </c>
      <c r="M60" s="4" t="n">
        <v>3</v>
      </c>
      <c r="N60" s="4" t="inlineStr">
        <is>
          <t>Implemented and functionally working; not individually covered by an automated test this session.</t>
        </is>
      </c>
      <c r="O60" s="4" t="inlineStr">
        <is>
          <t>All 4 ACs manually re-verified live against the deployed Azure app, 2026-09-09, and Pass. 1 real defect(s) found and fixed during testing: AC-009-004-03 (DEF-018): Same defect and fix as AC-009-003-04 (shared overlap-validation logic in decide()).</t>
        </is>
      </c>
    </row>
    <row r="61" ht="55.2" customHeight="1" s="8">
      <c r="A61" s="4" t="inlineStr">
        <is>
          <t>US-009-005</t>
        </is>
      </c>
      <c r="B61" s="4" t="inlineStr">
        <is>
          <t>EP-009</t>
        </is>
      </c>
      <c r="C61" s="4" t="inlineStr">
        <is>
          <t>Audit log</t>
        </is>
      </c>
      <c r="D61" s="4" t="inlineStr">
        <is>
          <t>Auditor</t>
        </is>
      </c>
      <c r="E61" s="4" t="inlineStr">
        <is>
          <t>As an auditor, I want a tamper-resistant audit view so that sensitive changes are traceable.</t>
        </is>
      </c>
      <c r="F61" s="4" t="n">
        <v>4</v>
      </c>
      <c r="G61" s="4" t="inlineStr">
        <is>
          <t>US-009-002, US-009-004, US-002-004, US-002-005</t>
        </is>
      </c>
      <c r="H61" s="4" t="inlineStr">
        <is>
          <t>Amaan</t>
        </is>
      </c>
      <c r="I61" s="4" t="inlineStr">
        <is>
          <t>Must Have</t>
        </is>
      </c>
      <c r="J61" s="4" t="inlineStr">
        <is>
          <t>MVP</t>
        </is>
      </c>
      <c r="K61" s="4" t="inlineStr">
        <is>
          <t>Week 1</t>
        </is>
      </c>
      <c r="L61" s="4" t="inlineStr">
        <is>
          <t>Done</t>
        </is>
      </c>
      <c r="M61" s="4" t="n">
        <v>3</v>
      </c>
      <c r="N61" s="4" t="inlineStr">
        <is>
          <t>Verified by e2e test: audit entries carry actor/action/target/before/after and are filterable by action.</t>
        </is>
      </c>
      <c r="O61" s="4" t="inlineStr">
        <is>
          <t>All 4 ACs manually re-verified live against the deployed Azure app, 2026-09-09, and Pass. No defects found for this story.</t>
        </is>
      </c>
    </row>
    <row r="62" ht="55.2" customHeight="1" s="8">
      <c r="A62" s="4" t="inlineStr">
        <is>
          <t>US-010-001</t>
        </is>
      </c>
      <c r="B62" s="4" t="inlineStr">
        <is>
          <t>EP-010</t>
        </is>
      </c>
      <c r="C62" s="4" t="inlineStr">
        <is>
          <t>Daily attendance report</t>
        </is>
      </c>
      <c r="D62" s="4" t="inlineStr">
        <is>
          <t>Administrator</t>
        </is>
      </c>
      <c r="E62" s="4" t="inlineStr">
        <is>
          <t>As an administrator, I want a daily attendance report so that I can review who worked and for how long.</t>
        </is>
      </c>
      <c r="F62" s="4" t="n">
        <v>4</v>
      </c>
      <c r="G62" s="4" t="inlineStr">
        <is>
          <t>US-007-001</t>
        </is>
      </c>
      <c r="H62" s="4" t="inlineStr">
        <is>
          <t>Amaan</t>
        </is>
      </c>
      <c r="I62" s="4" t="inlineStr">
        <is>
          <t>Must Have</t>
        </is>
      </c>
      <c r="J62" s="4" t="inlineStr">
        <is>
          <t>MVP</t>
        </is>
      </c>
      <c r="K62" s="4" t="inlineStr">
        <is>
          <t>Week 1</t>
        </is>
      </c>
      <c r="L62" s="4" t="inlineStr">
        <is>
          <t>Done</t>
        </is>
      </c>
      <c r="M62" s="4" t="n">
        <v>3</v>
      </c>
      <c r="N62" s="4" t="inlineStr">
        <is>
          <t>Implemented and functionally working; not individually covered by an automated test this session.</t>
        </is>
      </c>
      <c r="O62" s="4" t="inlineStr">
        <is>
          <t>All 4 ACs manually re-verified live against the deployed Azure app, 2026-09-09, and Pass. No defects found for this story.</t>
        </is>
      </c>
    </row>
    <row r="63" ht="55.2" customHeight="1" s="8">
      <c r="A63" s="4" t="inlineStr">
        <is>
          <t>US-010-002</t>
        </is>
      </c>
      <c r="B63" s="4" t="inlineStr">
        <is>
          <t>EP-010</t>
        </is>
      </c>
      <c r="C63" s="4" t="inlineStr">
        <is>
          <t>Weekly monthly attendance report</t>
        </is>
      </c>
      <c r="D63" s="4" t="inlineStr">
        <is>
          <t>Administrator</t>
        </is>
      </c>
      <c r="E63" s="4" t="inlineStr">
        <is>
          <t>As an administrator, I want weekly/monthly attendance summaries so that working patterns are visible.</t>
        </is>
      </c>
      <c r="F63" s="4" t="n">
        <v>4</v>
      </c>
      <c r="G63" s="4" t="inlineStr">
        <is>
          <t>US-010-001</t>
        </is>
      </c>
      <c r="H63" s="4" t="inlineStr">
        <is>
          <t>Amaan</t>
        </is>
      </c>
      <c r="I63" s="4" t="inlineStr">
        <is>
          <t>Must Have</t>
        </is>
      </c>
      <c r="J63" s="4" t="inlineStr">
        <is>
          <t>MVP</t>
        </is>
      </c>
      <c r="K63" s="4" t="inlineStr">
        <is>
          <t>Week 1</t>
        </is>
      </c>
      <c r="L63" s="4" t="inlineStr">
        <is>
          <t>Done</t>
        </is>
      </c>
      <c r="M63" s="4" t="n">
        <v>3</v>
      </c>
      <c r="N63" s="4" t="inlineStr">
        <is>
          <t>Implemented and functionally working; not individually covered by an automated test this session.</t>
        </is>
      </c>
      <c r="O63" s="4" t="inlineStr">
        <is>
          <t>All 4 ACs manually re-verified live against the deployed Azure app, 2026-09-09, and Pass. No defects found for this story.</t>
        </is>
      </c>
    </row>
    <row r="64" ht="55.2" customHeight="1" s="8">
      <c r="A64" s="4" t="inlineStr">
        <is>
          <t>US-010-003</t>
        </is>
      </c>
      <c r="B64" s="4" t="inlineStr">
        <is>
          <t>EP-010</t>
        </is>
      </c>
      <c r="C64" s="4" t="inlineStr">
        <is>
          <t>Task time report</t>
        </is>
      </c>
      <c r="D64" s="4" t="inlineStr">
        <is>
          <t>Administrator</t>
        </is>
      </c>
      <c r="E64" s="4" t="inlineStr">
        <is>
          <t>As an administrator, I want task-time reporting so that I can see actual time spent on work.</t>
        </is>
      </c>
      <c r="F64" s="4" t="n">
        <v>4</v>
      </c>
      <c r="G64" s="4" t="inlineStr">
        <is>
          <t>US-007-002</t>
        </is>
      </c>
      <c r="H64" s="4" t="inlineStr">
        <is>
          <t>Amaan</t>
        </is>
      </c>
      <c r="I64" s="4" t="inlineStr">
        <is>
          <t>Must Have</t>
        </is>
      </c>
      <c r="J64" s="4" t="inlineStr">
        <is>
          <t>MVP</t>
        </is>
      </c>
      <c r="K64" s="4" t="inlineStr">
        <is>
          <t>Week 1</t>
        </is>
      </c>
      <c r="L64" s="4" t="inlineStr">
        <is>
          <t>Done</t>
        </is>
      </c>
      <c r="M64" s="4" t="n">
        <v>3</v>
      </c>
      <c r="N64" s="4" t="inlineStr">
        <is>
          <t>Implemented and functionally working; not individually covered by an automated test this session.</t>
        </is>
      </c>
      <c r="O64" s="4" t="inlineStr">
        <is>
          <t>All 4 ACs manually re-verified live against the deployed Azure app, 2026-09-09, and Pass. No defects found for this story.</t>
        </is>
      </c>
    </row>
    <row r="65" ht="55.2" customHeight="1" s="8">
      <c r="A65" s="4" t="inlineStr">
        <is>
          <t>US-010-004</t>
        </is>
      </c>
      <c r="B65" s="4" t="inlineStr">
        <is>
          <t>EP-010</t>
        </is>
      </c>
      <c r="C65" s="4" t="inlineStr">
        <is>
          <t>Unallocated time report</t>
        </is>
      </c>
      <c r="D65" s="4" t="inlineStr">
        <is>
          <t>Administrator</t>
        </is>
      </c>
      <c r="E65" s="4" t="inlineStr">
        <is>
          <t>As an administrator, I want unallocated-time reporting so that missing task tracking can be identified.</t>
        </is>
      </c>
      <c r="F65" s="4" t="n">
        <v>4</v>
      </c>
      <c r="G65" s="4" t="inlineStr">
        <is>
          <t>US-007-003</t>
        </is>
      </c>
      <c r="H65" s="4" t="inlineStr">
        <is>
          <t>Amaan</t>
        </is>
      </c>
      <c r="I65" s="4" t="inlineStr">
        <is>
          <t>Must Have</t>
        </is>
      </c>
      <c r="J65" s="4" t="inlineStr">
        <is>
          <t>MVP</t>
        </is>
      </c>
      <c r="K65" s="4" t="inlineStr">
        <is>
          <t>Week 1</t>
        </is>
      </c>
      <c r="L65" s="4" t="inlineStr">
        <is>
          <t>Done</t>
        </is>
      </c>
      <c r="M65" s="4" t="n">
        <v>3</v>
      </c>
      <c r="N65" s="4" t="inlineStr">
        <is>
          <t>Implemented and functionally working; not individually covered by an automated test this session.</t>
        </is>
      </c>
      <c r="O65" s="4" t="inlineStr">
        <is>
          <t>All 4 ACs manually re-verified live against the deployed Azure app, 2026-09-09, and Pass. 1 real defect(s) found and fixed during testing: AC-010-004-02 (DEF-019): No control existed to include/exclude zero-unallocated-time days from the unallocated report.</t>
        </is>
      </c>
    </row>
    <row r="66" ht="55.2" customHeight="1" s="8">
      <c r="A66" s="4" t="inlineStr">
        <is>
          <t>US-010-005</t>
        </is>
      </c>
      <c r="B66" s="4" t="inlineStr">
        <is>
          <t>EP-010</t>
        </is>
      </c>
      <c r="C66" s="4" t="inlineStr">
        <is>
          <t>Export report</t>
        </is>
      </c>
      <c r="D66" s="4" t="inlineStr">
        <is>
          <t>Administrator</t>
        </is>
      </c>
      <c r="E66" s="4" t="inlineStr">
        <is>
          <t>As an administrator, I want to export filtered reports so that data can be used outside the application.</t>
        </is>
      </c>
      <c r="F66" s="4" t="n">
        <v>4</v>
      </c>
      <c r="G66" s="4" t="inlineStr">
        <is>
          <t>US-010-001, US-010-003, US-010-004</t>
        </is>
      </c>
      <c r="H66" s="4" t="inlineStr">
        <is>
          <t>Amaan</t>
        </is>
      </c>
      <c r="I66" s="4" t="inlineStr">
        <is>
          <t>Must Have</t>
        </is>
      </c>
      <c r="J66" s="4" t="inlineStr">
        <is>
          <t>MVP</t>
        </is>
      </c>
      <c r="K66" s="4" t="inlineStr">
        <is>
          <t>Week 1</t>
        </is>
      </c>
      <c r="L66" s="4" t="inlineStr">
        <is>
          <t>Done</t>
        </is>
      </c>
      <c r="M66" s="4" t="n">
        <v>3</v>
      </c>
      <c r="N66" s="4" t="inlineStr">
        <is>
          <t>Implemented and functionally working; not individually covered by an automated test this session.</t>
        </is>
      </c>
      <c r="O66" s="4" t="inlineStr">
        <is>
          <t>All 4 ACs manually re-verified live against the deployed Azure app, 2026-09-09, and Pass. 1 real defect(s) found and fixed during testing: AC-010-005-03 (DEF-020): CSV report exports lacked the title/period/generated-timestamp metadata that XLSX exports already had.</t>
        </is>
      </c>
    </row>
    <row r="67" ht="55.2" customHeight="1" s="8">
      <c r="A67" s="4" t="inlineStr">
        <is>
          <t>US-011-001</t>
        </is>
      </c>
      <c r="B67" s="4" t="inlineStr">
        <is>
          <t>EP-011</t>
        </is>
      </c>
      <c r="C67" s="4" t="inlineStr">
        <is>
          <t>Task assignment notification</t>
        </is>
      </c>
      <c r="D67" s="4" t="inlineStr">
        <is>
          <t>Employee</t>
        </is>
      </c>
      <c r="E67" s="4" t="inlineStr">
        <is>
          <t>As an employee, I want to be notified when a task is assigned so that I know new work exists.</t>
        </is>
      </c>
      <c r="F67" s="4" t="n">
        <v>4</v>
      </c>
      <c r="G67" s="4" t="inlineStr">
        <is>
          <t>US-005-003</t>
        </is>
      </c>
      <c r="H67" s="4" t="inlineStr">
        <is>
          <t>Amaan</t>
        </is>
      </c>
      <c r="I67" s="4" t="inlineStr">
        <is>
          <t>Should Have</t>
        </is>
      </c>
      <c r="J67" s="4" t="inlineStr">
        <is>
          <t>R1</t>
        </is>
      </c>
      <c r="K67" s="4" t="inlineStr">
        <is>
          <t>Week 1</t>
        </is>
      </c>
      <c r="L67" s="4" t="inlineStr">
        <is>
          <t>Done</t>
        </is>
      </c>
      <c r="M67" s="4" t="n">
        <v>3</v>
      </c>
      <c r="N67" s="4" t="inlineStr">
        <is>
          <t>All 4 ACs verified live against the deployed Azure app, including waiting for the real production cron to fire on seeded data.</t>
        </is>
      </c>
      <c r="O67" s="4" t="inlineStr">
        <is>
          <t>All 4 ACs manually re-verified live against the deployed Azure app, 2026-09-09, and Pass. No defects found for this story.</t>
        </is>
      </c>
    </row>
    <row r="68" ht="55.2" customHeight="1" s="8">
      <c r="A68" s="4" t="inlineStr">
        <is>
          <t>US-011-002</t>
        </is>
      </c>
      <c r="B68" s="4" t="inlineStr">
        <is>
          <t>EP-011</t>
        </is>
      </c>
      <c r="C68" s="4" t="inlineStr">
        <is>
          <t>Missing clock-out reminder</t>
        </is>
      </c>
      <c r="D68" s="4" t="inlineStr">
        <is>
          <t>Employee</t>
        </is>
      </c>
      <c r="E68" s="4" t="inlineStr">
        <is>
          <t>As an employee, I want a reminder if I appear to have forgotten to clock out so that incomplete attendance is reduced.</t>
        </is>
      </c>
      <c r="F68" s="4" t="n">
        <v>4</v>
      </c>
      <c r="G68" s="4" t="inlineStr">
        <is>
          <t>US-003-001</t>
        </is>
      </c>
      <c r="H68" s="4" t="inlineStr">
        <is>
          <t>Amaan</t>
        </is>
      </c>
      <c r="I68" s="4" t="inlineStr">
        <is>
          <t>Should Have</t>
        </is>
      </c>
      <c r="J68" s="4" t="inlineStr">
        <is>
          <t>R1</t>
        </is>
      </c>
      <c r="K68" s="4" t="inlineStr">
        <is>
          <t>Week 1</t>
        </is>
      </c>
      <c r="L68" s="4" t="inlineStr">
        <is>
          <t>Done</t>
        </is>
      </c>
      <c r="M68" s="4" t="n">
        <v>3</v>
      </c>
      <c r="N68" s="4" t="inlineStr">
        <is>
          <t>All 4 ACs verified live against the deployed Azure app, including waiting for the real production cron to fire on seeded data.</t>
        </is>
      </c>
      <c r="O68" s="4" t="inlineStr">
        <is>
          <t>All 4 ACs manually re-verified live against the deployed Azure app, 2026-09-09, and Pass. 1 real defect(s) found and fixed during testing: AC-011-002-02 (DEF-021): A correction that closed out an attendance session never updated the session's own status field, so it kept matching the missing-clock-out reminder scan indefinitely.</t>
        </is>
      </c>
    </row>
    <row r="69" ht="55.2" customHeight="1" s="8">
      <c r="A69" s="4" t="inlineStr">
        <is>
          <t>US-011-003</t>
        </is>
      </c>
      <c r="B69" s="4" t="inlineStr">
        <is>
          <t>EP-011</t>
        </is>
      </c>
      <c r="C69" s="4" t="inlineStr">
        <is>
          <t>Long-running task timer reminder</t>
        </is>
      </c>
      <c r="D69" s="4" t="inlineStr">
        <is>
          <t>Employee</t>
        </is>
      </c>
      <c r="E69" s="4" t="inlineStr">
        <is>
          <t>As an employee, I want a reminder when a task timer has been running unusually long so that accidental over-recording can be corrected.</t>
        </is>
      </c>
      <c r="F69" s="4" t="n">
        <v>4</v>
      </c>
      <c r="G69" s="4" t="inlineStr">
        <is>
          <t>US-006-001</t>
        </is>
      </c>
      <c r="H69" s="4" t="inlineStr">
        <is>
          <t>Amaan</t>
        </is>
      </c>
      <c r="I69" s="4" t="inlineStr">
        <is>
          <t>Should Have</t>
        </is>
      </c>
      <c r="J69" s="4" t="inlineStr">
        <is>
          <t>R1</t>
        </is>
      </c>
      <c r="K69" s="4" t="inlineStr">
        <is>
          <t>Week 1</t>
        </is>
      </c>
      <c r="L69" s="4" t="inlineStr">
        <is>
          <t>Done</t>
        </is>
      </c>
      <c r="M69" s="4" t="n">
        <v>3</v>
      </c>
      <c r="N69" s="4" t="inlineStr">
        <is>
          <t>All 4 ACs verified live against the deployed Azure app, including waiting for the real production cron to fire on seeded data.</t>
        </is>
      </c>
      <c r="O69" s="4" t="inlineStr">
        <is>
          <t>All 4 ACs manually re-verified live against the deployed Azure app, 2026-09-09, and Pass. No defects found for this story.</t>
        </is>
      </c>
    </row>
    <row r="70" ht="55.2" customHeight="1" s="8">
      <c r="A70" s="4" t="inlineStr">
        <is>
          <t>US-011-004</t>
        </is>
      </c>
      <c r="B70" s="4" t="inlineStr">
        <is>
          <t>EP-011</t>
        </is>
      </c>
      <c r="C70" s="4" t="inlineStr">
        <is>
          <t>Unallocated time reminder</t>
        </is>
      </c>
      <c r="D70" s="4" t="inlineStr">
        <is>
          <t>Employee</t>
        </is>
      </c>
      <c r="E70" s="4" t="inlineStr">
        <is>
          <t>As an employee, I want a reminder when my completed workday has unallocated time so that missing task tracking can be reviewed.</t>
        </is>
      </c>
      <c r="F70" s="4" t="n">
        <v>4</v>
      </c>
      <c r="G70" s="4" t="inlineStr">
        <is>
          <t>US-007-003</t>
        </is>
      </c>
      <c r="H70" s="4" t="inlineStr">
        <is>
          <t>Amaan</t>
        </is>
      </c>
      <c r="I70" s="4" t="inlineStr">
        <is>
          <t>Should Have</t>
        </is>
      </c>
      <c r="J70" s="4" t="inlineStr">
        <is>
          <t>R1</t>
        </is>
      </c>
      <c r="K70" s="4" t="inlineStr">
        <is>
          <t>Week 1</t>
        </is>
      </c>
      <c r="L70" s="4" t="inlineStr">
        <is>
          <t>Done</t>
        </is>
      </c>
      <c r="M70" s="4" t="n">
        <v>3</v>
      </c>
      <c r="N70" s="4" t="inlineStr">
        <is>
          <t>All 4 ACs verified live against the deployed Azure app, including waiting for the real production cron to fire on seeded data.</t>
        </is>
      </c>
      <c r="O70" s="4" t="inlineStr">
        <is>
          <t>All 4 ACs manually re-verified live against the deployed Azure app, 2026-09-09, and Pass. No defects found for this story.</t>
        </is>
      </c>
    </row>
    <row r="71" ht="41.4" customHeight="1" s="8">
      <c r="A71" s="4" t="inlineStr">
        <is>
          <t>US-012-001</t>
        </is>
      </c>
      <c r="B71" s="4" t="inlineStr">
        <is>
          <t>EP-012</t>
        </is>
      </c>
      <c r="C71" s="4" t="inlineStr">
        <is>
          <t>Secure password storage</t>
        </is>
      </c>
      <c r="D71" s="4" t="inlineStr">
        <is>
          <t>Security Administrator</t>
        </is>
      </c>
      <c r="E71" s="4" t="inlineStr">
        <is>
          <t>As a security administrator, I want passwords securely hashed so that credential exposure risk is minimised.</t>
        </is>
      </c>
      <c r="F71" s="4" t="n">
        <v>4</v>
      </c>
      <c r="G71" s="4" t="inlineStr">
        <is>
          <t>US-001-001</t>
        </is>
      </c>
      <c r="H71" s="4" t="inlineStr">
        <is>
          <t>Amaan</t>
        </is>
      </c>
      <c r="I71" s="4" t="inlineStr">
        <is>
          <t>Must Have</t>
        </is>
      </c>
      <c r="J71" s="4" t="inlineStr">
        <is>
          <t>MVP</t>
        </is>
      </c>
      <c r="K71" s="4" t="inlineStr">
        <is>
          <t>Week 1</t>
        </is>
      </c>
      <c r="L71" s="4" t="inlineStr">
        <is>
          <t>Done</t>
        </is>
      </c>
      <c r="M71" s="4" t="n">
        <v>3</v>
      </c>
      <c r="N71" s="4" t="inlineStr">
        <is>
          <t>Argon2id via the `argon2` package; verified indirectly by every e2e login.</t>
        </is>
      </c>
      <c r="O71" s="4" t="inlineStr">
        <is>
          <t>All 4 ACs manually re-verified live against the deployed Azure app, 2026-09-09, and Pass. No defects found for this story.</t>
        </is>
      </c>
    </row>
    <row r="72" ht="55.2" customHeight="1" s="8">
      <c r="A72" s="4" t="inlineStr">
        <is>
          <t>US-012-002</t>
        </is>
      </c>
      <c r="B72" s="4" t="inlineStr">
        <is>
          <t>EP-012</t>
        </is>
      </c>
      <c r="C72" s="4" t="inlineStr">
        <is>
          <t>Authorisation enforcement</t>
        </is>
      </c>
      <c r="D72" s="4" t="inlineStr">
        <is>
          <t>Security Administrator</t>
        </is>
      </c>
      <c r="E72" s="4" t="inlineStr">
        <is>
          <t>As a security administrator, I want server-side role checks so that employees cannot access administrator functions.</t>
        </is>
      </c>
      <c r="F72" s="4" t="n">
        <v>4</v>
      </c>
      <c r="G72" s="4" t="inlineStr">
        <is>
          <t>US-002-004</t>
        </is>
      </c>
      <c r="H72" s="4" t="inlineStr">
        <is>
          <t>Amaan</t>
        </is>
      </c>
      <c r="I72" s="4" t="inlineStr">
        <is>
          <t>Must Have</t>
        </is>
      </c>
      <c r="J72" s="4" t="inlineStr">
        <is>
          <t>MVP</t>
        </is>
      </c>
      <c r="K72" s="4" t="inlineStr">
        <is>
          <t>Week 1</t>
        </is>
      </c>
      <c r="L72" s="4" t="inlineStr">
        <is>
          <t>Done</t>
        </is>
      </c>
      <c r="M72" s="4" t="n">
        <v>3</v>
      </c>
      <c r="N72" s="4" t="inlineStr">
        <is>
          <t>Verified by e2e test: employee blocked (403) from an admin-only endpoint; unauthenticated requests blocked (401).</t>
        </is>
      </c>
      <c r="O72" s="4" t="inlineStr">
        <is>
          <t>All 4 ACs manually re-verified live against the deployed Azure app, 2026-09-09, and Pass. No defects found for this story.</t>
        </is>
      </c>
    </row>
    <row r="73" ht="82.8" customHeight="1" s="8">
      <c r="A73" s="4" t="inlineStr">
        <is>
          <t>US-012-003</t>
        </is>
      </c>
      <c r="B73" s="4" t="inlineStr">
        <is>
          <t>EP-012</t>
        </is>
      </c>
      <c r="C73" s="4" t="inlineStr">
        <is>
          <t>Time integrity</t>
        </is>
      </c>
      <c r="D73" s="4" t="inlineStr">
        <is>
          <t>System Administrator</t>
        </is>
      </c>
      <c r="E73" s="4" t="inlineStr">
        <is>
          <t>As a system administrator, I want server-authoritative time and concurrency safeguards so that attendance/task duration is trustworthy.</t>
        </is>
      </c>
      <c r="F73" s="4" t="n">
        <v>4</v>
      </c>
      <c r="G73" s="4" t="inlineStr">
        <is>
          <t>US-003-001, US-006-001</t>
        </is>
      </c>
      <c r="H73" s="4" t="inlineStr">
        <is>
          <t>Amaan</t>
        </is>
      </c>
      <c r="I73" s="4" t="inlineStr">
        <is>
          <t>Must Have</t>
        </is>
      </c>
      <c r="J73" s="4" t="inlineStr">
        <is>
          <t>MVP</t>
        </is>
      </c>
      <c r="K73" s="4" t="inlineStr">
        <is>
          <t>Week 1</t>
        </is>
      </c>
      <c r="L73" s="4" t="inlineStr">
        <is>
          <t>Done</t>
        </is>
      </c>
      <c r="M73" s="4" t="n">
        <v>3</v>
      </c>
      <c r="N73" s="4" t="inlineStr">
        <is>
          <t>Verified by e2e test: all official timestamps are server-generated; BR-002/BR-003 enforced by Postgres partial unique indexes, not just application logic.</t>
        </is>
      </c>
      <c r="O73" s="4" t="inlineStr">
        <is>
          <t>All 4 ACs manually re-verified live against the deployed Azure app, 2026-09-09, and Pass. No defects found for this story.</t>
        </is>
      </c>
    </row>
    <row r="74" ht="96.59999999999999" customHeight="1" s="8">
      <c r="A74" s="4" t="inlineStr">
        <is>
          <t>US-012-004</t>
        </is>
      </c>
      <c r="B74" s="4" t="inlineStr">
        <is>
          <t>EP-012</t>
        </is>
      </c>
      <c r="C74" s="4" t="inlineStr">
        <is>
          <t>Application logging and monitoring</t>
        </is>
      </c>
      <c r="D74" s="4" t="inlineStr">
        <is>
          <t>Operations Engineer</t>
        </is>
      </c>
      <c r="E74" s="4" t="inlineStr">
        <is>
          <t>As an operations engineer, I want structured logs and health monitoring so that incidents can be diagnosed.</t>
        </is>
      </c>
      <c r="F74" s="4" t="n">
        <v>4</v>
      </c>
      <c r="G74" s="4" t="inlineStr">
        <is>
          <t>None</t>
        </is>
      </c>
      <c r="H74" s="4" t="inlineStr">
        <is>
          <t>Amaan</t>
        </is>
      </c>
      <c r="I74" s="4" t="inlineStr">
        <is>
          <t>Must Have</t>
        </is>
      </c>
      <c r="J74" s="4" t="inlineStr">
        <is>
          <t>MVP</t>
        </is>
      </c>
      <c r="K74" s="4" t="inlineStr">
        <is>
          <t>Week 1</t>
        </is>
      </c>
      <c r="L74" s="4" t="inlineStr">
        <is>
          <t>Done</t>
        </is>
      </c>
      <c r="M74" s="4" t="n">
        <v>3</v>
      </c>
      <c r="N74" s="4" t="inlineStr">
        <is>
          <t>Structured JSON request logging (pino-http) with correlation IDs wired in and manually verified: id round-trips via x-request-id header, passwords/cookies never appear in logs, /health and /ready produce zero log noise.</t>
        </is>
      </c>
      <c r="O74" s="4" t="inlineStr">
        <is>
          <t>All 4 ACs manually re-verified live against the deployed Azure app, 2026-09-09, and Pass. No defects found for this story.</t>
        </is>
      </c>
    </row>
    <row r="75" ht="220.8" customHeight="1" s="8">
      <c r="A75" s="4" t="inlineStr">
        <is>
          <t>US-012-005</t>
        </is>
      </c>
      <c r="B75" s="4" t="inlineStr">
        <is>
          <t>EP-012</t>
        </is>
      </c>
      <c r="C75" s="4" t="inlineStr">
        <is>
          <t>Backup and restore</t>
        </is>
      </c>
      <c r="D75" s="4" t="inlineStr">
        <is>
          <t>Operations Engineer</t>
        </is>
      </c>
      <c r="E75" s="4" t="inlineStr">
        <is>
          <t>As an operations engineer, I want database backups and a tested restore process so that data can be recovered.</t>
        </is>
      </c>
      <c r="F75" s="4" t="n">
        <v>4</v>
      </c>
      <c r="G75" s="4" t="inlineStr">
        <is>
          <t>None</t>
        </is>
      </c>
      <c r="H75" s="4" t="inlineStr">
        <is>
          <t>Amaan</t>
        </is>
      </c>
      <c r="I75" s="4" t="inlineStr">
        <is>
          <t>Must Have</t>
        </is>
      </c>
      <c r="J75" s="4" t="inlineStr">
        <is>
          <t>MVP</t>
        </is>
      </c>
      <c r="K75" s="4" t="inlineStr">
        <is>
          <t>Week 1</t>
        </is>
      </c>
      <c r="L75" s="4" t="inlineStr">
        <is>
          <t>Done</t>
        </is>
      </c>
      <c r="M75" s="4" t="n">
        <v>3</v>
      </c>
      <c r="N75" s="4"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4" t="inlineStr">
        <is>
          <t>All 4 ACs manually re-verified live against the deployed Azure app, 2026-09-09, and Pass. No defects found for this story.</t>
        </is>
      </c>
    </row>
    <row r="76" ht="124.2" customHeight="1" s="8">
      <c r="A76" s="4" t="inlineStr">
        <is>
          <t>US-012-006</t>
        </is>
      </c>
      <c r="B76" s="4" t="inlineStr">
        <is>
          <t>EP-012</t>
        </is>
      </c>
      <c r="C76" s="4" t="inlineStr">
        <is>
          <t>CI/CD quality gates</t>
        </is>
      </c>
      <c r="D76" s="4" t="inlineStr">
        <is>
          <t>Release Manager</t>
        </is>
      </c>
      <c r="E76" s="4" t="inlineStr">
        <is>
          <t>As a release manager, I want automated build, test and security gates so that defective releases are less likely to reach production.</t>
        </is>
      </c>
      <c r="F76" s="4" t="n">
        <v>4</v>
      </c>
      <c r="G76" s="4" t="inlineStr">
        <is>
          <t>None</t>
        </is>
      </c>
      <c r="H76" s="4" t="inlineStr">
        <is>
          <t>Amaan</t>
        </is>
      </c>
      <c r="I76" s="4" t="inlineStr">
        <is>
          <t>Must Have</t>
        </is>
      </c>
      <c r="J76" s="4" t="inlineStr">
        <is>
          <t>MVP</t>
        </is>
      </c>
      <c r="K76" s="4" t="inlineStr">
        <is>
          <t>Week 1</t>
        </is>
      </c>
      <c r="L76" s="4" t="inlineStr">
        <is>
          <t>Done</t>
        </is>
      </c>
      <c r="M76" s="4" t="n">
        <v>3</v>
      </c>
      <c r="N76" s="4" t="inlineStr">
        <is>
          <t>GitHub Actions CI (lint, unit, e2e, both builds, both Docker images) is green on every push. A separate manual-trigger deploy workflow builds/pushes images and updates Azure Container Apps once repo secrets are configured (see DEPLOYMENT.md).</t>
        </is>
      </c>
      <c r="O76" s="4" t="inlineStr">
        <is>
          <t>All 4 ACs manually re-verified live against the deployed Azure app, 2026-09-09, and Pass. No defects found for this story.</t>
        </is>
      </c>
    </row>
    <row r="77">
      <c r="A77" s="9" t="inlineStr">
        <is>
          <t>US-013-001</t>
        </is>
      </c>
      <c r="B77" s="9" t="inlineStr">
        <is>
          <t>EP-013</t>
        </is>
      </c>
      <c r="C77" s="9" t="inlineStr">
        <is>
          <t>Capture Date of Birth and Job Title at creation</t>
        </is>
      </c>
      <c r="D77" s="9" t="inlineStr">
        <is>
          <t>Administrator</t>
        </is>
      </c>
      <c r="E77" s="9" t="inlineStr">
        <is>
          <t>As an administrator, I want to capture an employee's Date of Birth and Job Title when I create their account so that their basic employee record is complete from day one.</t>
        </is>
      </c>
      <c r="F77" s="9" t="n">
        <v>3</v>
      </c>
      <c r="G77" s="9" t="inlineStr">
        <is>
          <t>US-002-001</t>
        </is>
      </c>
      <c r="H77" s="9" t="inlineStr">
        <is>
          <t>Amaan</t>
        </is>
      </c>
      <c r="I77" s="9" t="inlineStr">
        <is>
          <t>Should Have</t>
        </is>
      </c>
      <c r="J77" s="9" t="inlineStr">
        <is>
          <t>R1</t>
        </is>
      </c>
      <c r="K77" s="9" t="inlineStr">
        <is>
          <t>Week 1</t>
        </is>
      </c>
      <c r="L77" s="9" t="inlineStr">
        <is>
          <t>Done</t>
        </is>
      </c>
      <c r="M77" s="9" t="n">
        <v>3</v>
      </c>
      <c r="N77" s="9" t="inlineStr">
        <is>
          <t>See Epic EP-013 notes for full build detail.</t>
        </is>
      </c>
      <c r="O77" s="9" t="inlineStr">
        <is>
          <t>All 3 ACs manually verified live: the Create User form on all three environments (local, staging, production) requires and correctly persists both fields; a real user created on each environment shows the exact values entered back in the User Detail Drawer.</t>
        </is>
      </c>
    </row>
    <row r="78">
      <c r="A78" s="9" t="inlineStr">
        <is>
          <t>US-013-002</t>
        </is>
      </c>
      <c r="B78" s="9" t="inlineStr">
        <is>
          <t>EP-013</t>
        </is>
      </c>
      <c r="C78" s="9" t="inlineStr">
        <is>
          <t>Backfill Date of Birth and Job Title later</t>
        </is>
      </c>
      <c r="D78" s="9" t="inlineStr">
        <is>
          <t>Administrator</t>
        </is>
      </c>
      <c r="E78" s="9" t="inlineStr">
        <is>
          <t>As an administrator, I want to add or edit an existing employee's Date of Birth and Job Title after creation so that bulk-imported users (who don't go through the manual form) can still have a complete record.</t>
        </is>
      </c>
      <c r="F78" s="9" t="n">
        <v>3</v>
      </c>
      <c r="G78" s="9" t="inlineStr">
        <is>
          <t>US-013-001, US-002-001</t>
        </is>
      </c>
      <c r="H78" s="9" t="inlineStr">
        <is>
          <t>Amaan</t>
        </is>
      </c>
      <c r="I78" s="9" t="inlineStr">
        <is>
          <t>Should Have</t>
        </is>
      </c>
      <c r="J78" s="9" t="inlineStr">
        <is>
          <t>R1</t>
        </is>
      </c>
      <c r="K78" s="9" t="inlineStr">
        <is>
          <t>Week 1</t>
        </is>
      </c>
      <c r="L78" s="9" t="inlineStr">
        <is>
          <t>Done</t>
        </is>
      </c>
      <c r="M78" s="9" t="n">
        <v>3</v>
      </c>
      <c r="N78" s="9" t="inlineStr">
        <is>
          <t>See Epic EP-013 notes for full build detail.</t>
        </is>
      </c>
      <c r="O78" s="9" t="inlineStr">
        <is>
          <t>All 3 ACs manually verified live via the User Detail Drawer's existing Profile form, extended with the same two optional fields (adminUpdateUserSchema). Confirmed bulk-imported users have null values until backfilled, matching the explicit scope decision that bulk import itself stays at its existing 6 fields.</t>
        </is>
      </c>
    </row>
    <row r="79">
      <c r="A79" s="9" t="inlineStr">
        <is>
          <t>US-013-003</t>
        </is>
      </c>
      <c r="B79" s="9" t="inlineStr">
        <is>
          <t>EP-013</t>
        </is>
      </c>
      <c r="C79" s="9" t="inlineStr">
        <is>
          <t>Employee maintains their own Personal Details</t>
        </is>
      </c>
      <c r="D79" s="9" t="inlineStr">
        <is>
          <t>Employee</t>
        </is>
      </c>
      <c r="E79" s="9" t="inlineStr">
        <is>
          <t>As an employee, I want to submit a request to update my address, mobile phone, personal email and bank details so that my personal profile stays current, with sensitive changes reviewed by an administrator before they take effect.</t>
        </is>
      </c>
      <c r="F79" s="9" t="n">
        <v>4</v>
      </c>
      <c r="G79" s="9" t="inlineStr">
        <is>
          <t>US-001-003</t>
        </is>
      </c>
      <c r="H79" s="9" t="inlineStr">
        <is>
          <t>Amaan</t>
        </is>
      </c>
      <c r="I79" s="9" t="inlineStr">
        <is>
          <t>Should Have</t>
        </is>
      </c>
      <c r="J79" s="9" t="inlineStr">
        <is>
          <t>R1</t>
        </is>
      </c>
      <c r="K79" s="9" t="inlineStr">
        <is>
          <t>Week 1</t>
        </is>
      </c>
      <c r="L79" s="9" t="inlineStr">
        <is>
          <t>Done</t>
        </is>
      </c>
      <c r="M79" s="9" t="n">
        <v>3</v>
      </c>
      <c r="N79" s="9" t="inlineStr">
        <is>
          <t>See Epic EP-013 notes for full build detail.</t>
        </is>
      </c>
      <c r="O79" s="9" t="inlineStr">
        <is>
          <t>All 4 ACs manually verified live end-to-end (submit as employee -&gt; pending banner blocks resubmission -&gt; admin reviews the real proposed values -&gt; approve applies it / reject leaves the live record untouched). Bank account number confirmed masked to the last 4 digits on every steady-state GET across all three environments, and confirmed the admin review screen is the one place the real value is shown, by design.</t>
        </is>
      </c>
    </row>
    <row r="80">
      <c r="A80" s="9" t="inlineStr">
        <is>
          <t>US-013-004</t>
        </is>
      </c>
      <c r="B80" s="9" t="inlineStr">
        <is>
          <t>EP-013</t>
        </is>
      </c>
      <c r="C80" s="9" t="inlineStr">
        <is>
          <t>Employee maintains their own Emergency Contact</t>
        </is>
      </c>
      <c r="D80" s="9" t="inlineStr">
        <is>
          <t>Employee</t>
        </is>
      </c>
      <c r="E80" s="9" t="inlineStr">
        <is>
          <t>As an employee, I want to submit a request to update my emergency contact's name, relationship and contact details so that the organisation has current information in case of an emergency.</t>
        </is>
      </c>
      <c r="F80" s="9" t="n">
        <v>2</v>
      </c>
      <c r="G80" s="9" t="inlineStr">
        <is>
          <t>US-001-003</t>
        </is>
      </c>
      <c r="H80" s="9" t="inlineStr">
        <is>
          <t>Amaan</t>
        </is>
      </c>
      <c r="I80" s="9" t="inlineStr">
        <is>
          <t>Should Have</t>
        </is>
      </c>
      <c r="J80" s="9" t="inlineStr">
        <is>
          <t>R1</t>
        </is>
      </c>
      <c r="K80" s="9" t="inlineStr">
        <is>
          <t>Week 1</t>
        </is>
      </c>
      <c r="L80" s="9" t="inlineStr">
        <is>
          <t>Done</t>
        </is>
      </c>
      <c r="M80" s="9" t="n">
        <v>3</v>
      </c>
      <c r="N80" s="9" t="inlineStr">
        <is>
          <t>See Epic EP-013 notes for full build detail.</t>
        </is>
      </c>
      <c r="O80" s="9" t="inlineStr">
        <is>
          <t>Both ACs manually verified live - submission requires full name and relationship, other fields optional; the same request/pending/approve flow as Personal Details reused without duplication (shared ProfileChangeRequest model, targetType discriminator).</t>
        </is>
      </c>
    </row>
    <row r="81">
      <c r="A81" s="9" t="inlineStr">
        <is>
          <t>US-013-005</t>
        </is>
      </c>
      <c r="B81" s="9" t="inlineStr">
        <is>
          <t>EP-013</t>
        </is>
      </c>
      <c r="C81" s="9" t="inlineStr">
        <is>
          <t>Administrator reviews profile changes, or edits directly</t>
        </is>
      </c>
      <c r="D81" s="9" t="inlineStr">
        <is>
          <t>Administrator</t>
        </is>
      </c>
      <c r="E81" s="9" t="inlineStr">
        <is>
          <t>As an administrator, I want to see a queue of pending Personal Details / Emergency Contact changes with a current-vs-proposed diff, and separately be able to edit either section directly on an employee's behalf, so that I can control what reaches the live record while still being able to enter data myself when needed.</t>
        </is>
      </c>
      <c r="F81" s="9" t="n">
        <v>5</v>
      </c>
      <c r="G81" s="9" t="inlineStr">
        <is>
          <t>US-013-003, US-013-004</t>
        </is>
      </c>
      <c r="H81" s="9" t="inlineStr">
        <is>
          <t>Amaan</t>
        </is>
      </c>
      <c r="I81" s="9" t="inlineStr">
        <is>
          <t>Should Have</t>
        </is>
      </c>
      <c r="J81" s="9" t="inlineStr">
        <is>
          <t>R1</t>
        </is>
      </c>
      <c r="K81" s="9" t="inlineStr">
        <is>
          <t>Week 1</t>
        </is>
      </c>
      <c r="L81" s="9" t="inlineStr">
        <is>
          <t>Done</t>
        </is>
      </c>
      <c r="M81" s="9" t="n">
        <v>3</v>
      </c>
      <c r="N81" s="9" t="inlineStr">
        <is>
          <t>See Epic EP-013 notes for full build detail.</t>
        </is>
      </c>
      <c r="O81" s="9" t="inlineStr">
        <is>
          <t>All 5 ACs manually verified live, including a real bug found and fixed during this verification pass: the review diff was leaking raw id/userId/createdAt/updatedAt fields as spurious changed-from-nothing rows alongside the real fields, caused by the current-value lookup selecting the full Prisma row instead of just the profile fields - fixed by scoping the select(), re-verified for both target types (Employee Profile and Emergency Contact) before this tracker entry was written. Admin-direct edits confirmed to apply immediately and still produce an already-approved history row.</t>
        </is>
      </c>
    </row>
    <row r="82">
      <c r="A82" s="9" t="inlineStr">
        <is>
          <t>US-013-006</t>
        </is>
      </c>
      <c r="B82" s="9" t="inlineStr">
        <is>
          <t>EP-013</t>
        </is>
      </c>
      <c r="C82" s="9" t="inlineStr">
        <is>
          <t>Upload and view compliance documents</t>
        </is>
      </c>
      <c r="D82" s="9" t="inlineStr">
        <is>
          <t>Employee/Administrator</t>
        </is>
      </c>
      <c r="E82" s="9" t="inlineStr">
        <is>
          <t>As an employee or administrator, I want to upload and view compliance documents (passport, right-to-work, eVisa, CV, education certificates, etc.) against an employee's record, restricted to that employee and administrators only, so that HR-sensitive files are stored securely and never exposed to the wrong audience.</t>
        </is>
      </c>
      <c r="F82" s="9" t="n">
        <v>5</v>
      </c>
      <c r="G82" s="9" t="inlineStr">
        <is>
          <t>US-002-001</t>
        </is>
      </c>
      <c r="H82" s="9" t="inlineStr">
        <is>
          <t>Amaan</t>
        </is>
      </c>
      <c r="I82" s="9" t="inlineStr">
        <is>
          <t>Should Have</t>
        </is>
      </c>
      <c r="J82" s="9" t="inlineStr">
        <is>
          <t>R1</t>
        </is>
      </c>
      <c r="K82" s="9" t="inlineStr">
        <is>
          <t>Week 1</t>
        </is>
      </c>
      <c r="L82" s="9" t="inlineStr">
        <is>
          <t>Done</t>
        </is>
      </c>
      <c r="M82" s="9" t="n">
        <v>3</v>
      </c>
      <c r="N82" s="9" t="inlineStr">
        <is>
          <t>See Epic EP-013 notes for full build detail.</t>
        </is>
      </c>
      <c r="O82" s="9" t="inlineStr">
        <is>
          <t>All 5 ACs manually verified live with real files against real Azure Blob Storage on all three environments - upload, byte-identical download (confirmed via direct diff), mimetype+extension allowlist rejecting a renamed executable, a second employee blocked (403) from another employee's documents, and the Auditor role confirmed blocked (403) on every document route with zero new guard code needed (the existing global AuditorScopeGuard default-denies it).</t>
        </is>
      </c>
    </row>
    <row r="83">
      <c r="A83" s="9" t="inlineStr">
        <is>
          <t>US-013-007</t>
        </is>
      </c>
      <c r="B83" s="9" t="inlineStr">
        <is>
          <t>EP-013</t>
        </is>
      </c>
      <c r="C83" s="9" t="inlineStr">
        <is>
          <t>Administrator removes an incorrectly uploaded document</t>
        </is>
      </c>
      <c r="D83" s="9" t="inlineStr">
        <is>
          <t>Administrator</t>
        </is>
      </c>
      <c r="E83" s="9" t="inlineStr">
        <is>
          <t>As an administrator, I want to remove a document that was uploaded in error, while the employee themself cannot delete their own documents, so that compliance-document integrity is preserved and mistakes are still correctable.</t>
        </is>
      </c>
      <c r="F83" s="9" t="n">
        <v>3</v>
      </c>
      <c r="G83" s="9" t="inlineStr">
        <is>
          <t>US-013-006</t>
        </is>
      </c>
      <c r="H83" s="9" t="inlineStr">
        <is>
          <t>Amaan</t>
        </is>
      </c>
      <c r="I83" s="9" t="inlineStr">
        <is>
          <t>Should Have</t>
        </is>
      </c>
      <c r="J83" s="9" t="inlineStr">
        <is>
          <t>R1</t>
        </is>
      </c>
      <c r="K83" s="9" t="inlineStr">
        <is>
          <t>Week 1</t>
        </is>
      </c>
      <c r="L83" s="9" t="inlineStr">
        <is>
          <t>Done</t>
        </is>
      </c>
      <c r="M83" s="9" t="n">
        <v>3</v>
      </c>
      <c r="N83" s="9" t="inlineStr">
        <is>
          <t>See Epic EP-013 notes for full build detail.</t>
        </is>
      </c>
      <c r="O83" s="9" t="inlineStr">
        <is>
          <t>All 3 ACs manually verified live: an employee's own DELETE attempt on their own document 403s; an admin delete soft-deletes the row (audit trail preserved, matching this app's convention of never hard-deleting anywhere) and the underlying blob is confirmed purged immediately via a direct `az storage blob exists` check returning false; a deleted document disappears from listings and 404s on direct download.</t>
        </is>
      </c>
    </row>
    <row r="84">
      <c r="A84" s="9" t="inlineStr">
        <is>
          <t>US-013-008</t>
        </is>
      </c>
      <c r="B84" s="9" t="inlineStr">
        <is>
          <t>EP-013</t>
        </is>
      </c>
      <c r="C84" s="9" t="inlineStr">
        <is>
          <t>Employee requests document deletion, subject to admin approval</t>
        </is>
      </c>
      <c r="D84" s="9" t="inlineStr">
        <is>
          <t>Employee/Administrator</t>
        </is>
      </c>
      <c r="E84" s="9" t="inlineStr">
        <is>
          <t>As an employee, I want to request deletion of a document I uploaded in error, and as an administrator, I want to review and approve or reject that request, so that mistakes are correctable without giving employees unrestricted delete power over compliance documents.</t>
        </is>
      </c>
      <c r="F84" s="9" t="n">
        <v>5</v>
      </c>
      <c r="G84" s="9" t="inlineStr">
        <is>
          <t>US-013-006, US-013-007</t>
        </is>
      </c>
      <c r="H84" s="9" t="inlineStr">
        <is>
          <t>Amaan</t>
        </is>
      </c>
      <c r="I84" s="9" t="inlineStr">
        <is>
          <t>Should Have</t>
        </is>
      </c>
      <c r="J84" s="9" t="inlineStr">
        <is>
          <t>R1</t>
        </is>
      </c>
      <c r="K84" s="9" t="inlineStr">
        <is>
          <t>Week 1</t>
        </is>
      </c>
      <c r="L84" s="9" t="inlineStr">
        <is>
          <t>Done</t>
        </is>
      </c>
      <c r="M84" s="9" t="n">
        <v>3</v>
      </c>
      <c r="N84" s="9" t="inlineStr">
        <is>
          <t>New DocumentDeletionRequest model mirroring ProfileChangeRequest's request -&gt; pending -&gt; decide shape (dedicated DocumentDeletionStatus enum, not a reuse of ProfileChangeStatus). Employee-facing POST /users/:id/documents/:documentId/deletion-request lives on the existing DocumentsController; admin-facing GET /document-deletion-requests/pending and POST /:id/decide live in a new sibling module that injects DocumentsService and reuses its remove() method as-is on approve (same soft-delete + blob-purge + DOCUMENT_DELETED audit logic, no duplication). A direct admin delete on a document with a pending request auto-resolves that request (APPROVED, decisionComment 'Resolved via direct admin deletion') so it can never orphan. New admin/document-deletions review page mirrors admin/corrections' list+Drawer shape (no diff view needed - just document identity + reason + Approve/Reject).</t>
        </is>
      </c>
      <c r="O84" s="9" t="inlineStr">
        <is>
          <t>First real test coverage for this subsystem (EP-013 originally shipped with none) - 5 new unit tests + 8 new e2e tests, all passing. Caught and fixed two real bugs during this pass, both before reaching production: (1) the new e2e tests silently relied on real Azure staging credentials leaking in via Prisma Client's own .env auto-load, which CI correctly doesn't have - fixed by overriding BlobStorageService with an in-memory fake in the e2e test module, verified by rerunning locally with .env hidden to reproduce CI's exact condition; (2) adding a login call for the cross-employee 403 test pushed the suite's total /auth/login calls past its existing 10-per-60s rate limit, breaking an unrelated later test - fixed by reusing an already-authenticated second employee agent instead of logging in a fresh one. Live-verified end-to-end on all three environments: local (real browser walk - upload, request, amber 'Deletion requested' badge, approve from the review page, blob confirmed purged via 404 on direct download, full audit trail), Staging (Deploy Staging #34, same real browser walk against a live document), and Production (Deploy for commit 5c71bd8 - migration applied directly by the user after the permission classifier correctly blocked automated production DB writes, same real browser walk repeated and passed, full audit trail confirmed: DOCUMENT_DELETION_REQUESTED -&gt; DOCUMENT_DELETION_APPROVED + DOCUMENT_DELETED).</t>
        </is>
      </c>
    </row>
  </sheetData>
  <conditionalFormatting sqref="L2:L76">
    <cfRule type="expression" priority="1" dxfId="1">
      <formula>L2="Done"</formula>
    </cfRule>
    <cfRule type="expression" priority="2" dxfId="0">
      <formula>L2="Blocked"</formula>
    </cfRule>
    <cfRule type="expression" priority="3" dxfId="4">
      <formula>L2="In Progress"</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31"/>
  <sheetViews>
    <sheetView tabSelected="1" topLeftCell="I15" zoomScale="70" workbookViewId="0">
      <selection activeCell="K18" sqref="K18"/>
    </sheetView>
  </sheetViews>
  <sheetFormatPr baseColWidth="8" defaultRowHeight="13.8"/>
  <cols>
    <col width="17" customWidth="1" style="8" min="1" max="1"/>
    <col width="15" customWidth="1" style="8" min="2" max="2"/>
    <col width="12" customWidth="1" style="8" min="3" max="3"/>
    <col width="70" customWidth="1" style="8" min="4" max="4"/>
    <col width="16" customWidth="1" style="8" min="5" max="6"/>
    <col width="30" customWidth="1" style="8" min="7" max="7"/>
    <col width="14" customWidth="1" style="8" min="8" max="8"/>
    <col width="16" customWidth="1" style="8" min="9" max="10"/>
    <col width="255.3984375" customWidth="1" style="8" min="11" max="11"/>
  </cols>
  <sheetData>
    <row r="1" ht="24" customHeight="1" s="8">
      <c r="A1" s="1" t="inlineStr">
        <is>
          <t>AC ID</t>
        </is>
      </c>
      <c r="B1" s="2" t="inlineStr">
        <is>
          <t>Story ID</t>
        </is>
      </c>
      <c r="C1" s="2" t="inlineStr">
        <is>
          <t>Epic ID</t>
        </is>
      </c>
      <c r="D1" s="2" t="inlineStr">
        <is>
          <t>Acceptance Criterion</t>
        </is>
      </c>
      <c r="E1" s="2" t="inlineStr">
        <is>
          <t>Test Case ID</t>
        </is>
      </c>
      <c r="F1" s="2" t="inlineStr">
        <is>
          <t>Test Status</t>
        </is>
      </c>
      <c r="G1" s="2" t="inlineStr">
        <is>
          <t>Evidence / Link</t>
        </is>
      </c>
      <c r="H1" s="2" t="inlineStr">
        <is>
          <t>Defect ID</t>
        </is>
      </c>
      <c r="I1" s="2" t="inlineStr">
        <is>
          <t>Tester</t>
        </is>
      </c>
      <c r="J1" s="2" t="inlineStr">
        <is>
          <t>Test Cycle</t>
        </is>
      </c>
      <c r="K1" s="2" t="inlineStr">
        <is>
          <t>Comments</t>
        </is>
      </c>
    </row>
    <row r="2" ht="27.6" customHeight="1" s="8">
      <c r="A2" s="3" t="inlineStr">
        <is>
          <t>AC-001-001-01</t>
        </is>
      </c>
      <c r="B2" s="3" t="inlineStr">
        <is>
          <t>US-001-001</t>
        </is>
      </c>
      <c r="C2" s="3" t="inlineStr">
        <is>
          <t>EP-001</t>
        </is>
      </c>
      <c r="D2" s="3" t="inlineStr">
        <is>
          <t>Registration captures first name, surname, email, phone number and password.</t>
        </is>
      </c>
      <c r="E2" s="3" t="n"/>
      <c r="F2" s="3" t="inlineStr">
        <is>
          <t>Pass</t>
        </is>
      </c>
      <c r="G2" s="3" t="n"/>
      <c r="H2" s="3" t="n"/>
      <c r="I2" s="3" t="inlineStr">
        <is>
          <t>Claude (AI Engineer)</t>
        </is>
      </c>
      <c r="J2" s="3" t="inlineStr">
        <is>
          <t>SIT</t>
        </is>
      </c>
      <c r="K2" s="3"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is>
      </c>
    </row>
    <row r="3" ht="27.6" customHeight="1" s="8">
      <c r="A3" s="3" t="inlineStr">
        <is>
          <t>AC-001-001-02</t>
        </is>
      </c>
      <c r="B3" s="3" t="inlineStr">
        <is>
          <t>US-001-001</t>
        </is>
      </c>
      <c r="C3" s="3" t="inlineStr">
        <is>
          <t>EP-001</t>
        </is>
      </c>
      <c r="D3" s="3" t="inlineStr">
        <is>
          <t>Email address must be unique and valid.</t>
        </is>
      </c>
      <c r="E3" s="3" t="n"/>
      <c r="F3" s="3" t="inlineStr">
        <is>
          <t>Pass</t>
        </is>
      </c>
      <c r="G3" s="3" t="n"/>
      <c r="H3" s="3" t="n"/>
      <c r="I3" s="3" t="inlineStr">
        <is>
          <t>Claude (AI Engineer)</t>
        </is>
      </c>
      <c r="J3" s="3" t="inlineStr">
        <is>
          <t>SIT</t>
        </is>
      </c>
      <c r="K3" s="3" t="inlineStr">
        <is>
          <t>Live test 2026-09-08: invalid email format (not-an-email) -&gt; 400 field error; duplicate email -&gt; 409 (existing e2e test). | Manually re-verified live in-browser on the deployed Azure app, 2026-09-09 (driven step-by-step, observed directly) - confirmed.</t>
        </is>
      </c>
    </row>
    <row r="4" ht="27.6" customHeight="1" s="8">
      <c r="A4" s="3" t="inlineStr">
        <is>
          <t>AC-001-001-03</t>
        </is>
      </c>
      <c r="B4" s="3" t="inlineStr">
        <is>
          <t>US-001-001</t>
        </is>
      </c>
      <c r="C4" s="3" t="inlineStr">
        <is>
          <t>EP-001</t>
        </is>
      </c>
      <c r="D4" s="3" t="inlineStr">
        <is>
          <t>Password must meet configured password policy.</t>
        </is>
      </c>
      <c r="E4" s="3" t="n"/>
      <c r="F4" s="3" t="inlineStr">
        <is>
          <t>Pass</t>
        </is>
      </c>
      <c r="G4" s="3" t="n"/>
      <c r="H4" s="3" t="n"/>
      <c r="I4" s="3" t="inlineStr">
        <is>
          <t>Claude (AI Engineer)</t>
        </is>
      </c>
      <c r="J4" s="3" t="inlineStr">
        <is>
          <t>SIT</t>
        </is>
      </c>
      <c r="K4" s="3" t="inlineStr">
        <is>
          <t>Live test 2026-09-08: POST /auth/register with password "weak" -&gt; 400, field errors listing the unmet policy rules. | Manually re-verified live in-browser on the deployed Azure app, 2026-09-09 (driven step-by-step, observed directly) - confirmed.</t>
        </is>
      </c>
    </row>
    <row r="5" ht="27.6" customHeight="1" s="8">
      <c r="A5" s="3" t="inlineStr">
        <is>
          <t>AC-001-001-04</t>
        </is>
      </c>
      <c r="B5" s="3" t="inlineStr">
        <is>
          <t>US-001-001</t>
        </is>
      </c>
      <c r="C5" s="3" t="inlineStr">
        <is>
          <t>EP-001</t>
        </is>
      </c>
      <c r="D5" s="3" t="inlineStr">
        <is>
          <t>Successful registration creates a user with the configured initial status (Pending or Active).</t>
        </is>
      </c>
      <c r="E5" s="3" t="n"/>
      <c r="F5" s="3" t="inlineStr">
        <is>
          <t>Pass</t>
        </is>
      </c>
      <c r="G5" s="3" t="n"/>
      <c r="H5" s="3" t="n"/>
      <c r="I5" s="3" t="inlineStr">
        <is>
          <t>Claude (AI Engineer)</t>
        </is>
      </c>
      <c r="J5" s="3" t="inlineStr">
        <is>
          <t>SIT</t>
        </is>
      </c>
      <c r="K5" s="3" t="inlineStr">
        <is>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is>
      </c>
    </row>
    <row r="6" ht="27.6" customHeight="1" s="8">
      <c r="A6" s="3" t="inlineStr">
        <is>
          <t>AC-001-002-01</t>
        </is>
      </c>
      <c r="B6" s="3" t="inlineStr">
        <is>
          <t>US-001-002</t>
        </is>
      </c>
      <c r="C6" s="3" t="inlineStr">
        <is>
          <t>EP-001</t>
        </is>
      </c>
      <c r="D6" s="3" t="inlineStr">
        <is>
          <t>Pending users are visible in an administrator queue.</t>
        </is>
      </c>
      <c r="E6" s="3" t="n"/>
      <c r="F6" s="3" t="inlineStr">
        <is>
          <t>Pass</t>
        </is>
      </c>
      <c r="G6" s="3" t="n"/>
      <c r="H6" s="3" t="n"/>
      <c r="I6" s="3" t="inlineStr">
        <is>
          <t>Claude (AI Engineer)</t>
        </is>
      </c>
      <c r="J6" s="3" t="inlineStr">
        <is>
          <t>SIT</t>
        </is>
      </c>
      <c r="K6" s="3" t="inlineStr">
        <is>
          <t>Existing e2e test: GET /users?status=PENDING returns exactly the newly-registered pending user. | Manually re-verified live in-browser on the deployed Azure app, 2026-09-09 (driven step-by-step, observed directly) - confirmed.</t>
        </is>
      </c>
    </row>
    <row r="7" ht="41.4" customHeight="1" s="8">
      <c r="A7" s="3" t="inlineStr">
        <is>
          <t>AC-001-002-02</t>
        </is>
      </c>
      <c r="B7" s="3" t="inlineStr">
        <is>
          <t>US-001-002</t>
        </is>
      </c>
      <c r="C7" s="3" t="inlineStr">
        <is>
          <t>EP-001</t>
        </is>
      </c>
      <c r="D7" s="3" t="inlineStr">
        <is>
          <t>Only authorised administrators can approve or reject.</t>
        </is>
      </c>
      <c r="E7" s="3" t="n"/>
      <c r="F7" s="3" t="inlineStr">
        <is>
          <t>Pass</t>
        </is>
      </c>
      <c r="G7" s="3" t="n"/>
      <c r="H7" s="3" t="n"/>
      <c r="I7" s="3" t="inlineStr">
        <is>
          <t>Claude (AI Engineer)</t>
        </is>
      </c>
      <c r="J7" s="3" t="inlineStr">
        <is>
          <t>SIT</t>
        </is>
      </c>
      <c r="K7" s="3" t="inlineStr">
        <is>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is>
      </c>
    </row>
    <row r="8" ht="27.6" customHeight="1" s="8">
      <c r="A8" s="3" t="inlineStr">
        <is>
          <t>AC-001-002-03</t>
        </is>
      </c>
      <c r="B8" s="3" t="inlineStr">
        <is>
          <t>US-001-002</t>
        </is>
      </c>
      <c r="C8" s="3" t="inlineStr">
        <is>
          <t>EP-001</t>
        </is>
      </c>
      <c r="D8" s="3" t="inlineStr">
        <is>
          <t>Approval activates the user and records approver/date.</t>
        </is>
      </c>
      <c r="E8" s="3" t="n"/>
      <c r="F8" s="3" t="inlineStr">
        <is>
          <t>Pass</t>
        </is>
      </c>
      <c r="G8" s="3" t="n"/>
      <c r="H8" s="3" t="n"/>
      <c r="I8" s="3" t="inlineStr">
        <is>
          <t>Claude (AI Engineer)</t>
        </is>
      </c>
      <c r="J8" s="3" t="inlineStr">
        <is>
          <t>SIT</t>
        </is>
      </c>
      <c r="K8" s="3" t="inlineStr">
        <is>
          <t>Live test 2026-09-08: admin approve response includes status=ACTIVE, approvedById=&lt;admin user id&gt;, approvedAt=&lt;real timestamp&gt;. | Manually re-verified live in-browser on the deployed Azure app, 2026-09-09 (driven step-by-step, observed directly) - confirmed.</t>
        </is>
      </c>
    </row>
    <row r="9" ht="27.6" customHeight="1" s="8">
      <c r="A9" s="3" t="inlineStr">
        <is>
          <t>AC-001-002-04</t>
        </is>
      </c>
      <c r="B9" s="3" t="inlineStr">
        <is>
          <t>US-001-002</t>
        </is>
      </c>
      <c r="C9" s="3" t="inlineStr">
        <is>
          <t>EP-001</t>
        </is>
      </c>
      <c r="D9" s="3" t="inlineStr">
        <is>
          <t>Rejected users cannot sign in unless later reactivated.</t>
        </is>
      </c>
      <c r="E9" s="3" t="n"/>
      <c r="F9" s="3" t="inlineStr">
        <is>
          <t>Pass</t>
        </is>
      </c>
      <c r="G9" s="3" t="n"/>
      <c r="H9" s="3" t="n"/>
      <c r="I9" s="3" t="inlineStr">
        <is>
          <t>Claude (AI Engineer)</t>
        </is>
      </c>
      <c r="J9" s="3" t="inlineStr">
        <is>
          <t>SIT</t>
        </is>
      </c>
      <c r="K9" s="3" t="inlineStr">
        <is>
          <t>Live test 2026-09-08: rejected user login -&gt; 401; after admin reactivation (status=ACTIVE) -&gt; 200. | Manually re-verified live in-browser on the deployed Azure app, 2026-09-09 (driven step-by-step, observed directly) - confirmed.</t>
        </is>
      </c>
    </row>
    <row r="10" ht="27.6" customHeight="1" s="8">
      <c r="A10" s="3" t="inlineStr">
        <is>
          <t>AC-001-003-01</t>
        </is>
      </c>
      <c r="B10" s="3" t="inlineStr">
        <is>
          <t>US-001-003</t>
        </is>
      </c>
      <c r="C10" s="3" t="inlineStr">
        <is>
          <t>EP-001</t>
        </is>
      </c>
      <c r="D10" s="3" t="inlineStr">
        <is>
          <t>Login accepts email and password.</t>
        </is>
      </c>
      <c r="E10" s="3" t="n"/>
      <c r="F10" s="3" t="inlineStr">
        <is>
          <t>Pass</t>
        </is>
      </c>
      <c r="G10" s="3" t="n"/>
      <c r="H10" s="3" t="n"/>
      <c r="I10" s="3" t="inlineStr">
        <is>
          <t>Claude (AI Engineer)</t>
        </is>
      </c>
      <c r="J10" s="3" t="inlineStr">
        <is>
          <t>SIT</t>
        </is>
      </c>
      <c r="K10" s="3" t="inlineStr">
        <is>
          <t>Live test 2026-09-08: POST /auth/login with email+password -&gt; 200 (also existing e2e coverage). | Manually re-verified live in-browser on the deployed Azure app, 2026-09-09 (driven step-by-step, observed directly) - confirmed.</t>
        </is>
      </c>
    </row>
    <row r="11" ht="27.6" customHeight="1" s="8">
      <c r="A11" s="3" t="inlineStr">
        <is>
          <t>AC-001-003-02</t>
        </is>
      </c>
      <c r="B11" s="3" t="inlineStr">
        <is>
          <t>US-001-003</t>
        </is>
      </c>
      <c r="C11" s="3" t="inlineStr">
        <is>
          <t>EP-001</t>
        </is>
      </c>
      <c r="D11" s="3" t="inlineStr">
        <is>
          <t>Invalid credentials return a generic error.</t>
        </is>
      </c>
      <c r="E11" s="3" t="n"/>
      <c r="F11" s="3" t="inlineStr">
        <is>
          <t>Pass</t>
        </is>
      </c>
      <c r="G11" s="3" t="n"/>
      <c r="H11" s="3" t="n"/>
      <c r="I11" s="3" t="inlineStr">
        <is>
          <t>Claude (AI Engineer)</t>
        </is>
      </c>
      <c r="J11" s="3" t="inlineStr">
        <is>
          <t>SIT</t>
        </is>
      </c>
      <c r="K11" s="3" t="inlineStr">
        <is>
          <t>Live test 2026-09-08: wrong-password and nonexistent-email logins return identical 401 "Invalid email or password" - no account-existence leak. | Manually re-verified live in-browser on the deployed Azure app, 2026-09-09 (driven step-by-step, observed directly) - confirmed.</t>
        </is>
      </c>
    </row>
    <row r="12" ht="27.6" customHeight="1" s="8">
      <c r="A12" s="3" t="inlineStr">
        <is>
          <t>AC-001-003-03</t>
        </is>
      </c>
      <c r="B12" s="3" t="inlineStr">
        <is>
          <t>US-001-003</t>
        </is>
      </c>
      <c r="C12" s="3" t="inlineStr">
        <is>
          <t>EP-001</t>
        </is>
      </c>
      <c r="D12" s="3" t="inlineStr">
        <is>
          <t>Successful login creates an authenticated session using secure cookies/tokens.</t>
        </is>
      </c>
      <c r="E12" s="3" t="n"/>
      <c r="F12" s="3" t="inlineStr">
        <is>
          <t>Pass</t>
        </is>
      </c>
      <c r="G12" s="3" t="n"/>
      <c r="H12" s="3" t="n"/>
      <c r="I12" s="3" t="inlineStr">
        <is>
          <t>Claude (AI Engineer)</t>
        </is>
      </c>
      <c r="J12" s="3" t="inlineStr">
        <is>
          <t>SIT</t>
        </is>
      </c>
      <c r="K12" s="3" t="inlineStr">
        <is>
          <t>Live test 2026-09-08: login Set-Cookie headers confirmed atms_access and atms_refresh both HttpOnly; Secure; SameSite=None. | Manually re-verified live in-browser on the deployed Azure app, 2026-09-09 (driven step-by-step, observed directly) - confirmed.</t>
        </is>
      </c>
    </row>
    <row r="13" ht="27.6" customHeight="1" s="8">
      <c r="A13" s="3" t="inlineStr">
        <is>
          <t>AC-001-003-04</t>
        </is>
      </c>
      <c r="B13" s="3" t="inlineStr">
        <is>
          <t>US-001-003</t>
        </is>
      </c>
      <c r="C13" s="3" t="inlineStr">
        <is>
          <t>EP-001</t>
        </is>
      </c>
      <c r="D13" s="3" t="inlineStr">
        <is>
          <t>Inactive, suspended or rejected accounts cannot access protected screens.</t>
        </is>
      </c>
      <c r="E13" s="3" t="n"/>
      <c r="F13" s="3" t="inlineStr">
        <is>
          <t>Pass</t>
        </is>
      </c>
      <c r="G13" s="3" t="n"/>
      <c r="H13" s="3" t="n"/>
      <c r="I13" s="3" t="inlineStr">
        <is>
          <t>Claude (AI Engineer)</t>
        </is>
      </c>
      <c r="J13" s="3" t="inlineStr">
        <is>
          <t>SIT</t>
        </is>
      </c>
      <c r="K13" s="3" t="inlineStr">
        <is>
          <t>Live test 2026-09-08: login attempt against a SUSPENDED account -&gt; 401 "Account is suspended" (existing e2e test covers PENDING specifically; this covers SUSPENDED). | Manually re-verified live in-browser on the deployed Azure app, 2026-09-09 (driven step-by-step, observed directly) - confirmed.</t>
        </is>
      </c>
    </row>
    <row r="14" ht="27.6" customHeight="1" s="8">
      <c r="A14" s="3" t="inlineStr">
        <is>
          <t>AC-001-004-01</t>
        </is>
      </c>
      <c r="B14" s="3" t="inlineStr">
        <is>
          <t>US-001-004</t>
        </is>
      </c>
      <c r="C14" s="3" t="inlineStr">
        <is>
          <t>EP-001</t>
        </is>
      </c>
      <c r="D14" s="3" t="inlineStr">
        <is>
          <t>Logout invalidates the active application session.</t>
        </is>
      </c>
      <c r="E14" s="3" t="n"/>
      <c r="F14" s="3" t="inlineStr">
        <is>
          <t>Pass</t>
        </is>
      </c>
      <c r="G14" s="3" t="n"/>
      <c r="H14" s="3" t="n"/>
      <c r="I14" s="3" t="inlineStr">
        <is>
          <t>Claude (AI Engineer)</t>
        </is>
      </c>
      <c r="J14" s="3" t="inlineStr">
        <is>
          <t>SIT</t>
        </is>
      </c>
      <c r="K14" s="3" t="inlineStr">
        <is>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is>
      </c>
    </row>
    <row r="15" ht="27.6" customHeight="1" s="8">
      <c r="A15" s="3" t="inlineStr">
        <is>
          <t>AC-001-004-02</t>
        </is>
      </c>
      <c r="B15" s="3" t="inlineStr">
        <is>
          <t>US-001-004</t>
        </is>
      </c>
      <c r="C15" s="3" t="inlineStr">
        <is>
          <t>EP-001</t>
        </is>
      </c>
      <c r="D15" s="3" t="inlineStr">
        <is>
          <t>Protected pages cannot be accessed after logout without re-authentication.</t>
        </is>
      </c>
      <c r="E15" s="3" t="n"/>
      <c r="F15" s="3" t="inlineStr">
        <is>
          <t>Pass</t>
        </is>
      </c>
      <c r="G15" s="3" t="n"/>
      <c r="H15" s="3" t="n"/>
      <c r="I15" s="3" t="inlineStr">
        <is>
          <t>Claude (AI Engineer)</t>
        </is>
      </c>
      <c r="J15" s="3" t="inlineStr">
        <is>
          <t>SIT</t>
        </is>
      </c>
      <c r="K15" s="3" t="inlineStr">
        <is>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is>
      </c>
    </row>
    <row r="16" ht="27.6" customHeight="1" s="8">
      <c r="A16" s="3" t="inlineStr">
        <is>
          <t>AC-001-004-03</t>
        </is>
      </c>
      <c r="B16" s="3" t="inlineStr">
        <is>
          <t>US-001-004</t>
        </is>
      </c>
      <c r="C16" s="3" t="inlineStr">
        <is>
          <t>EP-001</t>
        </is>
      </c>
      <c r="D16" s="3" t="inlineStr">
        <is>
          <t>Logout is available from the main navigation.</t>
        </is>
      </c>
      <c r="E16" s="3" t="n"/>
      <c r="F16" s="3" t="inlineStr">
        <is>
          <t>Pass</t>
        </is>
      </c>
      <c r="G16" s="3" t="n"/>
      <c r="H16" s="3" t="n"/>
      <c r="I16" s="3" t="inlineStr">
        <is>
          <t>Claude (AI Engineer)</t>
        </is>
      </c>
      <c r="J16" s="3" t="inlineStr">
        <is>
          <t>SIT</t>
        </is>
      </c>
      <c r="K16" s="3" t="inlineStr">
        <is>
          <t>Confirmed live: "Log out" button present in both desktop sidebar and mobile nav on every authenticated page. | Manually re-verified live in-browser on the deployed Azure app, 2026-09-09 (driven step-by-step, observed directly) - confirmed.</t>
        </is>
      </c>
    </row>
    <row r="17" ht="46.2" customHeight="1" s="8">
      <c r="A17" s="3" t="inlineStr">
        <is>
          <t>AC-001-004-04</t>
        </is>
      </c>
      <c r="B17" s="3" t="inlineStr">
        <is>
          <t>US-001-004</t>
        </is>
      </c>
      <c r="C17" s="3" t="inlineStr">
        <is>
          <t>EP-001</t>
        </is>
      </c>
      <c r="D17" s="3" t="inlineStr">
        <is>
          <t>Logout does not alter attendance or task timer records.</t>
        </is>
      </c>
      <c r="E17" s="3" t="n"/>
      <c r="F17" s="3" t="inlineStr">
        <is>
          <t>Pass</t>
        </is>
      </c>
      <c r="G17" s="3" t="n"/>
      <c r="H17" s="3" t="n"/>
      <c r="I17" s="3" t="inlineStr">
        <is>
          <t>Claude (AI Engineer)</t>
        </is>
      </c>
      <c r="J17" s="3" t="inlineStr">
        <is>
          <t>SIT</t>
        </is>
      </c>
      <c r="K17" s="3" t="inlineStr">
        <is>
          <t>Live test 2026-09-08: attendance session id, active timer id, and state identical before logout and after re-login. | Manually re-verified live in-browser on the deployed Azure app, 2026-09-09 (driven step-by-step, observed directly) - confirmed.</t>
        </is>
      </c>
    </row>
    <row r="18" ht="39.6" customHeight="1" s="8">
      <c r="A18" s="3" t="inlineStr">
        <is>
          <t>AC-001-005-01</t>
        </is>
      </c>
      <c r="B18" s="3" t="inlineStr">
        <is>
          <t>US-001-005</t>
        </is>
      </c>
      <c r="C18" s="3" t="inlineStr">
        <is>
          <t>EP-001</t>
        </is>
      </c>
      <c r="D18" s="3" t="inlineStr">
        <is>
          <t>User can submit an email address for reset.</t>
        </is>
      </c>
      <c r="E18" s="3" t="n"/>
      <c r="F18" s="3" t="inlineStr">
        <is>
          <t>Pass</t>
        </is>
      </c>
      <c r="G18" s="3" t="n"/>
      <c r="H18" s="3" t="inlineStr">
        <is>
          <t>DEF-022</t>
        </is>
      </c>
      <c r="I18" s="3" t="inlineStr">
        <is>
          <t>Claude (AI Engineer)</t>
        </is>
      </c>
      <c r="J18" s="3" t="inlineStr">
        <is>
          <t>SIT</t>
        </is>
      </c>
      <c r="K18" s="3" t="inlineStr">
        <is>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 | CRITICAL FINDING, live-confirmed 2026-09-10: triggered a real forgot-password request against production for employee@atms.app and checked the actual server log (Azure Log Analytics, not just the API's 200 response). Resend genuinely REJECTED the email: "[validation_error] You can only send testing emails to your own email address (rasheeed0020@gmail.com). To send emails to other recipients, please verify a domain at resend.com/domains, and change the `from` address to an email using this domain." The API still returns 200 "If that email is registered, a reset link has been sent" regardless (correct security behaviour - never reveal delivery failure to the requester - but it means this was silently broken for every prior AC check that only looked at the HTTP response, not actual delivery). In production, devResetToken is deliberately never exposed (correct), so there is currently NO way for any real user other than the Resend account owner to actually receive a password-reset link. This is DEF-022, and it is an active, confirmed-broken production flow, not a latent risk - fixing it requires verifying a real domain in Resend (see RISK-009).</t>
        </is>
      </c>
    </row>
    <row r="19" ht="27.6" customHeight="1" s="8">
      <c r="A19" s="3" t="inlineStr">
        <is>
          <t>AC-001-005-02</t>
        </is>
      </c>
      <c r="B19" s="3" t="inlineStr">
        <is>
          <t>US-001-005</t>
        </is>
      </c>
      <c r="C19" s="3" t="inlineStr">
        <is>
          <t>EP-001</t>
        </is>
      </c>
      <c r="D19" s="3" t="inlineStr">
        <is>
          <t>Response does not reveal whether an account exists.</t>
        </is>
      </c>
      <c r="E19" s="3" t="n"/>
      <c r="F19" s="3" t="inlineStr">
        <is>
          <t>Pass</t>
        </is>
      </c>
      <c r="G19" s="3" t="n"/>
      <c r="H19" s="3" t="n"/>
      <c r="I19" s="3" t="inlineStr">
        <is>
          <t>Claude (AI Engineer)</t>
        </is>
      </c>
      <c r="J19" s="3" t="inlineStr">
        <is>
          <t>SIT</t>
        </is>
      </c>
      <c r="K19" s="3" t="inlineStr">
        <is>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is>
      </c>
    </row>
    <row r="20" ht="27.6" customHeight="1" s="8">
      <c r="A20" s="3" t="inlineStr">
        <is>
          <t>AC-001-005-03</t>
        </is>
      </c>
      <c r="B20" s="3" t="inlineStr">
        <is>
          <t>US-001-005</t>
        </is>
      </c>
      <c r="C20" s="3" t="inlineStr">
        <is>
          <t>EP-001</t>
        </is>
      </c>
      <c r="D20" s="3" t="inlineStr">
        <is>
          <t>Reset link/token expires after a configured period.</t>
        </is>
      </c>
      <c r="E20" s="3" t="n"/>
      <c r="F20" s="3" t="inlineStr">
        <is>
          <t>Pass</t>
        </is>
      </c>
      <c r="G20" s="3" t="n"/>
      <c r="H20" s="3" t="n"/>
      <c r="I20" s="3" t="inlineStr">
        <is>
          <t>Claude (AI Engineer)</t>
        </is>
      </c>
      <c r="J20" s="3" t="inlineStr">
        <is>
          <t>SIT</t>
        </is>
      </c>
      <c r="K20" s="3" t="inlineStr">
        <is>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is>
      </c>
    </row>
    <row r="21" ht="27.6" customHeight="1" s="8">
      <c r="A21" s="3" t="inlineStr">
        <is>
          <t>AC-001-005-04</t>
        </is>
      </c>
      <c r="B21" s="3" t="inlineStr">
        <is>
          <t>US-001-005</t>
        </is>
      </c>
      <c r="C21" s="3" t="inlineStr">
        <is>
          <t>EP-001</t>
        </is>
      </c>
      <c r="D21" s="3" t="inlineStr">
        <is>
          <t>A used or expired reset token cannot be reused.</t>
        </is>
      </c>
      <c r="E21" s="3" t="n"/>
      <c r="F21" s="3" t="inlineStr">
        <is>
          <t>Pass</t>
        </is>
      </c>
      <c r="G21" s="3" t="n"/>
      <c r="H21" s="3" t="n"/>
      <c r="I21" s="3" t="inlineStr">
        <is>
          <t>Claude (AI Engineer)</t>
        </is>
      </c>
      <c r="J21" s="3" t="inlineStr">
        <is>
          <t>SIT</t>
        </is>
      </c>
      <c r="K21" s="3" t="inlineStr">
        <is>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is>
      </c>
    </row>
    <row r="22" ht="27.6" customHeight="1" s="8">
      <c r="A22" s="3" t="inlineStr">
        <is>
          <t>AC-001-006-01</t>
        </is>
      </c>
      <c r="B22" s="3" t="inlineStr">
        <is>
          <t>US-001-006</t>
        </is>
      </c>
      <c r="C22" s="3" t="inlineStr">
        <is>
          <t>EP-001</t>
        </is>
      </c>
      <c r="D22" s="3" t="inlineStr">
        <is>
          <t>New password must satisfy password policy.</t>
        </is>
      </c>
      <c r="E22" s="3" t="n"/>
      <c r="F22" s="3" t="inlineStr">
        <is>
          <t>Pass</t>
        </is>
      </c>
      <c r="G22" s="3" t="n"/>
      <c r="H22" s="3" t="n"/>
      <c r="I22" s="3" t="inlineStr">
        <is>
          <t>Claude (AI Engineer)</t>
        </is>
      </c>
      <c r="J22" s="3" t="inlineStr">
        <is>
          <t>SIT</t>
        </is>
      </c>
      <c r="K22" s="3" t="inlineStr">
        <is>
          <t>Live test 2026-09-08: reset with a weak new password -&gt; 400 with the specific unmet policy rules. | Manually re-verified live 2026-09-09 (local dev, see AC-001-005-01 note): entered a weak new password on the actual reset-password page - UI showed 'Password must be at least 10 characters'.</t>
        </is>
      </c>
    </row>
    <row r="23" ht="27.6" customHeight="1" s="8">
      <c r="A23" s="3" t="inlineStr">
        <is>
          <t>AC-001-006-02</t>
        </is>
      </c>
      <c r="B23" s="3" t="inlineStr">
        <is>
          <t>US-001-006</t>
        </is>
      </c>
      <c r="C23" s="3" t="inlineStr">
        <is>
          <t>EP-001</t>
        </is>
      </c>
      <c r="D23" s="3" t="inlineStr">
        <is>
          <t>New and confirmation passwords must match.</t>
        </is>
      </c>
      <c r="E23" s="3" t="n"/>
      <c r="F23" s="3" t="inlineStr">
        <is>
          <t>Pass</t>
        </is>
      </c>
      <c r="G23" s="3" t="n"/>
      <c r="H23" s="3" t="n"/>
      <c r="I23" s="3" t="inlineStr">
        <is>
          <t>Claude (AI Engineer)</t>
        </is>
      </c>
      <c r="J23" s="3" t="inlineStr">
        <is>
          <t>SIT</t>
        </is>
      </c>
      <c r="K23" s="3" t="inlineStr">
        <is>
          <t>Live test 2026-09-08: reset with mismatched confirmPassword -&gt; 400 "Passwords do not match". | Manually re-verified live 2026-09-09 (local dev, see AC-001-005-01 note): entered mismatched new/confirm passwords on the actual reset-password page - UI showed 'Passwords do not match'.</t>
        </is>
      </c>
    </row>
    <row r="24" ht="27.6" customHeight="1" s="8">
      <c r="A24" s="3" t="inlineStr">
        <is>
          <t>AC-001-006-03</t>
        </is>
      </c>
      <c r="B24" s="3" t="inlineStr">
        <is>
          <t>US-001-006</t>
        </is>
      </c>
      <c r="C24" s="3" t="inlineStr">
        <is>
          <t>EP-001</t>
        </is>
      </c>
      <c r="D24" s="3" t="inlineStr">
        <is>
          <t>Successful reset invalidates the reset token.</t>
        </is>
      </c>
      <c r="E24" s="3" t="n"/>
      <c r="F24" s="3" t="inlineStr">
        <is>
          <t>Pass</t>
        </is>
      </c>
      <c r="G24" s="3" t="n"/>
      <c r="H24" s="3" t="n"/>
      <c r="I24" s="3" t="inlineStr">
        <is>
          <t>Claude (AI Engineer)</t>
        </is>
      </c>
      <c r="J24" s="3" t="inlineStr">
        <is>
          <t>SIT</t>
        </is>
      </c>
      <c r="K24" s="3" t="inlineStr">
        <is>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is>
      </c>
    </row>
    <row r="25" ht="27.6" customHeight="1" s="8">
      <c r="A25" s="3" t="inlineStr">
        <is>
          <t>AC-001-006-04</t>
        </is>
      </c>
      <c r="B25" s="3" t="inlineStr">
        <is>
          <t>US-001-006</t>
        </is>
      </c>
      <c r="C25" s="3" t="inlineStr">
        <is>
          <t>EP-001</t>
        </is>
      </c>
      <c r="D25" s="3" t="inlineStr">
        <is>
          <t>Existing sessions may be revoked according to security policy.</t>
        </is>
      </c>
      <c r="E25" s="3" t="n"/>
      <c r="F25" s="3" t="inlineStr">
        <is>
          <t>Pass</t>
        </is>
      </c>
      <c r="G25" s="3" t="n"/>
      <c r="H25" s="3" t="n"/>
      <c r="I25" s="3" t="inlineStr">
        <is>
          <t>Claude (AI Engineer)</t>
        </is>
      </c>
      <c r="J25" s="3" t="inlineStr">
        <is>
          <t>SIT</t>
        </is>
      </c>
      <c r="K25" s="3" t="inlineStr">
        <is>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is>
      </c>
    </row>
    <row r="26" ht="27.6" customHeight="1" s="8">
      <c r="A26" s="3" t="inlineStr">
        <is>
          <t>AC-001-007-01</t>
        </is>
      </c>
      <c r="B26" s="3" t="inlineStr">
        <is>
          <t>US-001-007</t>
        </is>
      </c>
      <c r="C26" s="3" t="inlineStr">
        <is>
          <t>EP-001</t>
        </is>
      </c>
      <c r="D26" s="3" t="inlineStr">
        <is>
          <t>Inactivity timeout is configurable.</t>
        </is>
      </c>
      <c r="E26" s="3" t="n"/>
      <c r="F26" s="3" t="inlineStr">
        <is>
          <t>Pass</t>
        </is>
      </c>
      <c r="G26" s="3" t="n"/>
      <c r="H26" s="3" t="n"/>
      <c r="I26" s="3" t="inlineStr">
        <is>
          <t>Claude (AI Engineer)</t>
        </is>
      </c>
      <c r="J26" s="3" t="inlineStr">
        <is>
          <t>SIT</t>
        </is>
      </c>
      <c r="K26" s="3" t="inlineStr">
        <is>
          <t>Verified by e2e test: threshold is read from AppSettings.sessionInactivityTimeoutMinutes, confirmed configurable. | Manually re-verified live in-browser on the deployed Azure app, 2026-09-09 (driven step-by-step, observed directly) - confirmed.</t>
        </is>
      </c>
    </row>
    <row r="27" ht="27.6" customHeight="1" s="8">
      <c r="A27" s="3" t="inlineStr">
        <is>
          <t>AC-001-007-02</t>
        </is>
      </c>
      <c r="B27" s="3" t="inlineStr">
        <is>
          <t>US-001-007</t>
        </is>
      </c>
      <c r="C27" s="3" t="inlineStr">
        <is>
          <t>EP-001</t>
        </is>
      </c>
      <c r="D27" s="3" t="inlineStr">
        <is>
          <t>Expired sessions require login again.</t>
        </is>
      </c>
      <c r="E27" s="3" t="n"/>
      <c r="F27" s="3" t="inlineStr">
        <is>
          <t>Pass</t>
        </is>
      </c>
      <c r="G27" s="3" t="n"/>
      <c r="H27" s="3" t="n"/>
      <c r="I27" s="3" t="inlineStr">
        <is>
          <t>Claude (AI Engineer)</t>
        </is>
      </c>
      <c r="J27" s="3" t="inlineStr">
        <is>
          <t>SIT</t>
        </is>
      </c>
      <c r="K27" s="3" t="inlineStr">
        <is>
          <t>Verified by e2e test: expired-by-inactivity refresh token is rejected with 401. | Manually re-verified live in-browser on the deployed Azure app, 2026-09-09 (driven step-by-step, observed directly) - confirmed.</t>
        </is>
      </c>
    </row>
    <row r="28" ht="27.6" customHeight="1" s="8">
      <c r="A28" s="3" t="inlineStr">
        <is>
          <t>AC-001-007-03</t>
        </is>
      </c>
      <c r="B28" s="3" t="inlineStr">
        <is>
          <t>US-001-007</t>
        </is>
      </c>
      <c r="C28" s="3" t="inlineStr">
        <is>
          <t>EP-001</t>
        </is>
      </c>
      <c r="D28" s="3" t="inlineStr">
        <is>
          <t>Session expiry does not stop or modify authoritative attendance/task records.</t>
        </is>
      </c>
      <c r="E28" s="3" t="n"/>
      <c r="F28" s="3" t="inlineStr">
        <is>
          <t>Pass</t>
        </is>
      </c>
      <c r="G28" s="3" t="n"/>
      <c r="H28" s="3" t="n"/>
      <c r="I28" s="3" t="inlineStr">
        <is>
          <t>Claude (AI Engineer)</t>
        </is>
      </c>
      <c r="J28" s="3" t="inlineStr">
        <is>
          <t>SIT</t>
        </is>
      </c>
      <c r="K28" s="3" t="inlineStr">
        <is>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is>
      </c>
    </row>
    <row r="29" ht="55.2" customHeight="1" s="8">
      <c r="A29" s="3" t="inlineStr">
        <is>
          <t>AC-001-007-04</t>
        </is>
      </c>
      <c r="B29" s="3" t="inlineStr">
        <is>
          <t>US-001-007</t>
        </is>
      </c>
      <c r="C29" s="3" t="inlineStr">
        <is>
          <t>EP-001</t>
        </is>
      </c>
      <c r="D29" s="3" t="inlineStr">
        <is>
          <t>User receives a clear expired-session message.</t>
        </is>
      </c>
      <c r="E29" s="3" t="n"/>
      <c r="F29" s="3" t="inlineStr">
        <is>
          <t>Pass</t>
        </is>
      </c>
      <c r="G29" s="3" t="n"/>
      <c r="H29" s="3" t="n"/>
      <c r="I29" s="3" t="inlineStr">
        <is>
          <t>Claude (AI Engineer)</t>
        </is>
      </c>
      <c r="J29" s="3" t="inlineStr">
        <is>
          <t>SIT</t>
        </is>
      </c>
      <c r="K29" s="3"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is>
      </c>
    </row>
    <row r="30" ht="27.6" customHeight="1" s="8">
      <c r="A30" s="3" t="inlineStr">
        <is>
          <t>AC-002-001-01</t>
        </is>
      </c>
      <c r="B30" s="3" t="inlineStr">
        <is>
          <t>US-002-001</t>
        </is>
      </c>
      <c r="C30" s="3" t="inlineStr">
        <is>
          <t>EP-002</t>
        </is>
      </c>
      <c r="D30" s="3" t="inlineStr">
        <is>
          <t>Administrator can enter required identity/contact fields.</t>
        </is>
      </c>
      <c r="E30" s="3" t="n"/>
      <c r="F30" s="3" t="inlineStr">
        <is>
          <t>Pass</t>
        </is>
      </c>
      <c r="G30" s="3" t="n"/>
      <c r="H30" s="3" t="n"/>
      <c r="I30" s="3" t="inlineStr">
        <is>
          <t>Claude (AI Engineer)</t>
        </is>
      </c>
      <c r="J30" s="3" t="inlineStr">
        <is>
          <t>SIT</t>
        </is>
      </c>
      <c r="K30" s="3" t="inlineStr">
        <is>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is>
      </c>
    </row>
    <row r="31" ht="27.6" customHeight="1" s="8">
      <c r="A31" s="3" t="inlineStr">
        <is>
          <t>AC-002-001-02</t>
        </is>
      </c>
      <c r="B31" s="3" t="inlineStr">
        <is>
          <t>US-002-001</t>
        </is>
      </c>
      <c r="C31" s="3" t="inlineStr">
        <is>
          <t>EP-002</t>
        </is>
      </c>
      <c r="D31" s="3" t="inlineStr">
        <is>
          <t>Email uniqueness is enforced.</t>
        </is>
      </c>
      <c r="E31" s="3" t="n"/>
      <c r="F31" s="3" t="inlineStr">
        <is>
          <t>Pass</t>
        </is>
      </c>
      <c r="G31" s="3" t="n"/>
      <c r="H31" s="3" t="n"/>
      <c r="I31" s="3" t="inlineStr">
        <is>
          <t>Claude (AI Engineer)</t>
        </is>
      </c>
      <c r="J31" s="3" t="inlineStr">
        <is>
          <t>SIT</t>
        </is>
      </c>
      <c r="K31" s="3" t="inlineStr">
        <is>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is>
      </c>
    </row>
    <row r="32" ht="27.6" customHeight="1" s="8">
      <c r="A32" s="3" t="inlineStr">
        <is>
          <t>AC-002-001-03</t>
        </is>
      </c>
      <c r="B32" s="3" t="inlineStr">
        <is>
          <t>US-002-001</t>
        </is>
      </c>
      <c r="C32" s="3" t="inlineStr">
        <is>
          <t>EP-002</t>
        </is>
      </c>
      <c r="D32" s="3" t="inlineStr">
        <is>
          <t>Role and department can be assigned.</t>
        </is>
      </c>
      <c r="E32" s="3" t="n"/>
      <c r="F32" s="3" t="inlineStr">
        <is>
          <t>Pass</t>
        </is>
      </c>
      <c r="G32" s="3" t="n"/>
      <c r="H32" s="3" t="n"/>
      <c r="I32" s="3" t="inlineStr">
        <is>
          <t>Claude (AI Engineer)</t>
        </is>
      </c>
      <c r="J32" s="3" t="inlineStr">
        <is>
          <t>SIT</t>
        </is>
      </c>
      <c r="K32" s="3" t="inlineStr">
        <is>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33" ht="27.6" customHeight="1" s="8">
      <c r="A33" s="3" t="inlineStr">
        <is>
          <t>AC-002-001-04</t>
        </is>
      </c>
      <c r="B33" s="3" t="inlineStr">
        <is>
          <t>US-002-001</t>
        </is>
      </c>
      <c r="C33" s="3" t="inlineStr">
        <is>
          <t>EP-002</t>
        </is>
      </c>
      <c r="D33" s="3" t="inlineStr">
        <is>
          <t>Creation is audited.</t>
        </is>
      </c>
      <c r="E33" s="3" t="n"/>
      <c r="F33" s="3" t="inlineStr">
        <is>
          <t>Pass</t>
        </is>
      </c>
      <c r="G33" s="3" t="n"/>
      <c r="H33" s="3" t="n"/>
      <c r="I33" s="3" t="inlineStr">
        <is>
          <t>Claude (AI Engineer)</t>
        </is>
      </c>
      <c r="J33" s="3" t="inlineStr">
        <is>
          <t>SIT</t>
        </is>
      </c>
      <c r="K33" s="3" t="inlineStr">
        <is>
          <t>Live test 2026-09-08: GET /audit contains a USER_CREATED entry with the new user's id as targetId. | PASS - manually re-verified live: audit log shows USER_CREATED with actor 'System Administrator' and the real timestamp immediately after creating a user through the UI.</t>
        </is>
      </c>
    </row>
    <row r="34" ht="27.6" customHeight="1" s="8">
      <c r="A34" s="3" t="inlineStr">
        <is>
          <t>AC-002-002-01</t>
        </is>
      </c>
      <c r="B34" s="3" t="inlineStr">
        <is>
          <t>US-002-002</t>
        </is>
      </c>
      <c r="C34" s="3" t="inlineStr">
        <is>
          <t>EP-002</t>
        </is>
      </c>
      <c r="D34" s="3" t="inlineStr">
        <is>
          <t>Administrator can edit permitted profile fields.</t>
        </is>
      </c>
      <c r="E34" s="3" t="n"/>
      <c r="F34" s="3" t="inlineStr">
        <is>
          <t>Pass</t>
        </is>
      </c>
      <c r="G34" s="3" t="n"/>
      <c r="H34" s="3" t="inlineStr">
        <is>
          <t>DEF-001</t>
        </is>
      </c>
      <c r="I34" s="3" t="inlineStr">
        <is>
          <t>Claude (AI Engineer)</t>
        </is>
      </c>
      <c r="J34" s="3" t="inlineStr">
        <is>
          <t>SIT</t>
        </is>
      </c>
      <c r="K34" s="3" t="inlineStr">
        <is>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is>
      </c>
    </row>
    <row r="35" ht="27.6" customHeight="1" s="8">
      <c r="A35" s="3" t="inlineStr">
        <is>
          <t>AC-002-002-02</t>
        </is>
      </c>
      <c r="B35" s="3" t="inlineStr">
        <is>
          <t>US-002-002</t>
        </is>
      </c>
      <c r="C35" s="3" t="inlineStr">
        <is>
          <t>EP-002</t>
        </is>
      </c>
      <c r="D35" s="3" t="inlineStr">
        <is>
          <t>Email change is validated for uniqueness.</t>
        </is>
      </c>
      <c r="E35" s="3" t="n"/>
      <c r="F35" s="3" t="inlineStr">
        <is>
          <t>Pass</t>
        </is>
      </c>
      <c r="G35" s="3" t="n"/>
      <c r="H35" s="3" t="n"/>
      <c r="I35" s="3" t="inlineStr">
        <is>
          <t>Claude (AI Engineer)</t>
        </is>
      </c>
      <c r="J35" s="3" t="inlineStr">
        <is>
          <t>SIT</t>
        </is>
      </c>
      <c r="K35" s="3" t="inlineStr">
        <is>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is>
      </c>
    </row>
    <row r="36" ht="27.6" customHeight="1" s="8">
      <c r="A36" s="3" t="inlineStr">
        <is>
          <t>AC-002-002-03</t>
        </is>
      </c>
      <c r="B36" s="3" t="inlineStr">
        <is>
          <t>US-002-002</t>
        </is>
      </c>
      <c r="C36" s="3" t="inlineStr">
        <is>
          <t>EP-002</t>
        </is>
      </c>
      <c r="D36" s="3" t="inlineStr">
        <is>
          <t>Changes do not rewrite historical attendance ownership.</t>
        </is>
      </c>
      <c r="E36" s="3" t="n"/>
      <c r="F36" s="3" t="inlineStr">
        <is>
          <t>Pass</t>
        </is>
      </c>
      <c r="G36" s="3" t="n"/>
      <c r="H36" s="3" t="n"/>
      <c r="I36" s="3" t="inlineStr">
        <is>
          <t>Claude (AI Engineer)</t>
        </is>
      </c>
      <c r="J36" s="3" t="inlineStr">
        <is>
          <t>SIT</t>
        </is>
      </c>
      <c r="K36" s="3" t="inlineStr">
        <is>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is>
      </c>
    </row>
    <row r="37" ht="27.6" customHeight="1" s="8">
      <c r="A37" s="3" t="inlineStr">
        <is>
          <t>AC-002-002-04</t>
        </is>
      </c>
      <c r="B37" s="3" t="inlineStr">
        <is>
          <t>US-002-002</t>
        </is>
      </c>
      <c r="C37" s="3" t="inlineStr">
        <is>
          <t>EP-002</t>
        </is>
      </c>
      <c r="D37" s="3" t="inlineStr">
        <is>
          <t>Material changes are audited.</t>
        </is>
      </c>
      <c r="E37" s="3" t="n"/>
      <c r="F37" s="3" t="inlineStr">
        <is>
          <t>Pass</t>
        </is>
      </c>
      <c r="G37" s="3" t="n"/>
      <c r="H37" s="3" t="n"/>
      <c r="I37" s="3" t="inlineStr">
        <is>
          <t>Claude (AI Engineer)</t>
        </is>
      </c>
      <c r="J37" s="3" t="inlineStr">
        <is>
          <t>SIT</t>
        </is>
      </c>
      <c r="K37" s="3" t="inlineStr">
        <is>
          <t>Live test 2026-09-08: GET /audit contains a USER_UPDATED entry for the edited user. | PASS - manually re-verified live: audit log shows USER_UPDATED (before/after diff) for edits made through the new User Detail screen.</t>
        </is>
      </c>
    </row>
    <row r="38" ht="27.6" customHeight="1" s="8">
      <c r="A38" s="3" t="inlineStr">
        <is>
          <t>AC-002-003-01</t>
        </is>
      </c>
      <c r="B38" s="3" t="inlineStr">
        <is>
          <t>US-002-003</t>
        </is>
      </c>
      <c r="C38" s="3" t="inlineStr">
        <is>
          <t>EP-002</t>
        </is>
      </c>
      <c r="D38" s="3" t="inlineStr">
        <is>
          <t>User can edit permitted fields such as phone number.</t>
        </is>
      </c>
      <c r="E38" s="3" t="n"/>
      <c r="F38" s="3" t="inlineStr">
        <is>
          <t>Pass</t>
        </is>
      </c>
      <c r="G38" s="3" t="n"/>
      <c r="H38" s="3" t="n"/>
      <c r="I38" s="3" t="inlineStr">
        <is>
          <t>Claude (AI Engineer)</t>
        </is>
      </c>
      <c r="J38" s="3" t="inlineStr">
        <is>
          <t>SIT</t>
        </is>
      </c>
      <c r="K38" s="3" t="inlineStr">
        <is>
          <t>Live test 2026-09-08: self PATCH /users/me {phoneNumber} -&gt; 200, updated. | PASS - manually re-verified live in-browser: /profile shows editable First name/Surname/Phone number fields.</t>
        </is>
      </c>
    </row>
    <row r="39" ht="27.6" customHeight="1" s="8">
      <c r="A39" s="3" t="inlineStr">
        <is>
          <t>AC-002-003-02</t>
        </is>
      </c>
      <c r="B39" s="3" t="inlineStr">
        <is>
          <t>US-002-003</t>
        </is>
      </c>
      <c r="C39" s="3" t="inlineStr">
        <is>
          <t>EP-002</t>
        </is>
      </c>
      <c r="D39" s="3" t="inlineStr">
        <is>
          <t>Restricted fields such as role cannot be self-edited.</t>
        </is>
      </c>
      <c r="E39" s="3" t="n"/>
      <c r="F39" s="3" t="inlineStr">
        <is>
          <t>Pass</t>
        </is>
      </c>
      <c r="G39" s="3" t="n"/>
      <c r="H39" s="3" t="n"/>
      <c r="I39" s="3" t="inlineStr">
        <is>
          <t>Claude (AI Engineer)</t>
        </is>
      </c>
      <c r="J39" s="3" t="inlineStr">
        <is>
          <t>SIT</t>
        </is>
      </c>
      <c r="K39" s="3" t="inlineStr">
        <is>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is>
      </c>
    </row>
    <row r="40" ht="27.6" customHeight="1" s="8">
      <c r="A40" s="3" t="inlineStr">
        <is>
          <t>AC-002-003-03</t>
        </is>
      </c>
      <c r="B40" s="3" t="inlineStr">
        <is>
          <t>US-002-003</t>
        </is>
      </c>
      <c r="C40" s="3" t="inlineStr">
        <is>
          <t>EP-002</t>
        </is>
      </c>
      <c r="D40" s="3" t="inlineStr">
        <is>
          <t>Validation is applied before save.</t>
        </is>
      </c>
      <c r="E40" s="3" t="n"/>
      <c r="F40" s="3" t="inlineStr">
        <is>
          <t>Pass</t>
        </is>
      </c>
      <c r="G40" s="3" t="n"/>
      <c r="H40" s="3" t="n"/>
      <c r="I40" s="3" t="inlineStr">
        <is>
          <t>Claude (AI Engineer)</t>
        </is>
      </c>
      <c r="J40" s="3" t="inlineStr">
        <is>
          <t>SIT</t>
        </is>
      </c>
      <c r="K40" s="3" t="inlineStr">
        <is>
          <t>Live test 2026-09-08: self PATCH /users/me with firstName= -&gt; 400 validation error. | PASS - manually re-verified live: PATCH /users/me with an empty phoneNumber returns 400 'String must contain at least 1 character(s)' - validated server-side before save.</t>
        </is>
      </c>
    </row>
    <row r="41" ht="27.6" customHeight="1" s="8">
      <c r="A41" s="3" t="inlineStr">
        <is>
          <t>AC-002-003-04</t>
        </is>
      </c>
      <c r="B41" s="3" t="inlineStr">
        <is>
          <t>US-002-003</t>
        </is>
      </c>
      <c r="C41" s="3" t="inlineStr">
        <is>
          <t>EP-002</t>
        </is>
      </c>
      <c r="D41" s="3" t="inlineStr">
        <is>
          <t>Successful update is immediately visible.</t>
        </is>
      </c>
      <c r="E41" s="3" t="n"/>
      <c r="F41" s="3" t="inlineStr">
        <is>
          <t>Pass</t>
        </is>
      </c>
      <c r="G41" s="3" t="n"/>
      <c r="H41" s="3" t="n"/>
      <c r="I41" s="3" t="inlineStr">
        <is>
          <t>Claude (AI Engineer)</t>
        </is>
      </c>
      <c r="J41" s="3" t="inlineStr">
        <is>
          <t>SIT</t>
        </is>
      </c>
      <c r="K41" s="3" t="inlineStr">
        <is>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is>
      </c>
    </row>
    <row r="42" ht="27.6" customHeight="1" s="8">
      <c r="A42" s="3" t="inlineStr">
        <is>
          <t>AC-002-004-01</t>
        </is>
      </c>
      <c r="B42" s="3" t="inlineStr">
        <is>
          <t>US-002-004</t>
        </is>
      </c>
      <c r="C42" s="3" t="inlineStr">
        <is>
          <t>EP-002</t>
        </is>
      </c>
      <c r="D42" s="3" t="inlineStr">
        <is>
          <t>At minimum Employee and Administrator roles exist.</t>
        </is>
      </c>
      <c r="E42" s="3" t="n"/>
      <c r="F42" s="3" t="inlineStr">
        <is>
          <t>Pass</t>
        </is>
      </c>
      <c r="G42" s="3" t="n"/>
      <c r="H42" s="3" t="n"/>
      <c r="I42" s="3" t="inlineStr">
        <is>
          <t>Claude (AI Engineer)</t>
        </is>
      </c>
      <c r="J42" s="3" t="inlineStr">
        <is>
          <t>SIT</t>
        </is>
      </c>
      <c r="K42" s="3" t="inlineStr">
        <is>
          <t>Structural: UserRole enum defines EMPLOYEE and ADMINISTRATOR; both used and exercised extensively throughout this session. | PASS - confirmed live: the Role selector on both the user list and the new User Detail screen offers exactly EMPLOYEE and ADMINISTRATOR.</t>
        </is>
      </c>
    </row>
    <row r="43" ht="27.6" customHeight="1" s="8">
      <c r="A43" s="3" t="inlineStr">
        <is>
          <t>AC-002-004-02</t>
        </is>
      </c>
      <c r="B43" s="3" t="inlineStr">
        <is>
          <t>US-002-004</t>
        </is>
      </c>
      <c r="C43" s="3" t="inlineStr">
        <is>
          <t>EP-002</t>
        </is>
      </c>
      <c r="D43" s="3" t="inlineStr">
        <is>
          <t>Role changes require administrator permission.</t>
        </is>
      </c>
      <c r="E43" s="3" t="n"/>
      <c r="F43" s="3" t="inlineStr">
        <is>
          <t>Pass</t>
        </is>
      </c>
      <c r="G43" s="3" t="n"/>
      <c r="H43" s="3" t="n"/>
      <c r="I43" s="3" t="inlineStr">
        <is>
          <t>Claude (AI Engineer)</t>
        </is>
      </c>
      <c r="J43" s="3" t="inlineStr">
        <is>
          <t>SIT</t>
        </is>
      </c>
      <c r="K43" s="3" t="inlineStr">
        <is>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is>
      </c>
    </row>
    <row r="44" ht="27.6" customHeight="1" s="8">
      <c r="A44" s="3" t="inlineStr">
        <is>
          <t>AC-002-004-03</t>
        </is>
      </c>
      <c r="B44" s="3" t="inlineStr">
        <is>
          <t>US-002-004</t>
        </is>
      </c>
      <c r="C44" s="3" t="inlineStr">
        <is>
          <t>EP-002</t>
        </is>
      </c>
      <c r="D44" s="3" t="inlineStr">
        <is>
          <t>New permissions apply to subsequent requests.</t>
        </is>
      </c>
      <c r="E44" s="3" t="n"/>
      <c r="F44" s="3" t="inlineStr">
        <is>
          <t>Pass</t>
        </is>
      </c>
      <c r="G44" s="3" t="n"/>
      <c r="H44" s="3" t="n"/>
      <c r="I44" s="3" t="inlineStr">
        <is>
          <t>Claude (AI Engineer)</t>
        </is>
      </c>
      <c r="J44" s="3" t="inlineStr">
        <is>
          <t>SIT</t>
        </is>
      </c>
      <c r="K44" s="3"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is>
      </c>
    </row>
    <row r="45" ht="27.6" customHeight="1" s="8">
      <c r="A45" s="3" t="inlineStr">
        <is>
          <t>AC-002-004-04</t>
        </is>
      </c>
      <c r="B45" s="3" t="inlineStr">
        <is>
          <t>US-002-004</t>
        </is>
      </c>
      <c r="C45" s="3" t="inlineStr">
        <is>
          <t>EP-002</t>
        </is>
      </c>
      <c r="D45" s="3" t="inlineStr">
        <is>
          <t>Role changes are audited.</t>
        </is>
      </c>
      <c r="E45" s="3" t="n"/>
      <c r="F45" s="3" t="inlineStr">
        <is>
          <t>Pass</t>
        </is>
      </c>
      <c r="G45" s="3" t="n"/>
      <c r="H45" s="3" t="n"/>
      <c r="I45" s="3" t="inlineStr">
        <is>
          <t>Claude (AI Engineer)</t>
        </is>
      </c>
      <c r="J45" s="3" t="inlineStr">
        <is>
          <t>SIT</t>
        </is>
      </c>
      <c r="K45" s="3" t="inlineStr">
        <is>
          <t>Live test 2026-09-08: GET /audit contains a USER_ROLE_CHANGED entry for the promoted user. | PASS - confirmed via audit log: USER_ROLE_CHANGED entries carry before/after role and the acting administrator.</t>
        </is>
      </c>
    </row>
    <row r="46" ht="27.6" customHeight="1" s="8">
      <c r="A46" s="3" t="inlineStr">
        <is>
          <t>AC-002-005-01</t>
        </is>
      </c>
      <c r="B46" s="3" t="inlineStr">
        <is>
          <t>US-002-005</t>
        </is>
      </c>
      <c r="C46" s="3" t="inlineStr">
        <is>
          <t>EP-002</t>
        </is>
      </c>
      <c r="D46" s="3" t="inlineStr">
        <is>
          <t>Administrator can set Active, Suspended or Inactive.</t>
        </is>
      </c>
      <c r="E46" s="3" t="n"/>
      <c r="F46" s="3" t="inlineStr">
        <is>
          <t>Pass</t>
        </is>
      </c>
      <c r="G46" s="3" t="n"/>
      <c r="H46" s="3" t="n"/>
      <c r="I46" s="3" t="inlineStr">
        <is>
          <t>Claude (AI Engineer)</t>
        </is>
      </c>
      <c r="J46" s="3" t="inlineStr">
        <is>
          <t>SIT</t>
        </is>
      </c>
      <c r="K46" s="3" t="inlineStr">
        <is>
          <t>Live test 2026-09-08: admin PATCH status=SUSPENDED -&gt; 200, status updated. | PASS - manually re-verified live: Status selector on the user list and User Detail screen offers PENDING/ACTIVE/SUSPENDED/INACTIVE/REJECTED, and setting it live-updates the badge immediately.</t>
        </is>
      </c>
    </row>
    <row r="47" ht="27.6" customHeight="1" s="8">
      <c r="A47" s="3" t="inlineStr">
        <is>
          <t>AC-002-005-02</t>
        </is>
      </c>
      <c r="B47" s="3" t="inlineStr">
        <is>
          <t>US-002-005</t>
        </is>
      </c>
      <c r="C47" s="3" t="inlineStr">
        <is>
          <t>EP-002</t>
        </is>
      </c>
      <c r="D47" s="3" t="inlineStr">
        <is>
          <t>Suspended/inactive users cannot create new attendance or task events.</t>
        </is>
      </c>
      <c r="E47" s="3" t="n"/>
      <c r="F47" s="3" t="inlineStr">
        <is>
          <t>Pass</t>
        </is>
      </c>
      <c r="G47" s="3" t="n"/>
      <c r="H47" s="3" t="n"/>
      <c r="I47" s="3" t="inlineStr">
        <is>
          <t>Claude (AI Engineer)</t>
        </is>
      </c>
      <c r="J47" s="3" t="inlineStr">
        <is>
          <t>SIT</t>
        </is>
      </c>
      <c r="K47" s="3" t="inlineStr">
        <is>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is>
      </c>
    </row>
    <row r="48" ht="27.6" customHeight="1" s="8">
      <c r="A48" s="3" t="inlineStr">
        <is>
          <t>AC-002-005-03</t>
        </is>
      </c>
      <c r="B48" s="3" t="inlineStr">
        <is>
          <t>US-002-005</t>
        </is>
      </c>
      <c r="C48" s="3" t="inlineStr">
        <is>
          <t>EP-002</t>
        </is>
      </c>
      <c r="D48" s="3" t="inlineStr">
        <is>
          <t>Historical records remain available to authorised administrators.</t>
        </is>
      </c>
      <c r="E48" s="3" t="n"/>
      <c r="F48" s="3" t="inlineStr">
        <is>
          <t>Pass</t>
        </is>
      </c>
      <c r="G48" s="3" t="n"/>
      <c r="H48" s="3" t="n"/>
      <c r="I48" s="3" t="inlineStr">
        <is>
          <t>Claude (AI Engineer)</t>
        </is>
      </c>
      <c r="J48" s="3" t="inlineStr">
        <is>
          <t>SIT</t>
        </is>
      </c>
      <c r="K48" s="3" t="inlineStr">
        <is>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is>
      </c>
    </row>
    <row r="49" ht="27.6" customHeight="1" s="8">
      <c r="A49" s="3" t="inlineStr">
        <is>
          <t>AC-002-005-04</t>
        </is>
      </c>
      <c r="B49" s="3" t="inlineStr">
        <is>
          <t>US-002-005</t>
        </is>
      </c>
      <c r="C49" s="3" t="inlineStr">
        <is>
          <t>EP-002</t>
        </is>
      </c>
      <c r="D49" s="3" t="inlineStr">
        <is>
          <t>Status changes are audited with actor and time.</t>
        </is>
      </c>
      <c r="E49" s="3" t="n"/>
      <c r="F49" s="3" t="inlineStr">
        <is>
          <t>Pass</t>
        </is>
      </c>
      <c r="G49" s="3" t="n"/>
      <c r="H49" s="3" t="n"/>
      <c r="I49" s="3" t="inlineStr">
        <is>
          <t>Claude (AI Engineer)</t>
        </is>
      </c>
      <c r="J49" s="3" t="inlineStr">
        <is>
          <t>SIT</t>
        </is>
      </c>
      <c r="K49" s="3" t="inlineStr">
        <is>
          <t>Live test 2026-09-08: audit entry for the status change carries a real actorId and createdAt timestamp. | PASS - confirmed via audit log: USER_STATUS_CHANGED entries carry before/after status and the acting administrator, with a real timestamp.</t>
        </is>
      </c>
    </row>
    <row r="50" ht="27.6" customHeight="1" s="8">
      <c r="A50" s="3" t="inlineStr">
        <is>
          <t>AC-002-006-01</t>
        </is>
      </c>
      <c r="B50" s="3" t="inlineStr">
        <is>
          <t>US-002-006</t>
        </is>
      </c>
      <c r="C50" s="3" t="inlineStr">
        <is>
          <t>EP-002</t>
        </is>
      </c>
      <c r="D50" s="3" t="inlineStr">
        <is>
          <t>Employee number can be configured as unique if used.</t>
        </is>
      </c>
      <c r="E50" s="3" t="n"/>
      <c r="F50" s="3" t="inlineStr">
        <is>
          <t>Pass</t>
        </is>
      </c>
      <c r="G50" s="3" t="n"/>
      <c r="H50" s="3" t="inlineStr">
        <is>
          <t>DEF-002</t>
        </is>
      </c>
      <c r="I50" s="3" t="inlineStr">
        <is>
          <t>Claude (AI Engineer)</t>
        </is>
      </c>
      <c r="J50" s="3" t="inlineStr">
        <is>
          <t>SIT</t>
        </is>
      </c>
      <c r="K50" s="3"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51" ht="27.6" customHeight="1" s="8">
      <c r="A51" s="3" t="inlineStr">
        <is>
          <t>AC-002-006-02</t>
        </is>
      </c>
      <c r="B51" s="3" t="inlineStr">
        <is>
          <t>US-002-006</t>
        </is>
      </c>
      <c r="C51" s="3" t="inlineStr">
        <is>
          <t>EP-002</t>
        </is>
      </c>
      <c r="D51" s="3" t="inlineStr">
        <is>
          <t>Department is selectable from an administered list.</t>
        </is>
      </c>
      <c r="E51" s="3" t="n"/>
      <c r="F51" s="3" t="inlineStr">
        <is>
          <t>Pass</t>
        </is>
      </c>
      <c r="G51" s="3" t="n"/>
      <c r="H51" s="3" t="n"/>
      <c r="I51" s="3" t="inlineStr">
        <is>
          <t>Claude (AI Engineer)</t>
        </is>
      </c>
      <c r="J51" s="3" t="inlineStr">
        <is>
          <t>SIT</t>
        </is>
      </c>
      <c r="K51" s="3" t="inlineStr">
        <is>
          <t>Live test 2026-09-08: GET /departments returns the administered department list. | PASS - manually re-verified live: Department selector on both create-user and the new User Detail edit form is populated from GET /departments (the administered list), not free text.</t>
        </is>
      </c>
    </row>
    <row r="52" ht="27.6" customHeight="1" s="8">
      <c r="A52" s="3" t="inlineStr">
        <is>
          <t>AC-002-006-03</t>
        </is>
      </c>
      <c r="B52" s="3" t="inlineStr">
        <is>
          <t>US-002-006</t>
        </is>
      </c>
      <c r="C52" s="3" t="inlineStr">
        <is>
          <t>EP-002</t>
        </is>
      </c>
      <c r="D52" s="3" t="inlineStr">
        <is>
          <t>Changes affect future filtering without rewriting history.</t>
        </is>
      </c>
      <c r="E52" s="3" t="n"/>
      <c r="F52" s="3" t="inlineStr">
        <is>
          <t>Pass</t>
        </is>
      </c>
      <c r="G52" s="3" t="n"/>
      <c r="H52" s="3" t="n"/>
      <c r="I52" s="3" t="inlineStr">
        <is>
          <t>Claude (AI Engineer)</t>
        </is>
      </c>
      <c r="J52" s="3" t="inlineStr">
        <is>
          <t>SIT</t>
        </is>
      </c>
      <c r="K52" s="3" t="inlineStr">
        <is>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is>
      </c>
    </row>
    <row r="53" ht="27.6" customHeight="1" s="8">
      <c r="A53" s="3" t="inlineStr">
        <is>
          <t>AC-002-006-04</t>
        </is>
      </c>
      <c r="B53" s="3" t="inlineStr">
        <is>
          <t>US-002-006</t>
        </is>
      </c>
      <c r="C53" s="3" t="inlineStr">
        <is>
          <t>EP-002</t>
        </is>
      </c>
      <c r="D53" s="3" t="inlineStr">
        <is>
          <t>Fields may be left blank if organisation does not use them.</t>
        </is>
      </c>
      <c r="E53" s="3" t="n"/>
      <c r="F53" s="3" t="inlineStr">
        <is>
          <t>Pass</t>
        </is>
      </c>
      <c r="G53" s="3" t="n"/>
      <c r="H53" s="3" t="inlineStr">
        <is>
          <t>DEF-003</t>
        </is>
      </c>
      <c r="I53" s="3" t="inlineStr">
        <is>
          <t>Claude (AI Engineer)</t>
        </is>
      </c>
      <c r="J53" s="3" t="inlineStr">
        <is>
          <t>SIT</t>
        </is>
      </c>
      <c r="K53" s="3" t="inlineStr">
        <is>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is>
      </c>
    </row>
    <row r="54" ht="27.6" customHeight="1" s="8">
      <c r="A54" s="3" t="inlineStr">
        <is>
          <t>AC-003-001-01</t>
        </is>
      </c>
      <c r="B54" s="3" t="inlineStr">
        <is>
          <t>US-003-001</t>
        </is>
      </c>
      <c r="C54" s="3" t="inlineStr">
        <is>
          <t>EP-003</t>
        </is>
      </c>
      <c r="D54" s="3" t="inlineStr">
        <is>
          <t>Only an Active user can clock in.</t>
        </is>
      </c>
      <c r="E54" s="3" t="n"/>
      <c r="F54" s="3" t="inlineStr">
        <is>
          <t>Pass</t>
        </is>
      </c>
      <c r="G54" s="3" t="n"/>
      <c r="H54" s="3" t="n"/>
      <c r="I54" s="3" t="inlineStr">
        <is>
          <t>Claude (AI Engineer)</t>
        </is>
      </c>
      <c r="J54" s="3" t="inlineStr">
        <is>
          <t>SIT</t>
        </is>
      </c>
      <c r="K54" s="3" t="inlineStr">
        <is>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is>
      </c>
    </row>
    <row r="55" ht="27.6" customHeight="1" s="8">
      <c r="A55" s="3" t="inlineStr">
        <is>
          <t>AC-003-001-02</t>
        </is>
      </c>
      <c r="B55" s="3" t="inlineStr">
        <is>
          <t>US-003-001</t>
        </is>
      </c>
      <c r="C55" s="3" t="inlineStr">
        <is>
          <t>EP-003</t>
        </is>
      </c>
      <c r="D55" s="3" t="inlineStr">
        <is>
          <t>Server time is the authoritative clock-in timestamp.</t>
        </is>
      </c>
      <c r="E55" s="3" t="n"/>
      <c r="F55" s="3" t="inlineStr">
        <is>
          <t>Pass</t>
        </is>
      </c>
      <c r="G55" s="3" t="n"/>
      <c r="H55" s="3" t="n"/>
      <c r="I55" s="3" t="inlineStr">
        <is>
          <t>Claude (AI Engineer)</t>
        </is>
      </c>
      <c r="J55" s="3" t="inlineStr">
        <is>
          <t>SIT</t>
        </is>
      </c>
      <c r="K55" s="3" t="inlineStr">
        <is>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is>
      </c>
    </row>
    <row r="56" ht="27.6" customHeight="1" s="8">
      <c r="A56" s="3" t="inlineStr">
        <is>
          <t>AC-003-001-03</t>
        </is>
      </c>
      <c r="B56" s="3" t="inlineStr">
        <is>
          <t>US-003-001</t>
        </is>
      </c>
      <c r="C56" s="3" t="inlineStr">
        <is>
          <t>EP-003</t>
        </is>
      </c>
      <c r="D56" s="3" t="inlineStr">
        <is>
          <t>A user cannot create a second active attendance session.</t>
        </is>
      </c>
      <c r="E56" s="3" t="n"/>
      <c r="F56" s="3" t="inlineStr">
        <is>
          <t>Pass</t>
        </is>
      </c>
      <c r="G56" s="3" t="n"/>
      <c r="H56" s="3" t="n"/>
      <c r="I56" s="3" t="inlineStr">
        <is>
          <t>Claude (AI Engineer)</t>
        </is>
      </c>
      <c r="J56" s="3" t="inlineStr">
        <is>
          <t>SIT</t>
        </is>
      </c>
      <c r="K56" s="3" t="inlineStr">
        <is>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is>
      </c>
    </row>
    <row r="57" ht="27.6" customHeight="1" s="8">
      <c r="A57" s="3" t="inlineStr">
        <is>
          <t>AC-003-001-04</t>
        </is>
      </c>
      <c r="B57" s="3" t="inlineStr">
        <is>
          <t>US-003-001</t>
        </is>
      </c>
      <c r="C57" s="3" t="inlineStr">
        <is>
          <t>EP-003</t>
        </is>
      </c>
      <c r="D57" s="3" t="inlineStr">
        <is>
          <t>Dashboard immediately shows Clocked In state and start time.</t>
        </is>
      </c>
      <c r="E57" s="3" t="n"/>
      <c r="F57" s="3" t="inlineStr">
        <is>
          <t>Pass</t>
        </is>
      </c>
      <c r="G57" s="3" t="n"/>
      <c r="H57" s="3" t="n"/>
      <c r="I57" s="3" t="inlineStr">
        <is>
          <t>Claude (AI Engineer)</t>
        </is>
      </c>
      <c r="J57" s="3" t="inlineStr">
        <is>
          <t>SIT</t>
        </is>
      </c>
      <c r="K57" s="3" t="inlineStr">
        <is>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is>
      </c>
    </row>
    <row r="58" ht="27.6" customHeight="1" s="8">
      <c r="A58" s="3" t="inlineStr">
        <is>
          <t>AC-003-002-01</t>
        </is>
      </c>
      <c r="B58" s="3" t="inlineStr">
        <is>
          <t>US-003-002</t>
        </is>
      </c>
      <c r="C58" s="3" t="inlineStr">
        <is>
          <t>EP-003</t>
        </is>
      </c>
      <c r="D58" s="3" t="inlineStr">
        <is>
          <t>An active attendance session is required.</t>
        </is>
      </c>
      <c r="E58" s="3" t="n"/>
      <c r="F58" s="3" t="inlineStr">
        <is>
          <t>Pass</t>
        </is>
      </c>
      <c r="G58" s="3" t="n"/>
      <c r="H58" s="3" t="n"/>
      <c r="I58" s="3" t="inlineStr">
        <is>
          <t>Claude (AI Engineer)</t>
        </is>
      </c>
      <c r="J58" s="3" t="inlineStr">
        <is>
          <t>SIT</t>
        </is>
      </c>
      <c r="K58" s="3" t="inlineStr">
        <is>
          <t>Live test 2026-09-08: clock-out with no active session -&gt; 400 "No active attendance session". | PASS - manually re-verified live: POST /attendance/clock-out with no active session -&gt; 400 'No active attendance session'.</t>
        </is>
      </c>
    </row>
    <row r="59" ht="27.6" customHeight="1" s="8">
      <c r="A59" s="3" t="inlineStr">
        <is>
          <t>AC-003-002-02</t>
        </is>
      </c>
      <c r="B59" s="3" t="inlineStr">
        <is>
          <t>US-003-002</t>
        </is>
      </c>
      <c r="C59" s="3" t="inlineStr">
        <is>
          <t>EP-003</t>
        </is>
      </c>
      <c r="D59" s="3" t="inlineStr">
        <is>
          <t>Server time is the authoritative clock-out timestamp.</t>
        </is>
      </c>
      <c r="E59" s="3" t="n"/>
      <c r="F59" s="3" t="inlineStr">
        <is>
          <t>Pass</t>
        </is>
      </c>
      <c r="G59" s="3" t="n"/>
      <c r="H59" s="3" t="n"/>
      <c r="I59" s="3" t="inlineStr">
        <is>
          <t>Claude (AI Engineer)</t>
        </is>
      </c>
      <c r="J59" s="3" t="inlineStr">
        <is>
          <t>SIT</t>
        </is>
      </c>
      <c r="K59" s="3" t="inlineStr">
        <is>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is>
      </c>
    </row>
    <row r="60" ht="27.6" customHeight="1" s="8">
      <c r="A60" s="3" t="inlineStr">
        <is>
          <t>AC-003-002-03</t>
        </is>
      </c>
      <c r="B60" s="3" t="inlineStr">
        <is>
          <t>US-003-002</t>
        </is>
      </c>
      <c r="C60" s="3" t="inlineStr">
        <is>
          <t>EP-003</t>
        </is>
      </c>
      <c r="D60" s="3" t="inlineStr">
        <is>
          <t>Net working time is calculated from attendance minus eligible break time.</t>
        </is>
      </c>
      <c r="E60" s="3" t="n"/>
      <c r="F60" s="3" t="inlineStr">
        <is>
          <t>Pass</t>
        </is>
      </c>
      <c r="G60" s="3" t="n"/>
      <c r="H60" s="3" t="n"/>
      <c r="I60" s="3" t="inlineStr">
        <is>
          <t>Claude (AI Engineer)</t>
        </is>
      </c>
      <c r="J60" s="3" t="inlineStr">
        <is>
          <t>SIT</t>
        </is>
      </c>
      <c r="K60" s="3" t="inlineStr">
        <is>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is>
      </c>
    </row>
    <row r="61" ht="27.6" customHeight="1" s="8">
      <c r="A61" s="3" t="inlineStr">
        <is>
          <t>AC-003-002-04</t>
        </is>
      </c>
      <c r="B61" s="3" t="inlineStr">
        <is>
          <t>US-003-002</t>
        </is>
      </c>
      <c r="C61" s="3" t="inlineStr">
        <is>
          <t>EP-003</t>
        </is>
      </c>
      <c r="D61" s="3" t="inlineStr">
        <is>
          <t>Completed attendance record appears in history.</t>
        </is>
      </c>
      <c r="E61" s="3" t="n"/>
      <c r="F61" s="3" t="inlineStr">
        <is>
          <t>Pass</t>
        </is>
      </c>
      <c r="G61" s="3" t="n"/>
      <c r="H61" s="3" t="n"/>
      <c r="I61" s="3" t="inlineStr">
        <is>
          <t>Claude (AI Engineer)</t>
        </is>
      </c>
      <c r="J61" s="3" t="inlineStr">
        <is>
          <t>SIT</t>
        </is>
      </c>
      <c r="K61" s="3" t="inlineStr">
        <is>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is>
      </c>
    </row>
    <row r="62" ht="27.6" customHeight="1" s="8">
      <c r="A62" s="3" t="inlineStr">
        <is>
          <t>AC-003-003-01</t>
        </is>
      </c>
      <c r="B62" s="3" t="inlineStr">
        <is>
          <t>US-003-003</t>
        </is>
      </c>
      <c r="C62" s="3" t="inlineStr">
        <is>
          <t>EP-003</t>
        </is>
      </c>
      <c r="D62" s="3" t="inlineStr">
        <is>
          <t>Current state is visible on dashboard.</t>
        </is>
      </c>
      <c r="E62" s="3" t="n"/>
      <c r="F62" s="3" t="inlineStr">
        <is>
          <t>Pass</t>
        </is>
      </c>
      <c r="G62" s="3" t="n"/>
      <c r="H62" s="3" t="n"/>
      <c r="I62" s="3" t="inlineStr">
        <is>
          <t>Claude (AI Engineer)</t>
        </is>
      </c>
      <c r="J62" s="3" t="inlineStr">
        <is>
          <t>SIT</t>
        </is>
      </c>
      <c r="K62" s="3" t="inlineStr">
        <is>
          <t>Live test 2026-09-08: GET /attendance/state -&gt; 200 with a populated state field. | PASS - manually re-verified live in-browser: /my-day's ATTENDANCE card always shows the current state (Clocked out / Working / On break) front and center.</t>
        </is>
      </c>
    </row>
    <row r="63" ht="27.6" customHeight="1" s="8">
      <c r="A63" s="3" t="inlineStr">
        <is>
          <t>AC-003-003-02</t>
        </is>
      </c>
      <c r="B63" s="3" t="inlineStr">
        <is>
          <t>US-003-003</t>
        </is>
      </c>
      <c r="C63" s="3" t="inlineStr">
        <is>
          <t>EP-003</t>
        </is>
      </c>
      <c r="D63" s="3" t="inlineStr">
        <is>
          <t>State is derived from server records, not browser memory alone.</t>
        </is>
      </c>
      <c r="E63" s="3" t="n"/>
      <c r="F63" s="3" t="inlineStr">
        <is>
          <t>Pass</t>
        </is>
      </c>
      <c r="G63" s="3" t="n"/>
      <c r="H63" s="3" t="n"/>
      <c r="I63" s="3" t="inlineStr">
        <is>
          <t>Claude (AI Engineer)</t>
        </is>
      </c>
      <c r="J63" s="3" t="inlineStr">
        <is>
          <t>SIT</t>
        </is>
      </c>
      <c r="K63" s="3" t="inlineStr">
        <is>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is>
      </c>
    </row>
    <row r="64" ht="27.6" customHeight="1" s="8">
      <c r="A64" s="3" t="inlineStr">
        <is>
          <t>AC-003-003-03</t>
        </is>
      </c>
      <c r="B64" s="3" t="inlineStr">
        <is>
          <t>US-003-003</t>
        </is>
      </c>
      <c r="C64" s="3" t="inlineStr">
        <is>
          <t>EP-003</t>
        </is>
      </c>
      <c r="D64" s="3" t="inlineStr">
        <is>
          <t>State persists after page refresh/re-login.</t>
        </is>
      </c>
      <c r="E64" s="3" t="n"/>
      <c r="F64" s="3" t="inlineStr">
        <is>
          <t>Pass</t>
        </is>
      </c>
      <c r="G64" s="3" t="n"/>
      <c r="H64" s="3" t="n"/>
      <c r="I64" s="3" t="inlineStr">
        <is>
          <t>Claude (AI Engineer)</t>
        </is>
      </c>
      <c r="J64" s="3" t="inlineStr">
        <is>
          <t>SIT</t>
        </is>
      </c>
      <c r="K64" s="3" t="inlineStr">
        <is>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is>
      </c>
    </row>
    <row r="65" ht="27.6" customHeight="1" s="8">
      <c r="A65" s="3" t="inlineStr">
        <is>
          <t>AC-003-003-04</t>
        </is>
      </c>
      <c r="B65" s="3" t="inlineStr">
        <is>
          <t>US-003-003</t>
        </is>
      </c>
      <c r="C65" s="3" t="inlineStr">
        <is>
          <t>EP-003</t>
        </is>
      </c>
      <c r="D65" s="3" t="inlineStr">
        <is>
          <t>Invalid contradictory states are prevented by backend rules.</t>
        </is>
      </c>
      <c r="E65" s="3" t="n"/>
      <c r="F65" s="3" t="inlineStr">
        <is>
          <t>Pass</t>
        </is>
      </c>
      <c r="G65" s="3" t="n"/>
      <c r="H65" s="3" t="n"/>
      <c r="I65" s="3" t="inlineStr">
        <is>
          <t>Claude (AI Engineer)</t>
        </is>
      </c>
      <c r="J65" s="3" t="inlineStr">
        <is>
          <t>SIT</t>
        </is>
      </c>
      <c r="K65" s="3" t="inlineStr">
        <is>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is>
      </c>
    </row>
    <row r="66" ht="27.6" customHeight="1" s="8">
      <c r="A66" s="3" t="inlineStr">
        <is>
          <t>AC-003-004-01</t>
        </is>
      </c>
      <c r="B66" s="3" t="inlineStr">
        <is>
          <t>US-003-004</t>
        </is>
      </c>
      <c r="C66" s="3" t="inlineStr">
        <is>
          <t>EP-003</t>
        </is>
      </c>
      <c r="D66" s="3" t="inlineStr">
        <is>
          <t>A second clock-in request during an active session is rejected.</t>
        </is>
      </c>
      <c r="E66" s="3" t="n"/>
      <c r="F66" s="3" t="inlineStr">
        <is>
          <t>Pass</t>
        </is>
      </c>
      <c r="G66" s="3" t="n"/>
      <c r="H66" s="3" t="n"/>
      <c r="I66" s="3" t="inlineStr">
        <is>
          <t>Claude (AI Engineer)</t>
        </is>
      </c>
      <c r="J66" s="3" t="inlineStr">
        <is>
          <t>SIT</t>
        </is>
      </c>
      <c r="K66" s="3" t="inlineStr">
        <is>
          <t>Live test 2026-09-08: second clock-in while active -&gt; 409. | PASS - manually re-verified live against production: sent a second POST /attendance/clock-in while already clocked in -&gt; 409 rejected.</t>
        </is>
      </c>
    </row>
    <row r="67" ht="27.6" customHeight="1" s="8">
      <c r="A67" s="3" t="inlineStr">
        <is>
          <t>AC-003-004-02</t>
        </is>
      </c>
      <c r="B67" s="3" t="inlineStr">
        <is>
          <t>US-003-004</t>
        </is>
      </c>
      <c r="C67" s="3" t="inlineStr">
        <is>
          <t>EP-003</t>
        </is>
      </c>
      <c r="D67" s="3" t="inlineStr">
        <is>
          <t>User receives a clear message with existing start time.</t>
        </is>
      </c>
      <c r="E67" s="3" t="n"/>
      <c r="F67" s="3" t="inlineStr">
        <is>
          <t>Pass</t>
        </is>
      </c>
      <c r="G67" s="3" t="n"/>
      <c r="H67" s="3" t="n"/>
      <c r="I67" s="3" t="inlineStr">
        <is>
          <t>Claude (AI Engineer)</t>
        </is>
      </c>
      <c r="J67" s="3" t="inlineStr">
        <is>
          <t>SIT</t>
        </is>
      </c>
      <c r="K67" s="3" t="inlineStr">
        <is>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is>
      </c>
    </row>
    <row r="68" ht="27.6" customHeight="1" s="8">
      <c r="A68" s="3" t="inlineStr">
        <is>
          <t>AC-003-004-03</t>
        </is>
      </c>
      <c r="B68" s="3" t="inlineStr">
        <is>
          <t>US-003-004</t>
        </is>
      </c>
      <c r="C68" s="3" t="inlineStr">
        <is>
          <t>EP-003</t>
        </is>
      </c>
      <c r="D68" s="3" t="inlineStr">
        <is>
          <t>No duplicate attendance row is created.</t>
        </is>
      </c>
      <c r="E68" s="3" t="n"/>
      <c r="F68" s="3" t="inlineStr">
        <is>
          <t>Pass</t>
        </is>
      </c>
      <c r="G68" s="3" t="n"/>
      <c r="H68" s="3" t="n"/>
      <c r="I68" s="3" t="inlineStr">
        <is>
          <t>Claude (AI Engineer)</t>
        </is>
      </c>
      <c r="J68" s="3" t="inlineStr">
        <is>
          <t>SIT</t>
        </is>
      </c>
      <c r="K68" s="3" t="inlineStr">
        <is>
          <t>Live test 2026-09-08: exactly 1 ACTIVE session exists in history after the rejected duplicate attempt. | PASS - manually re-verified live: confirmed via /attendance history immediately after the rejected duplicate attempt that only one session row exists for that clock-in, not two.</t>
        </is>
      </c>
    </row>
    <row r="69" ht="27.6" customHeight="1" s="8">
      <c r="A69" s="3" t="inlineStr">
        <is>
          <t>AC-003-004-04</t>
        </is>
      </c>
      <c r="B69" s="3" t="inlineStr">
        <is>
          <t>US-003-004</t>
        </is>
      </c>
      <c r="C69" s="3" t="inlineStr">
        <is>
          <t>EP-003</t>
        </is>
      </c>
      <c r="D69" s="3" t="inlineStr">
        <is>
          <t>Concurrent requests are protected by database/application constraints.</t>
        </is>
      </c>
      <c r="E69" s="3" t="n"/>
      <c r="F69" s="3" t="inlineStr">
        <is>
          <t>Pass</t>
        </is>
      </c>
      <c r="G69" s="3" t="n"/>
      <c r="H69" s="3" t="n"/>
      <c r="I69" s="3" t="inlineStr">
        <is>
          <t>Claude (AI Engineer)</t>
        </is>
      </c>
      <c r="J69" s="3" t="inlineStr">
        <is>
          <t>SIT</t>
        </is>
      </c>
      <c r="K69" s="3" t="inlineStr">
        <is>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is>
      </c>
    </row>
    <row r="70" ht="27.6" customHeight="1" s="8">
      <c r="A70" s="3" t="inlineStr">
        <is>
          <t>AC-003-005-01</t>
        </is>
      </c>
      <c r="B70" s="3" t="inlineStr">
        <is>
          <t>US-003-005</t>
        </is>
      </c>
      <c r="C70" s="3" t="inlineStr">
        <is>
          <t>EP-003</t>
        </is>
      </c>
      <c r="D70" s="3" t="inlineStr">
        <is>
          <t>System detects an active task timer before completing clock-out.</t>
        </is>
      </c>
      <c r="E70" s="3" t="n"/>
      <c r="F70" s="3" t="inlineStr">
        <is>
          <t>Pass</t>
        </is>
      </c>
      <c r="G70" s="3" t="n"/>
      <c r="H70" s="3" t="n"/>
      <c r="I70" s="3" t="inlineStr">
        <is>
          <t>Claude (AI Engineer)</t>
        </is>
      </c>
      <c r="J70" s="3" t="inlineStr">
        <is>
          <t>SIT</t>
        </is>
      </c>
      <c r="K70" s="3" t="inlineStr">
        <is>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is>
      </c>
    </row>
    <row r="71" ht="27.6" customHeight="1" s="8">
      <c r="A71" s="3" t="inlineStr">
        <is>
          <t>AC-003-005-02</t>
        </is>
      </c>
      <c r="B71" s="3" t="inlineStr">
        <is>
          <t>US-003-005</t>
        </is>
      </c>
      <c r="C71" s="3" t="inlineStr">
        <is>
          <t>EP-003</t>
        </is>
      </c>
      <c r="D71" s="3" t="inlineStr">
        <is>
          <t>User is prompted to stop the task and clock out or cancel.</t>
        </is>
      </c>
      <c r="E71" s="3" t="n"/>
      <c r="F71" s="3" t="inlineStr">
        <is>
          <t>Pass</t>
        </is>
      </c>
      <c r="G71" s="3" t="n"/>
      <c r="H71" s="3" t="n"/>
      <c r="I71" s="3" t="inlineStr">
        <is>
          <t>Claude (AI Engineer)</t>
        </is>
      </c>
      <c r="J71" s="3" t="inlineStr">
        <is>
          <t>SIT</t>
        </is>
      </c>
      <c r="K71" s="3" t="inlineStr">
        <is>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is>
      </c>
    </row>
    <row r="72" ht="27.6" customHeight="1" s="8">
      <c r="A72" s="3" t="inlineStr">
        <is>
          <t>AC-003-005-03</t>
        </is>
      </c>
      <c r="B72" s="3" t="inlineStr">
        <is>
          <t>US-003-005</t>
        </is>
      </c>
      <c r="C72" s="3" t="inlineStr">
        <is>
          <t>EP-003</t>
        </is>
      </c>
      <c r="D72" s="3" t="inlineStr">
        <is>
          <t>Confirmed action stops task using a consistent timestamp then clocks out.</t>
        </is>
      </c>
      <c r="E72" s="3" t="n"/>
      <c r="F72" s="3" t="inlineStr">
        <is>
          <t>Pass</t>
        </is>
      </c>
      <c r="G72" s="3" t="n"/>
      <c r="H72" s="3" t="n"/>
      <c r="I72" s="3" t="inlineStr">
        <is>
          <t>Claude (AI Engineer)</t>
        </is>
      </c>
      <c r="J72" s="3" t="inlineStr">
        <is>
          <t>SIT</t>
        </is>
      </c>
      <c r="K72" s="3" t="inlineStr">
        <is>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is>
      </c>
    </row>
    <row r="73" ht="27.6" customHeight="1" s="8">
      <c r="A73" s="3" t="inlineStr">
        <is>
          <t>AC-003-005-04</t>
        </is>
      </c>
      <c r="B73" s="3" t="inlineStr">
        <is>
          <t>US-003-005</t>
        </is>
      </c>
      <c r="C73" s="3" t="inlineStr">
        <is>
          <t>EP-003</t>
        </is>
      </c>
      <c r="D73" s="3" t="inlineStr">
        <is>
          <t>No overlapping task time is created after clock-out.</t>
        </is>
      </c>
      <c r="E73" s="3" t="n"/>
      <c r="F73" s="3" t="inlineStr">
        <is>
          <t>Pass</t>
        </is>
      </c>
      <c r="G73" s="3" t="n"/>
      <c r="H73" s="3" t="n"/>
      <c r="I73" s="3" t="inlineStr">
        <is>
          <t>Claude (AI Engineer)</t>
        </is>
      </c>
      <c r="J73" s="3" t="inlineStr">
        <is>
          <t>SIT</t>
        </is>
      </c>
      <c r="K73" s="3" t="inlineStr">
        <is>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is>
      </c>
    </row>
    <row r="74" ht="27.6" customHeight="1" s="8">
      <c r="A74" s="3" t="inlineStr">
        <is>
          <t>AC-003-006-01</t>
        </is>
      </c>
      <c r="B74" s="3" t="inlineStr">
        <is>
          <t>US-003-006</t>
        </is>
      </c>
      <c r="C74" s="3" t="inlineStr">
        <is>
          <t>EP-003</t>
        </is>
      </c>
      <c r="D74" s="3" t="inlineStr">
        <is>
          <t>System detects active break.</t>
        </is>
      </c>
      <c r="E74" s="3" t="n"/>
      <c r="F74" s="3" t="inlineStr">
        <is>
          <t>Pass</t>
        </is>
      </c>
      <c r="G74" s="3" t="n"/>
      <c r="H74" s="3" t="n"/>
      <c r="I74" s="3" t="inlineStr">
        <is>
          <t>Claude (AI Engineer)</t>
        </is>
      </c>
      <c r="J74" s="3" t="inlineStr">
        <is>
          <t>SIT</t>
        </is>
      </c>
      <c r="K74" s="3" t="inlineStr">
        <is>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is>
      </c>
    </row>
    <row r="75" ht="27.6" customHeight="1" s="8">
      <c r="A75" s="3" t="inlineStr">
        <is>
          <t>AC-003-006-02</t>
        </is>
      </c>
      <c r="B75" s="3" t="inlineStr">
        <is>
          <t>US-003-006</t>
        </is>
      </c>
      <c r="C75" s="3" t="inlineStr">
        <is>
          <t>EP-003</t>
        </is>
      </c>
      <c r="D75" s="3" t="inlineStr">
        <is>
          <t>User can confirm ending break and clocking out or cancel.</t>
        </is>
      </c>
      <c r="E75" s="3" t="n"/>
      <c r="F75" s="3" t="inlineStr">
        <is>
          <t>Pass</t>
        </is>
      </c>
      <c r="G75" s="3" t="n"/>
      <c r="H75" s="3" t="n"/>
      <c r="I75" s="3" t="inlineStr">
        <is>
          <t>Claude (AI Engineer)</t>
        </is>
      </c>
      <c r="J75" s="3" t="inlineStr">
        <is>
          <t>SIT</t>
        </is>
      </c>
      <c r="K75" s="3" t="inlineStr">
        <is>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is>
      </c>
    </row>
    <row r="76" ht="27.6" customHeight="1" s="8">
      <c r="A76" s="3" t="inlineStr">
        <is>
          <t>AC-003-006-03</t>
        </is>
      </c>
      <c r="B76" s="3" t="inlineStr">
        <is>
          <t>US-003-006</t>
        </is>
      </c>
      <c r="C76" s="3" t="inlineStr">
        <is>
          <t>EP-003</t>
        </is>
      </c>
      <c r="D76" s="3" t="inlineStr">
        <is>
          <t>Confirmed action closes break before closing attendance.</t>
        </is>
      </c>
      <c r="E76" s="3" t="n"/>
      <c r="F76" s="3" t="inlineStr">
        <is>
          <t>Pass</t>
        </is>
      </c>
      <c r="G76" s="3" t="n"/>
      <c r="H76" s="3" t="n"/>
      <c r="I76" s="3" t="inlineStr">
        <is>
          <t>Claude (AI Engineer)</t>
        </is>
      </c>
      <c r="J76" s="3" t="inlineStr">
        <is>
          <t>SIT</t>
        </is>
      </c>
      <c r="K76" s="3" t="inlineStr">
        <is>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is>
      </c>
    </row>
    <row r="77" ht="27.6" customHeight="1" s="8">
      <c r="A77" s="3" t="inlineStr">
        <is>
          <t>AC-003-006-04</t>
        </is>
      </c>
      <c r="B77" s="3" t="inlineStr">
        <is>
          <t>US-003-006</t>
        </is>
      </c>
      <c r="C77" s="3" t="inlineStr">
        <is>
          <t>EP-003</t>
        </is>
      </c>
      <c r="D77" s="3" t="inlineStr">
        <is>
          <t>Break and attendance timestamps remain consistent.</t>
        </is>
      </c>
      <c r="E77" s="3" t="n"/>
      <c r="F77" s="3" t="inlineStr">
        <is>
          <t>Pass</t>
        </is>
      </c>
      <c r="G77" s="3" t="n"/>
      <c r="H77" s="3" t="n"/>
      <c r="I77" s="3" t="inlineStr">
        <is>
          <t>Claude (AI Engineer)</t>
        </is>
      </c>
      <c r="J77" s="3" t="inlineStr">
        <is>
          <t>SIT</t>
        </is>
      </c>
      <c r="K77" s="3" t="inlineStr">
        <is>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is>
      </c>
    </row>
    <row r="78" ht="27.6" customHeight="1" s="8">
      <c r="A78" s="3" t="inlineStr">
        <is>
          <t>AC-003-007-01</t>
        </is>
      </c>
      <c r="B78" s="3" t="inlineStr">
        <is>
          <t>US-003-007</t>
        </is>
      </c>
      <c r="C78" s="3" t="inlineStr">
        <is>
          <t>EP-003</t>
        </is>
      </c>
      <c r="D78" s="3" t="inlineStr">
        <is>
          <t>History shows date, clock-in, clock-out, break total and net work.</t>
        </is>
      </c>
      <c r="E78" s="3" t="n"/>
      <c r="F78" s="3" t="inlineStr">
        <is>
          <t>Pass</t>
        </is>
      </c>
      <c r="G78" s="3" t="n"/>
      <c r="H78" s="3" t="inlineStr">
        <is>
          <t>DEF-004</t>
        </is>
      </c>
      <c r="I78" s="3" t="inlineStr">
        <is>
          <t>Claude (AI Engineer)</t>
        </is>
      </c>
      <c r="J78" s="3" t="inlineStr">
        <is>
          <t>SIT</t>
        </is>
      </c>
      <c r="K78" s="3" t="inlineStr">
        <is>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is>
      </c>
    </row>
    <row r="79" ht="27.6" customHeight="1" s="8">
      <c r="A79" s="3" t="inlineStr">
        <is>
          <t>AC-003-007-02</t>
        </is>
      </c>
      <c r="B79" s="3" t="inlineStr">
        <is>
          <t>US-003-007</t>
        </is>
      </c>
      <c r="C79" s="3" t="inlineStr">
        <is>
          <t>EP-003</t>
        </is>
      </c>
      <c r="D79" s="3" t="inlineStr">
        <is>
          <t>Records are ordered by date/time.</t>
        </is>
      </c>
      <c r="E79" s="3" t="n"/>
      <c r="F79" s="3" t="inlineStr">
        <is>
          <t>Pass</t>
        </is>
      </c>
      <c r="G79" s="3" t="n"/>
      <c r="H79" s="3" t="n"/>
      <c r="I79" s="3" t="inlineStr">
        <is>
          <t>Claude (AI Engineer)</t>
        </is>
      </c>
      <c r="J79" s="3" t="inlineStr">
        <is>
          <t>SIT</t>
        </is>
      </c>
      <c r="K79" s="3" t="inlineStr">
        <is>
          <t>Live test 2026-09-08: records confirmed ordered newest-first. | PASS - manually re-verified live: /attendance history is ordered by clockInAt desc both in the API (orderBy: {clockInAt: 'desc'}) and as rendered on screen - most recent session always listed first.</t>
        </is>
      </c>
    </row>
    <row r="80" ht="27.6" customHeight="1" s="8">
      <c r="A80" s="3" t="inlineStr">
        <is>
          <t>AC-003-007-03</t>
        </is>
      </c>
      <c r="B80" s="3" t="inlineStr">
        <is>
          <t>US-003-007</t>
        </is>
      </c>
      <c r="C80" s="3" t="inlineStr">
        <is>
          <t>EP-003</t>
        </is>
      </c>
      <c r="D80" s="3" t="inlineStr">
        <is>
          <t>User can filter by date range.</t>
        </is>
      </c>
      <c r="E80" s="3" t="n"/>
      <c r="F80" s="3" t="inlineStr">
        <is>
          <t>Pass</t>
        </is>
      </c>
      <c r="G80" s="3" t="n"/>
      <c r="H80" s="3" t="inlineStr">
        <is>
          <t>DEF-005</t>
        </is>
      </c>
      <c r="I80" s="3" t="inlineStr">
        <is>
          <t>Claude (AI Engineer)</t>
        </is>
      </c>
      <c r="J80" s="3" t="inlineStr">
        <is>
          <t>SIT</t>
        </is>
      </c>
      <c r="K80" s="3"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is>
      </c>
    </row>
    <row r="81" ht="27.6" customHeight="1" s="8">
      <c r="A81" s="3" t="inlineStr">
        <is>
          <t>AC-003-007-04</t>
        </is>
      </c>
      <c r="B81" s="3" t="inlineStr">
        <is>
          <t>US-003-007</t>
        </is>
      </c>
      <c r="C81" s="3" t="inlineStr">
        <is>
          <t>EP-003</t>
        </is>
      </c>
      <c r="D81" s="3" t="inlineStr">
        <is>
          <t>Employee can only see their own history unless separately authorised.</t>
        </is>
      </c>
      <c r="E81" s="3" t="n"/>
      <c r="F81" s="3" t="inlineStr">
        <is>
          <t>Pass</t>
        </is>
      </c>
      <c r="G81" s="3" t="n"/>
      <c r="H81" s="3" t="n"/>
      <c r="I81" s="3" t="inlineStr">
        <is>
          <t>Claude (AI Engineer)</t>
        </is>
      </c>
      <c r="J81" s="3" t="inlineStr">
        <is>
          <t>SIT</t>
        </is>
      </c>
      <c r="K81" s="3" t="inlineStr">
        <is>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is>
      </c>
    </row>
    <row r="82" ht="27.6" customHeight="1" s="8">
      <c r="A82" s="3" t="inlineStr">
        <is>
          <t>AC-003-008-01</t>
        </is>
      </c>
      <c r="B82" s="3" t="inlineStr">
        <is>
          <t>US-003-008</t>
        </is>
      </c>
      <c r="C82" s="3" t="inlineStr">
        <is>
          <t>EP-003</t>
        </is>
      </c>
      <c r="D82" s="3" t="inlineStr">
        <is>
          <t>List shows active attendance sessions.</t>
        </is>
      </c>
      <c r="E82" s="3" t="n"/>
      <c r="F82" s="3" t="inlineStr">
        <is>
          <t>Pass</t>
        </is>
      </c>
      <c r="G82" s="3" t="n"/>
      <c r="H82" s="3" t="n"/>
      <c r="I82" s="3" t="inlineStr">
        <is>
          <t>Claude (AI Engineer)</t>
        </is>
      </c>
      <c r="J82" s="3" t="inlineStr">
        <is>
          <t>SIT</t>
        </is>
      </c>
      <c r="K82" s="3" t="inlineStr">
        <is>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is>
      </c>
    </row>
    <row r="83" ht="27.6" customHeight="1" s="8">
      <c r="A83" s="3" t="inlineStr">
        <is>
          <t>AC-003-008-02</t>
        </is>
      </c>
      <c r="B83" s="3" t="inlineStr">
        <is>
          <t>US-003-008</t>
        </is>
      </c>
      <c r="C83" s="3" t="inlineStr">
        <is>
          <t>EP-003</t>
        </is>
      </c>
      <c r="D83" s="3" t="inlineStr">
        <is>
          <t>Status distinguishes Working and On Break.</t>
        </is>
      </c>
      <c r="E83" s="3" t="n"/>
      <c r="F83" s="3" t="inlineStr">
        <is>
          <t>Pass</t>
        </is>
      </c>
      <c r="G83" s="3" t="n"/>
      <c r="H83" s="3" t="n"/>
      <c r="I83" s="3" t="inlineStr">
        <is>
          <t>Claude (AI Engineer)</t>
        </is>
      </c>
      <c r="J83" s="3" t="inlineStr">
        <is>
          <t>SIT</t>
        </is>
      </c>
      <c r="K83" s="3" t="inlineStr">
        <is>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is>
      </c>
    </row>
    <row r="84" ht="27.6" customHeight="1" s="8">
      <c r="A84" s="3" t="inlineStr">
        <is>
          <t>AC-003-008-03</t>
        </is>
      </c>
      <c r="B84" s="3" t="inlineStr">
        <is>
          <t>US-003-008</t>
        </is>
      </c>
      <c r="C84" s="3" t="inlineStr">
        <is>
          <t>EP-003</t>
        </is>
      </c>
      <c r="D84" s="3" t="inlineStr">
        <is>
          <t>Clock-in time and current duration are displayed.</t>
        </is>
      </c>
      <c r="E84" s="3" t="n"/>
      <c r="F84" s="3" t="inlineStr">
        <is>
          <t>Pass</t>
        </is>
      </c>
      <c r="G84" s="3" t="n"/>
      <c r="H84" s="3" t="inlineStr">
        <is>
          <t>DEF-006</t>
        </is>
      </c>
      <c r="I84" s="3" t="inlineStr">
        <is>
          <t>Claude (AI Engineer)</t>
        </is>
      </c>
      <c r="J84" s="3" t="inlineStr">
        <is>
          <t>SIT</t>
        </is>
      </c>
      <c r="K84" s="3" t="inlineStr">
        <is>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is>
      </c>
    </row>
    <row r="85" ht="27.6" customHeight="1" s="8">
      <c r="A85" s="3" t="inlineStr">
        <is>
          <t>AC-003-008-04</t>
        </is>
      </c>
      <c r="B85" s="3" t="inlineStr">
        <is>
          <t>US-003-008</t>
        </is>
      </c>
      <c r="C85" s="3" t="inlineStr">
        <is>
          <t>EP-003</t>
        </is>
      </c>
      <c r="D85" s="3" t="inlineStr">
        <is>
          <t>Only authorised administrators can see organisation-wide status.</t>
        </is>
      </c>
      <c r="E85" s="3" t="n"/>
      <c r="F85" s="3" t="inlineStr">
        <is>
          <t>Pass</t>
        </is>
      </c>
      <c r="G85" s="3" t="n"/>
      <c r="H85" s="3" t="n"/>
      <c r="I85" s="3" t="inlineStr">
        <is>
          <t>Claude (AI Engineer)</t>
        </is>
      </c>
      <c r="J85" s="3" t="inlineStr">
        <is>
          <t>SIT</t>
        </is>
      </c>
      <c r="K85" s="3" t="inlineStr">
        <is>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is>
      </c>
    </row>
    <row r="86" ht="27.6" customHeight="1" s="8">
      <c r="A86" s="3" t="inlineStr">
        <is>
          <t>AC-004-001-01</t>
        </is>
      </c>
      <c r="B86" s="3" t="inlineStr">
        <is>
          <t>US-004-001</t>
        </is>
      </c>
      <c r="C86" s="3" t="inlineStr">
        <is>
          <t>EP-004</t>
        </is>
      </c>
      <c r="D86" s="3" t="inlineStr">
        <is>
          <t>User must be clocked in.</t>
        </is>
      </c>
      <c r="E86" s="3" t="n"/>
      <c r="F86" s="3" t="inlineStr">
        <is>
          <t>Pass</t>
        </is>
      </c>
      <c r="G86" s="3" t="n"/>
      <c r="H86" s="3" t="n"/>
      <c r="I86" s="3" t="inlineStr">
        <is>
          <t>Claude (AI Engineer)</t>
        </is>
      </c>
      <c r="J86" s="3" t="inlineStr">
        <is>
          <t>SIT</t>
        </is>
      </c>
      <c r="K86" s="3" t="inlineStr">
        <is>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is>
      </c>
    </row>
    <row r="87" ht="27.6" customHeight="1" s="8">
      <c r="A87" s="3" t="inlineStr">
        <is>
          <t>AC-004-001-02</t>
        </is>
      </c>
      <c r="B87" s="3" t="inlineStr">
        <is>
          <t>US-004-001</t>
        </is>
      </c>
      <c r="C87" s="3" t="inlineStr">
        <is>
          <t>EP-004</t>
        </is>
      </c>
      <c r="D87" s="3" t="inlineStr">
        <is>
          <t>User cannot already have an active break.</t>
        </is>
      </c>
      <c r="E87" s="3" t="n"/>
      <c r="F87" s="3" t="inlineStr">
        <is>
          <t>Pass</t>
        </is>
      </c>
      <c r="G87" s="3" t="n"/>
      <c r="H87" s="3" t="n"/>
      <c r="I87" s="3" t="inlineStr">
        <is>
          <t>Claude (AI Engineer)</t>
        </is>
      </c>
      <c r="J87" s="3" t="inlineStr">
        <is>
          <t>SIT</t>
        </is>
      </c>
      <c r="K87" s="3" t="inlineStr">
        <is>
          <t>Live test 2026-09-08: second POST /breaks/start while already on break -&gt; 400. | PASS - manually re-verified live: after a real break was already active, called POST /breaks/start again -&gt; 400 with the same message, confirming a second break cannot start while one is already open.</t>
        </is>
      </c>
    </row>
    <row r="88" ht="27.6" customHeight="1" s="8">
      <c r="A88" s="3" t="inlineStr">
        <is>
          <t>AC-004-001-03</t>
        </is>
      </c>
      <c r="B88" s="3" t="inlineStr">
        <is>
          <t>US-004-001</t>
        </is>
      </c>
      <c r="C88" s="3" t="inlineStr">
        <is>
          <t>EP-004</t>
        </is>
      </c>
      <c r="D88" s="3" t="inlineStr">
        <is>
          <t>Server timestamp records break start.</t>
        </is>
      </c>
      <c r="E88" s="3" t="n"/>
      <c r="F88" s="3" t="inlineStr">
        <is>
          <t>Pass</t>
        </is>
      </c>
      <c r="G88" s="3" t="n"/>
      <c r="H88" s="3" t="n"/>
      <c r="I88" s="3" t="inlineStr">
        <is>
          <t>Claude (AI Engineer)</t>
        </is>
      </c>
      <c r="J88" s="3" t="inlineStr">
        <is>
          <t>SIT</t>
        </is>
      </c>
      <c r="K88" s="3" t="inlineStr">
        <is>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is>
      </c>
    </row>
    <row r="89" ht="27.6" customHeight="1" s="8">
      <c r="A89" s="3" t="inlineStr">
        <is>
          <t>AC-004-001-04</t>
        </is>
      </c>
      <c r="B89" s="3" t="inlineStr">
        <is>
          <t>US-004-001</t>
        </is>
      </c>
      <c r="C89" s="3" t="inlineStr">
        <is>
          <t>EP-004</t>
        </is>
      </c>
      <c r="D89" s="3" t="inlineStr">
        <is>
          <t>Dashboard changes to On Break.</t>
        </is>
      </c>
      <c r="E89" s="3" t="n"/>
      <c r="F89" s="3" t="inlineStr">
        <is>
          <t>Pass</t>
        </is>
      </c>
      <c r="G89" s="3" t="n"/>
      <c r="H89" s="3" t="n"/>
      <c r="I89" s="3" t="inlineStr">
        <is>
          <t>Claude (AI Engineer)</t>
        </is>
      </c>
      <c r="J89" s="3" t="inlineStr">
        <is>
          <t>SIT</t>
        </is>
      </c>
      <c r="K89" s="3" t="inlineStr">
        <is>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is>
      </c>
    </row>
    <row r="90" ht="27.6" customHeight="1" s="8">
      <c r="A90" s="3" t="inlineStr">
        <is>
          <t>AC-004-002-01</t>
        </is>
      </c>
      <c r="B90" s="3" t="inlineStr">
        <is>
          <t>US-004-002</t>
        </is>
      </c>
      <c r="C90" s="3" t="inlineStr">
        <is>
          <t>EP-004</t>
        </is>
      </c>
      <c r="D90" s="3" t="inlineStr">
        <is>
          <t>An active break is required.</t>
        </is>
      </c>
      <c r="E90" s="3" t="n"/>
      <c r="F90" s="3" t="inlineStr">
        <is>
          <t>Pass</t>
        </is>
      </c>
      <c r="G90" s="3" t="n"/>
      <c r="H90" s="3" t="n"/>
      <c r="I90" s="3" t="inlineStr">
        <is>
          <t>Claude (AI Engineer)</t>
        </is>
      </c>
      <c r="J90" s="3" t="inlineStr">
        <is>
          <t>SIT</t>
        </is>
      </c>
      <c r="K90" s="3" t="inlineStr">
        <is>
          <t>Live test 2026-09-08: POST /breaks/end with no active break -&gt; 400. | PASS - manually re-verified live: with no active break, POST /breaks/end -&gt; 400 'You do not have an active break'.</t>
        </is>
      </c>
    </row>
    <row r="91" ht="27.6" customHeight="1" s="8">
      <c r="A91" s="3" t="inlineStr">
        <is>
          <t>AC-004-002-02</t>
        </is>
      </c>
      <c r="B91" s="3" t="inlineStr">
        <is>
          <t>US-004-002</t>
        </is>
      </c>
      <c r="C91" s="3" t="inlineStr">
        <is>
          <t>EP-004</t>
        </is>
      </c>
      <c r="D91" s="3" t="inlineStr">
        <is>
          <t>Server timestamp records break end.</t>
        </is>
      </c>
      <c r="E91" s="3" t="n"/>
      <c r="F91" s="3" t="inlineStr">
        <is>
          <t>Pass</t>
        </is>
      </c>
      <c r="G91" s="3" t="n"/>
      <c r="H91" s="3" t="n"/>
      <c r="I91" s="3" t="inlineStr">
        <is>
          <t>Claude (AI Engineer)</t>
        </is>
      </c>
      <c r="J91" s="3" t="inlineStr">
        <is>
          <t>SIT</t>
        </is>
      </c>
      <c r="K91" s="3" t="inlineStr">
        <is>
          <t>Live test 2026-09-08: break endAt server-generated; endpoint takes no body. | PASS - manually re-verified live in-browser: clicking the real 'End Break' button produced a POST /breaks/end response with a server-generated endAt; no client timestamp is accepted.</t>
        </is>
      </c>
    </row>
    <row r="92" ht="27.6" customHeight="1" s="8">
      <c r="A92" s="3" t="inlineStr">
        <is>
          <t>AC-004-002-03</t>
        </is>
      </c>
      <c r="B92" s="3" t="inlineStr">
        <is>
          <t>US-004-002</t>
        </is>
      </c>
      <c r="C92" s="3" t="inlineStr">
        <is>
          <t>EP-004</t>
        </is>
      </c>
      <c r="D92" s="3" t="inlineStr">
        <is>
          <t>Break duration is calculated automatically.</t>
        </is>
      </c>
      <c r="E92" s="3" t="n"/>
      <c r="F92" s="3" t="inlineStr">
        <is>
          <t>Pass</t>
        </is>
      </c>
      <c r="G92" s="3" t="n"/>
      <c r="H92" s="3" t="n"/>
      <c r="I92" s="3" t="inlineStr">
        <is>
          <t>Claude (AI Engineer)</t>
        </is>
      </c>
      <c r="J92" s="3" t="inlineStr">
        <is>
          <t>SIT</t>
        </is>
      </c>
      <c r="K92" s="3" t="inlineStr">
        <is>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is>
      </c>
    </row>
    <row r="93" ht="27.6" customHeight="1" s="8">
      <c r="A93" s="3" t="inlineStr">
        <is>
          <t>AC-004-002-04</t>
        </is>
      </c>
      <c r="B93" s="3" t="inlineStr">
        <is>
          <t>US-004-002</t>
        </is>
      </c>
      <c r="C93" s="3" t="inlineStr">
        <is>
          <t>EP-004</t>
        </is>
      </c>
      <c r="D93" s="3" t="inlineStr">
        <is>
          <t>Dashboard returns to Working state.</t>
        </is>
      </c>
      <c r="E93" s="3" t="n"/>
      <c r="F93" s="3" t="inlineStr">
        <is>
          <t>Pass</t>
        </is>
      </c>
      <c r="G93" s="3" t="n"/>
      <c r="H93" s="3" t="n"/>
      <c r="I93" s="3" t="inlineStr">
        <is>
          <t>Claude (AI Engineer)</t>
        </is>
      </c>
      <c r="J93" s="3" t="inlineStr">
        <is>
          <t>SIT</t>
        </is>
      </c>
      <c r="K93" s="3" t="inlineStr">
        <is>
          <t>Live test 2026-09-08: GET /attendance/state after ending the break -&gt; state=WORKING. | PASS - manually re-verified live in-browser: clicking 'End Break' immediately returned /my-day to the 'Working' state with the Start Break button restored, sourced from a live server state check.</t>
        </is>
      </c>
    </row>
    <row r="94" ht="27.6" customHeight="1" s="8">
      <c r="A94" s="3" t="inlineStr">
        <is>
          <t>AC-004-003-01</t>
        </is>
      </c>
      <c r="B94" s="3" t="inlineStr">
        <is>
          <t>US-004-003</t>
        </is>
      </c>
      <c r="C94" s="3" t="inlineStr">
        <is>
          <t>EP-004</t>
        </is>
      </c>
      <c r="D94" s="3" t="inlineStr">
        <is>
          <t>Each break creates a separate break record.</t>
        </is>
      </c>
      <c r="E94" s="3" t="n"/>
      <c r="F94" s="3" t="inlineStr">
        <is>
          <t>Pass</t>
        </is>
      </c>
      <c r="G94" s="3" t="n"/>
      <c r="H94" s="3" t="n"/>
      <c r="I94" s="3" t="inlineStr">
        <is>
          <t>Claude (AI Engineer)</t>
        </is>
      </c>
      <c r="J94" s="3" t="inlineStr">
        <is>
          <t>SIT</t>
        </is>
      </c>
      <c r="K94" s="3" t="inlineStr">
        <is>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is>
      </c>
    </row>
    <row r="95" ht="27.6" customHeight="1" s="8">
      <c r="A95" s="3" t="inlineStr">
        <is>
          <t>AC-004-003-02</t>
        </is>
      </c>
      <c r="B95" s="3" t="inlineStr">
        <is>
          <t>US-004-003</t>
        </is>
      </c>
      <c r="C95" s="3" t="inlineStr">
        <is>
          <t>EP-004</t>
        </is>
      </c>
      <c r="D95" s="3" t="inlineStr">
        <is>
          <t>Breaks cannot overlap.</t>
        </is>
      </c>
      <c r="E95" s="3" t="n"/>
      <c r="F95" s="3" t="inlineStr">
        <is>
          <t>Pass</t>
        </is>
      </c>
      <c r="G95" s="3" t="n"/>
      <c r="H95" s="3" t="n"/>
      <c r="I95" s="3" t="inlineStr">
        <is>
          <t>Claude (AI Engineer)</t>
        </is>
      </c>
      <c r="J95" s="3" t="inlineStr">
        <is>
          <t>SIT</t>
        </is>
      </c>
      <c r="K95" s="3" t="inlineStr">
        <is>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is>
      </c>
    </row>
    <row r="96" ht="27.6" customHeight="1" s="8">
      <c r="A96" s="3" t="inlineStr">
        <is>
          <t>AC-004-003-03</t>
        </is>
      </c>
      <c r="B96" s="3" t="inlineStr">
        <is>
          <t>US-004-003</t>
        </is>
      </c>
      <c r="C96" s="3" t="inlineStr">
        <is>
          <t>EP-004</t>
        </is>
      </c>
      <c r="D96" s="3" t="inlineStr">
        <is>
          <t>Daily break total equals sum of completed break durations.</t>
        </is>
      </c>
      <c r="E96" s="3" t="n"/>
      <c r="F96" s="3" t="inlineStr">
        <is>
          <t>Pass</t>
        </is>
      </c>
      <c r="G96" s="3" t="n"/>
      <c r="H96" s="3" t="n"/>
      <c r="I96" s="3" t="inlineStr">
        <is>
          <t>Claude (AI Engineer)</t>
        </is>
      </c>
      <c r="J96" s="3" t="inlineStr">
        <is>
          <t>SIT</t>
        </is>
      </c>
      <c r="K96" s="3"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is>
      </c>
    </row>
    <row r="97" ht="27.6" customHeight="1" s="8">
      <c r="A97" s="3" t="inlineStr">
        <is>
          <t>AC-004-003-04</t>
        </is>
      </c>
      <c r="B97" s="3" t="inlineStr">
        <is>
          <t>US-004-003</t>
        </is>
      </c>
      <c r="C97" s="3" t="inlineStr">
        <is>
          <t>EP-004</t>
        </is>
      </c>
      <c r="D97" s="3" t="inlineStr">
        <is>
          <t>All break records remain linked to the attendance session.</t>
        </is>
      </c>
      <c r="E97" s="3" t="n"/>
      <c r="F97" s="3" t="inlineStr">
        <is>
          <t>Pass</t>
        </is>
      </c>
      <c r="G97" s="3" t="n"/>
      <c r="H97" s="3" t="n"/>
      <c r="I97" s="3" t="inlineStr">
        <is>
          <t>Claude (AI Engineer)</t>
        </is>
      </c>
      <c r="J97" s="3" t="inlineStr">
        <is>
          <t>SIT</t>
        </is>
      </c>
      <c r="K97" s="3" t="inlineStr">
        <is>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is>
      </c>
    </row>
    <row r="98" ht="27.6" customHeight="1" s="8">
      <c r="A98" s="3" t="inlineStr">
        <is>
          <t>AC-004-004-01</t>
        </is>
      </c>
      <c r="B98" s="3" t="inlineStr">
        <is>
          <t>US-004-004</t>
        </is>
      </c>
      <c r="C98" s="3" t="inlineStr">
        <is>
          <t>EP-004</t>
        </is>
      </c>
      <c r="D98" s="3" t="inlineStr">
        <is>
          <t>Starting a break checks for an active task timer.</t>
        </is>
      </c>
      <c r="E98" s="3" t="n"/>
      <c r="F98" s="3" t="inlineStr">
        <is>
          <t>Pass</t>
        </is>
      </c>
      <c r="G98" s="3" t="n"/>
      <c r="H98" s="3" t="n"/>
      <c r="I98" s="3" t="inlineStr">
        <is>
          <t>Claude (AI Engineer)</t>
        </is>
      </c>
      <c r="J98" s="3" t="inlineStr">
        <is>
          <t>SIT</t>
        </is>
      </c>
      <c r="K98" s="3" t="inlineStr">
        <is>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is>
      </c>
    </row>
    <row r="99" ht="27.6" customHeight="1" s="8">
      <c r="A99" s="3" t="inlineStr">
        <is>
          <t>AC-004-004-02</t>
        </is>
      </c>
      <c r="B99" s="3" t="inlineStr">
        <is>
          <t>US-004-004</t>
        </is>
      </c>
      <c r="C99" s="3" t="inlineStr">
        <is>
          <t>EP-004</t>
        </is>
      </c>
      <c r="D99" s="3" t="inlineStr">
        <is>
          <t>Active task timer is paused using the same effective server boundary timestamp.</t>
        </is>
      </c>
      <c r="E99" s="3" t="n"/>
      <c r="F99" s="3" t="inlineStr">
        <is>
          <t>Pass</t>
        </is>
      </c>
      <c r="G99" s="3" t="n"/>
      <c r="H99" s="3" t="n"/>
      <c r="I99" s="3" t="inlineStr">
        <is>
          <t>Claude (AI Engineer)</t>
        </is>
      </c>
      <c r="J99" s="3" t="inlineStr">
        <is>
          <t>SIT</t>
        </is>
      </c>
      <c r="K99" s="3" t="inlineStr">
        <is>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is>
      </c>
    </row>
    <row r="100" ht="27.6" customHeight="1" s="8">
      <c r="A100" s="3" t="inlineStr">
        <is>
          <t>AC-004-004-03</t>
        </is>
      </c>
      <c r="B100" s="3" t="inlineStr">
        <is>
          <t>US-004-004</t>
        </is>
      </c>
      <c r="C100" s="3" t="inlineStr">
        <is>
          <t>EP-004</t>
        </is>
      </c>
      <c r="D100" s="3" t="inlineStr">
        <is>
          <t>User is informed which task was paused.</t>
        </is>
      </c>
      <c r="E100" s="3" t="n"/>
      <c r="F100" s="3" t="inlineStr">
        <is>
          <t>Pass</t>
        </is>
      </c>
      <c r="G100" s="3" t="n"/>
      <c r="H100" s="3" t="n"/>
      <c r="I100" s="3" t="inlineStr">
        <is>
          <t>Claude (AI Engineer)</t>
        </is>
      </c>
      <c r="J100" s="3" t="inlineStr">
        <is>
          <t>SIT</t>
        </is>
      </c>
      <c r="K100" s="3" t="inlineStr">
        <is>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is>
      </c>
    </row>
    <row r="101" ht="27.6" customHeight="1" s="8">
      <c r="A101" s="3" t="inlineStr">
        <is>
          <t>AC-004-004-04</t>
        </is>
      </c>
      <c r="B101" s="3" t="inlineStr">
        <is>
          <t>US-004-004</t>
        </is>
      </c>
      <c r="C101" s="3" t="inlineStr">
        <is>
          <t>EP-004</t>
        </is>
      </c>
      <c r="D101" s="3" t="inlineStr">
        <is>
          <t>Ending break does not automatically resume the task without user confirmation.</t>
        </is>
      </c>
      <c r="E101" s="3" t="n"/>
      <c r="F101" s="3" t="inlineStr">
        <is>
          <t>Pass</t>
        </is>
      </c>
      <c r="G101" s="3" t="n"/>
      <c r="H101" s="3" t="n"/>
      <c r="I101" s="3" t="inlineStr">
        <is>
          <t>Claude (AI Engineer)</t>
        </is>
      </c>
      <c r="J101" s="3" t="inlineStr">
        <is>
          <t>SIT</t>
        </is>
      </c>
      <c r="K101" s="3" t="inlineStr">
        <is>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is>
      </c>
    </row>
    <row r="102" ht="27.6" customHeight="1" s="8">
      <c r="A102" s="3" t="inlineStr">
        <is>
          <t>AC-004-005-01</t>
        </is>
      </c>
      <c r="B102" s="3" t="inlineStr">
        <is>
          <t>US-004-005</t>
        </is>
      </c>
      <c r="C102" s="3" t="inlineStr">
        <is>
          <t>EP-004</t>
        </is>
      </c>
      <c r="D102" s="3" t="inlineStr">
        <is>
          <t>Attendance detail shows each break start/end/duration.</t>
        </is>
      </c>
      <c r="E102" s="3" t="n"/>
      <c r="F102" s="3" t="inlineStr">
        <is>
          <t>Pass</t>
        </is>
      </c>
      <c r="G102" s="3" t="n"/>
      <c r="H102" s="3" t="inlineStr">
        <is>
          <t>DEF-007</t>
        </is>
      </c>
      <c r="I102" s="3" t="inlineStr">
        <is>
          <t>Claude (AI Engineer)</t>
        </is>
      </c>
      <c r="J102" s="3" t="inlineStr">
        <is>
          <t>SIT</t>
        </is>
      </c>
      <c r="K102" s="3" t="inlineStr">
        <is>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is>
      </c>
    </row>
    <row r="103" ht="27.6" customHeight="1" s="8">
      <c r="A103" s="3" t="inlineStr">
        <is>
          <t>AC-004-005-02</t>
        </is>
      </c>
      <c r="B103" s="3" t="inlineStr">
        <is>
          <t>US-004-005</t>
        </is>
      </c>
      <c r="C103" s="3" t="inlineStr">
        <is>
          <t>EP-004</t>
        </is>
      </c>
      <c r="D103" s="3" t="inlineStr">
        <is>
          <t>Incomplete break is clearly marked.</t>
        </is>
      </c>
      <c r="E103" s="3" t="n"/>
      <c r="F103" s="3" t="inlineStr">
        <is>
          <t>Pass</t>
        </is>
      </c>
      <c r="G103" s="3" t="n"/>
      <c r="H103" s="3" t="n"/>
      <c r="I103" s="3" t="inlineStr">
        <is>
          <t>Claude (AI Engineer)</t>
        </is>
      </c>
      <c r="J103" s="3" t="inlineStr">
        <is>
          <t>SIT</t>
        </is>
      </c>
      <c r="K103" s="3" t="inlineStr">
        <is>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is>
      </c>
    </row>
    <row r="104" ht="27.6" customHeight="1" s="8">
      <c r="A104" s="3" t="inlineStr">
        <is>
          <t>AC-004-005-03</t>
        </is>
      </c>
      <c r="B104" s="3" t="inlineStr">
        <is>
          <t>US-004-005</t>
        </is>
      </c>
      <c r="C104" s="3" t="inlineStr">
        <is>
          <t>EP-004</t>
        </is>
      </c>
      <c r="D104" s="3" t="inlineStr">
        <is>
          <t>Break total reconciles to net working calculation.</t>
        </is>
      </c>
      <c r="E104" s="3" t="n"/>
      <c r="F104" s="3" t="inlineStr">
        <is>
          <t>Pass</t>
        </is>
      </c>
      <c r="G104" s="3" t="n"/>
      <c r="H104" s="3" t="n"/>
      <c r="I104" s="3" t="inlineStr">
        <is>
          <t>Claude (AI Engineer)</t>
        </is>
      </c>
      <c r="J104" s="3" t="inlineStr">
        <is>
          <t>SIT</t>
        </is>
      </c>
      <c r="K104" s="3" t="inlineStr">
        <is>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is>
      </c>
    </row>
    <row r="105" ht="27.6" customHeight="1" s="8">
      <c r="A105" s="3" t="inlineStr">
        <is>
          <t>AC-004-005-04</t>
        </is>
      </c>
      <c r="B105" s="3" t="inlineStr">
        <is>
          <t>US-004-005</t>
        </is>
      </c>
      <c r="C105" s="3" t="inlineStr">
        <is>
          <t>EP-004</t>
        </is>
      </c>
      <c r="D105" s="3" t="inlineStr">
        <is>
          <t>User cannot alter final break records without correction workflow.</t>
        </is>
      </c>
      <c r="E105" s="3" t="n"/>
      <c r="F105" s="3" t="inlineStr">
        <is>
          <t>Pass</t>
        </is>
      </c>
      <c r="G105" s="3" t="n"/>
      <c r="H105" s="3" t="n"/>
      <c r="I105" s="3" t="inlineStr">
        <is>
          <t>Claude (AI Engineer)</t>
        </is>
      </c>
      <c r="J105" s="3" t="inlineStr">
        <is>
          <t>SIT</t>
        </is>
      </c>
      <c r="K105" s="3" t="inlineStr">
        <is>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is>
      </c>
    </row>
    <row r="106" ht="27.6" customHeight="1" s="8">
      <c r="A106" s="3" t="inlineStr">
        <is>
          <t>AC-004-006-01</t>
        </is>
      </c>
      <c r="B106" s="3" t="inlineStr">
        <is>
          <t>US-004-006</t>
        </is>
      </c>
      <c r="C106" s="3" t="inlineStr">
        <is>
          <t>EP-004</t>
        </is>
      </c>
      <c r="D106" s="3" t="inlineStr">
        <is>
          <t>Report can filter by user and date range.</t>
        </is>
      </c>
      <c r="E106" s="3" t="n"/>
      <c r="F106" s="3" t="inlineStr">
        <is>
          <t>Pass</t>
        </is>
      </c>
      <c r="G106" s="3" t="n"/>
      <c r="H106" s="3" t="inlineStr">
        <is>
          <t>DEF-008</t>
        </is>
      </c>
      <c r="I106" s="3" t="inlineStr">
        <is>
          <t>Claude (AI Engineer)</t>
        </is>
      </c>
      <c r="J106" s="3" t="inlineStr">
        <is>
          <t>SIT</t>
        </is>
      </c>
      <c r="K106" s="3" t="inlineStr">
        <is>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is>
      </c>
    </row>
    <row r="107" ht="27.6" customHeight="1" s="8">
      <c r="A107" s="3" t="inlineStr">
        <is>
          <t>AC-004-006-02</t>
        </is>
      </c>
      <c r="B107" s="3" t="inlineStr">
        <is>
          <t>US-004-006</t>
        </is>
      </c>
      <c r="C107" s="3" t="inlineStr">
        <is>
          <t>EP-004</t>
        </is>
      </c>
      <c r="D107" s="3" t="inlineStr">
        <is>
          <t>Report shows individual break periods and daily totals.</t>
        </is>
      </c>
      <c r="E107" s="3" t="n"/>
      <c r="F107" s="3" t="inlineStr">
        <is>
          <t>Pass</t>
        </is>
      </c>
      <c r="G107" s="3" t="n"/>
      <c r="H107" s="3" t="n"/>
      <c r="I107" s="3" t="inlineStr">
        <is>
          <t>Claude (AI Engineer)</t>
        </is>
      </c>
      <c r="J107" s="3" t="inlineStr">
        <is>
          <t>SIT</t>
        </is>
      </c>
      <c r="K107" s="3" t="inlineStr">
        <is>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is>
      </c>
    </row>
    <row r="108" ht="27.6" customHeight="1" s="8">
      <c r="A108" s="3" t="inlineStr">
        <is>
          <t>AC-004-006-03</t>
        </is>
      </c>
      <c r="B108" s="3" t="inlineStr">
        <is>
          <t>US-004-006</t>
        </is>
      </c>
      <c r="C108" s="3" t="inlineStr">
        <is>
          <t>EP-004</t>
        </is>
      </c>
      <c r="D108" s="3" t="inlineStr">
        <is>
          <t>Active breaks are distinguished from completed breaks.</t>
        </is>
      </c>
      <c r="E108" s="3" t="n"/>
      <c r="F108" s="3" t="inlineStr">
        <is>
          <t>Pass</t>
        </is>
      </c>
      <c r="G108" s="3" t="n"/>
      <c r="H108" s="3" t="n"/>
      <c r="I108" s="3" t="inlineStr">
        <is>
          <t>Claude (AI Engineer)</t>
        </is>
      </c>
      <c r="J108" s="3" t="inlineStr">
        <is>
          <t>SIT</t>
        </is>
      </c>
      <c r="K108" s="3" t="inlineStr">
        <is>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is>
      </c>
    </row>
    <row r="109" ht="27.6" customHeight="1" s="8">
      <c r="A109" s="3" t="inlineStr">
        <is>
          <t>AC-004-006-04</t>
        </is>
      </c>
      <c r="B109" s="3" t="inlineStr">
        <is>
          <t>US-004-006</t>
        </is>
      </c>
      <c r="C109" s="3" t="inlineStr">
        <is>
          <t>EP-004</t>
        </is>
      </c>
      <c r="D109" s="3" t="inlineStr">
        <is>
          <t>Export respects selected filters.</t>
        </is>
      </c>
      <c r="E109" s="3" t="n"/>
      <c r="F109" s="3" t="inlineStr">
        <is>
          <t>Pass</t>
        </is>
      </c>
      <c r="G109" s="3" t="n"/>
      <c r="H109" s="3" t="n"/>
      <c r="I109" s="3" t="inlineStr">
        <is>
          <t>Claude (AI Engineer)</t>
        </is>
      </c>
      <c r="J109" s="3" t="inlineStr">
        <is>
          <t>SIT</t>
        </is>
      </c>
      <c r="K109" s="3" t="inlineStr">
        <is>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is>
      </c>
    </row>
    <row r="110" ht="27.6" customHeight="1" s="8">
      <c r="A110" s="3" t="inlineStr">
        <is>
          <t>AC-005-001-01</t>
        </is>
      </c>
      <c r="B110" s="3" t="inlineStr">
        <is>
          <t>US-005-001</t>
        </is>
      </c>
      <c r="C110" s="3" t="inlineStr">
        <is>
          <t>EP-005</t>
        </is>
      </c>
      <c r="D110" s="3" t="inlineStr">
        <is>
          <t>Task requires a title.</t>
        </is>
      </c>
      <c r="E110" s="3" t="n"/>
      <c r="F110" s="3" t="inlineStr">
        <is>
          <t>Pass</t>
        </is>
      </c>
      <c r="G110" s="3" t="n"/>
      <c r="H110" s="3" t="n"/>
      <c r="I110" s="3" t="inlineStr">
        <is>
          <t>Claude (AI Engineer)</t>
        </is>
      </c>
      <c r="J110" s="3" t="inlineStr">
        <is>
          <t>SIT</t>
        </is>
      </c>
      <c r="K110" s="3" t="inlineStr">
        <is>
          <t>Live test 2026-09-08: POST /tasks with empty title -&gt; 400. | PASS - manually re-verified live against production, 2026-09-09: POST /tasks with no title -&gt; 400 'Required' on the title field.</t>
        </is>
      </c>
    </row>
    <row r="111" ht="27.6" customHeight="1" s="8">
      <c r="A111" s="3" t="inlineStr">
        <is>
          <t>AC-005-001-02</t>
        </is>
      </c>
      <c r="B111" s="3" t="inlineStr">
        <is>
          <t>US-005-001</t>
        </is>
      </c>
      <c r="C111" s="3" t="inlineStr">
        <is>
          <t>EP-005</t>
        </is>
      </c>
      <c r="D111" s="3" t="inlineStr">
        <is>
          <t>Task may include description, priority, due date and estimated time.</t>
        </is>
      </c>
      <c r="E111" s="3" t="n"/>
      <c r="F111" s="3" t="inlineStr">
        <is>
          <t>Pass</t>
        </is>
      </c>
      <c r="G111" s="3" t="n"/>
      <c r="H111" s="3" t="n"/>
      <c r="I111" s="3" t="inlineStr">
        <is>
          <t>Claude (AI Engineer)</t>
        </is>
      </c>
      <c r="J111" s="3" t="inlineStr">
        <is>
          <t>SIT</t>
        </is>
      </c>
      <c r="K111" s="3" t="inlineStr">
        <is>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is>
      </c>
    </row>
    <row r="112" ht="27.6" customHeight="1" s="8">
      <c r="A112" s="3" t="inlineStr">
        <is>
          <t>AC-005-001-03</t>
        </is>
      </c>
      <c r="B112" s="3" t="inlineStr">
        <is>
          <t>US-005-001</t>
        </is>
      </c>
      <c r="C112" s="3" t="inlineStr">
        <is>
          <t>EP-005</t>
        </is>
      </c>
      <c r="D112" s="3" t="inlineStr">
        <is>
          <t>New task receives a unique ID.</t>
        </is>
      </c>
      <c r="E112" s="3" t="n"/>
      <c r="F112" s="3" t="inlineStr">
        <is>
          <t>Pass</t>
        </is>
      </c>
      <c r="G112" s="3" t="n"/>
      <c r="H112" s="3" t="n"/>
      <c r="I112" s="3" t="inlineStr">
        <is>
          <t>Claude (AI Engineer)</t>
        </is>
      </c>
      <c r="J112" s="3" t="inlineStr">
        <is>
          <t>SIT</t>
        </is>
      </c>
      <c r="K112" s="3" t="inlineStr">
        <is>
          <t>Live test 2026-09-08: new task returns a real UUID id. | PASS - manually re-verified live: every task created this session got a real UUID (e.g. 29910496-41c1-4e17-8828-22c9251ff886), confirmed unique across dozens of tasks created live.</t>
        </is>
      </c>
    </row>
    <row r="113" ht="27.6" customHeight="1" s="8">
      <c r="A113" s="3" t="inlineStr">
        <is>
          <t>AC-005-001-04</t>
        </is>
      </c>
      <c r="B113" s="3" t="inlineStr">
        <is>
          <t>US-005-001</t>
        </is>
      </c>
      <c r="C113" s="3" t="inlineStr">
        <is>
          <t>EP-005</t>
        </is>
      </c>
      <c r="D113" s="3" t="inlineStr">
        <is>
          <t>Creation is audited.</t>
        </is>
      </c>
      <c r="E113" s="3" t="n"/>
      <c r="F113" s="3" t="inlineStr">
        <is>
          <t>Pass</t>
        </is>
      </c>
      <c r="G113" s="3" t="n"/>
      <c r="H113" s="3" t="n"/>
      <c r="I113" s="3" t="inlineStr">
        <is>
          <t>Claude (AI Engineer)</t>
        </is>
      </c>
      <c r="J113" s="3" t="inlineStr">
        <is>
          <t>SIT</t>
        </is>
      </c>
      <c r="K113" s="3" t="inlineStr">
        <is>
          <t>Live test 2026-09-08: GET /audit contains TASK_CREATED for the new task. | PASS - manually re-verified live: GET /audit shows a TASK_CREATED entry for every task created this session, with the real actor and the title/assigneeId captured in afterJson.</t>
        </is>
      </c>
    </row>
    <row r="114" ht="27.6" customHeight="1" s="8">
      <c r="A114" s="3" t="inlineStr">
        <is>
          <t>AC-005-002-01</t>
        </is>
      </c>
      <c r="B114" s="3" t="inlineStr">
        <is>
          <t>US-005-002</t>
        </is>
      </c>
      <c r="C114" s="3" t="inlineStr">
        <is>
          <t>EP-005</t>
        </is>
      </c>
      <c r="D114" s="3" t="inlineStr">
        <is>
          <t>Organisation setting controls whether employees may create tasks.</t>
        </is>
      </c>
      <c r="E114" s="3" t="n"/>
      <c r="F114" s="3" t="inlineStr">
        <is>
          <t>Pass</t>
        </is>
      </c>
      <c r="G114" s="3" t="n"/>
      <c r="H114" s="3" t="n"/>
      <c r="I114" s="3" t="inlineStr">
        <is>
          <t>Claude (AI Engineer)</t>
        </is>
      </c>
      <c r="J114" s="3" t="inlineStr">
        <is>
          <t>SIT</t>
        </is>
      </c>
      <c r="K114" s="3" t="inlineStr">
        <is>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is>
      </c>
    </row>
    <row r="115" ht="27.6" customHeight="1" s="8">
      <c r="A115" s="3" t="inlineStr">
        <is>
          <t>AC-005-002-02</t>
        </is>
      </c>
      <c r="B115" s="3" t="inlineStr">
        <is>
          <t>US-005-002</t>
        </is>
      </c>
      <c r="C115" s="3" t="inlineStr">
        <is>
          <t>EP-005</t>
        </is>
      </c>
      <c r="D115" s="3" t="inlineStr">
        <is>
          <t>Employee-created task defaults to that employee unless reassigned by admin.</t>
        </is>
      </c>
      <c r="E115" s="3" t="n"/>
      <c r="F115" s="3" t="inlineStr">
        <is>
          <t>Pass</t>
        </is>
      </c>
      <c r="G115" s="3" t="n"/>
      <c r="H115" s="3" t="n"/>
      <c r="I115" s="3" t="inlineStr">
        <is>
          <t>Claude (AI Engineer)</t>
        </is>
      </c>
      <c r="J115" s="3" t="inlineStr">
        <is>
          <t>SIT</t>
        </is>
      </c>
      <c r="K115" s="3" t="inlineStr">
        <is>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is>
      </c>
    </row>
    <row r="116" ht="27.6" customHeight="1" s="8">
      <c r="A116" s="3" t="inlineStr">
        <is>
          <t>AC-005-002-03</t>
        </is>
      </c>
      <c r="B116" s="3" t="inlineStr">
        <is>
          <t>US-005-002</t>
        </is>
      </c>
      <c r="C116" s="3" t="inlineStr">
        <is>
          <t>EP-005</t>
        </is>
      </c>
      <c r="D116" s="3" t="inlineStr">
        <is>
          <t>Required task fields are validated.</t>
        </is>
      </c>
      <c r="E116" s="3" t="n"/>
      <c r="F116" s="3" t="inlineStr">
        <is>
          <t>Pass</t>
        </is>
      </c>
      <c r="G116" s="3" t="n"/>
      <c r="H116" s="3" t="n"/>
      <c r="I116" s="3" t="inlineStr">
        <is>
          <t>Claude (AI Engineer)</t>
        </is>
      </c>
      <c r="J116" s="3" t="inlineStr">
        <is>
          <t>SIT</t>
        </is>
      </c>
      <c r="K116" s="3" t="inlineStr">
        <is>
          <t>Live test 2026-09-08: employee POST /tasks with no title -&gt; 400 (same validation as admin-created tasks). | PASS - manually re-verified live: an employee's POST /tasks with no title -&gt; 400 'Required', identical validation to the admin path.</t>
        </is>
      </c>
    </row>
    <row r="117" ht="27.6" customHeight="1" s="8">
      <c r="A117" s="3" t="inlineStr">
        <is>
          <t>AC-005-002-04</t>
        </is>
      </c>
      <c r="B117" s="3" t="inlineStr">
        <is>
          <t>US-005-002</t>
        </is>
      </c>
      <c r="C117" s="3" t="inlineStr">
        <is>
          <t>EP-005</t>
        </is>
      </c>
      <c r="D117" s="3" t="inlineStr">
        <is>
          <t>Created task is immediately available for timer start.</t>
        </is>
      </c>
      <c r="E117" s="3" t="n"/>
      <c r="F117" s="3" t="inlineStr">
        <is>
          <t>Pass</t>
        </is>
      </c>
      <c r="G117" s="3" t="n"/>
      <c r="H117" s="3" t="n"/>
      <c r="I117" s="3" t="inlineStr">
        <is>
          <t>Claude (AI Engineer)</t>
        </is>
      </c>
      <c r="J117" s="3" t="inlineStr">
        <is>
          <t>SIT</t>
        </is>
      </c>
      <c r="K117" s="3" t="inlineStr">
        <is>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is>
      </c>
    </row>
    <row r="118" ht="27.6" customHeight="1" s="8">
      <c r="A118" s="3" t="inlineStr">
        <is>
          <t>AC-005-003-01</t>
        </is>
      </c>
      <c r="B118" s="3" t="inlineStr">
        <is>
          <t>US-005-003</t>
        </is>
      </c>
      <c r="C118" s="3" t="inlineStr">
        <is>
          <t>EP-005</t>
        </is>
      </c>
      <c r="D118" s="3" t="inlineStr">
        <is>
          <t>Task can be assigned to an Active user.</t>
        </is>
      </c>
      <c r="E118" s="3" t="n"/>
      <c r="F118" s="3" t="inlineStr">
        <is>
          <t>Pass</t>
        </is>
      </c>
      <c r="G118" s="3" t="n"/>
      <c r="H118" s="3" t="n"/>
      <c r="I118" s="3" t="inlineStr">
        <is>
          <t>Claude (AI Engineer)</t>
        </is>
      </c>
      <c r="J118" s="3" t="inlineStr">
        <is>
          <t>SIT</t>
        </is>
      </c>
      <c r="K118" s="3" t="inlineStr">
        <is>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is>
      </c>
    </row>
    <row r="119" ht="27.6" customHeight="1" s="8">
      <c r="A119" s="3" t="inlineStr">
        <is>
          <t>AC-005-003-02</t>
        </is>
      </c>
      <c r="B119" s="3" t="inlineStr">
        <is>
          <t>US-005-003</t>
        </is>
      </c>
      <c r="C119" s="3" t="inlineStr">
        <is>
          <t>EP-005</t>
        </is>
      </c>
      <c r="D119" s="3" t="inlineStr">
        <is>
          <t>Assignment is visible to the assignee.</t>
        </is>
      </c>
      <c r="E119" s="3" t="n"/>
      <c r="F119" s="3" t="inlineStr">
        <is>
          <t>Pass</t>
        </is>
      </c>
      <c r="G119" s="3" t="n"/>
      <c r="H119" s="3" t="n"/>
      <c r="I119" s="3" t="inlineStr">
        <is>
          <t>Claude (AI Engineer)</t>
        </is>
      </c>
      <c r="J119" s="3" t="inlineStr">
        <is>
          <t>SIT</t>
        </is>
      </c>
      <c r="K119" s="3" t="inlineStr">
        <is>
          <t>Live test 2026-09-08: the assignee can GET /tasks/:id for a task assigned to them. | PASS - manually re-verified live: after reassigning a task to a user, GET /tasks (their own list) included it - confirmed via the employee-facing My Tasks page and API.</t>
        </is>
      </c>
    </row>
    <row r="120" ht="27.6" customHeight="1" s="8">
      <c r="A120" s="3" t="inlineStr">
        <is>
          <t>AC-005-003-03</t>
        </is>
      </c>
      <c r="B120" s="3" t="inlineStr">
        <is>
          <t>US-005-003</t>
        </is>
      </c>
      <c r="C120" s="3" t="inlineStr">
        <is>
          <t>EP-005</t>
        </is>
      </c>
      <c r="D120" s="3" t="inlineStr">
        <is>
          <t>Reassignment does not change historical task time ownership.</t>
        </is>
      </c>
      <c r="E120" s="3" t="n"/>
      <c r="F120" s="3" t="inlineStr">
        <is>
          <t>Pass</t>
        </is>
      </c>
      <c r="G120" s="3" t="n"/>
      <c r="H120" s="3" t="n"/>
      <c r="I120" s="3" t="inlineStr">
        <is>
          <t>Claude (AI Engineer)</t>
        </is>
      </c>
      <c r="J120" s="3" t="inlineStr">
        <is>
          <t>SIT</t>
        </is>
      </c>
      <c r="K120" s="3" t="inlineStr">
        <is>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is>
      </c>
    </row>
    <row r="121" ht="27.6" customHeight="1" s="8">
      <c r="A121" s="3" t="inlineStr">
        <is>
          <t>AC-005-003-04</t>
        </is>
      </c>
      <c r="B121" s="3" t="inlineStr">
        <is>
          <t>US-005-003</t>
        </is>
      </c>
      <c r="C121" s="3" t="inlineStr">
        <is>
          <t>EP-005</t>
        </is>
      </c>
      <c r="D121" s="3" t="inlineStr">
        <is>
          <t>Assignment change can trigger notification.</t>
        </is>
      </c>
      <c r="E121" s="3" t="n"/>
      <c r="F121" s="3" t="inlineStr">
        <is>
          <t>Pass</t>
        </is>
      </c>
      <c r="G121" s="3" t="n"/>
      <c r="H121" s="3" t="n"/>
      <c r="I121" s="3" t="inlineStr">
        <is>
          <t>Claude (AI Engineer)</t>
        </is>
      </c>
      <c r="J121" s="3" t="inlineStr">
        <is>
          <t>SIT</t>
        </is>
      </c>
      <c r="K121" s="3" t="inlineStr">
        <is>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is>
      </c>
    </row>
    <row r="122" ht="27.6" customHeight="1" s="8">
      <c r="A122" s="3" t="inlineStr">
        <is>
          <t>AC-005-004-01</t>
        </is>
      </c>
      <c r="B122" s="3" t="inlineStr">
        <is>
          <t>US-005-004</t>
        </is>
      </c>
      <c r="C122" s="3" t="inlineStr">
        <is>
          <t>EP-005</t>
        </is>
      </c>
      <c r="D122" s="3" t="inlineStr">
        <is>
          <t>Priority supports at least Low, Medium, High and Critical.</t>
        </is>
      </c>
      <c r="E122" s="3" t="n"/>
      <c r="F122" s="3" t="inlineStr">
        <is>
          <t>Pass</t>
        </is>
      </c>
      <c r="G122" s="3" t="n"/>
      <c r="H122" s="3" t="n"/>
      <c r="I122" s="3" t="inlineStr">
        <is>
          <t>Claude (AI Engineer)</t>
        </is>
      </c>
      <c r="J122" s="3" t="inlineStr">
        <is>
          <t>SIT</t>
        </is>
      </c>
      <c r="K122" s="3" t="inlineStr">
        <is>
          <t>TaskPriority enum defines LOW, MEDIUM, HIGH, CRITICAL. | PASS - manually re-verified live: both create forms' Priority selects and the new admin edit form all list exactly LOW, MEDIUM, HIGH, CRITICAL.</t>
        </is>
      </c>
    </row>
    <row r="123" ht="27.6" customHeight="1" s="8">
      <c r="A123" s="3" t="inlineStr">
        <is>
          <t>AC-005-004-02</t>
        </is>
      </c>
      <c r="B123" s="3" t="inlineStr">
        <is>
          <t>US-005-004</t>
        </is>
      </c>
      <c r="C123" s="3" t="inlineStr">
        <is>
          <t>EP-005</t>
        </is>
      </c>
      <c r="D123" s="3" t="inlineStr">
        <is>
          <t>Priority is visible in task list/detail.</t>
        </is>
      </c>
      <c r="E123" s="3" t="n"/>
      <c r="F123" s="3" t="inlineStr">
        <is>
          <t>Pass</t>
        </is>
      </c>
      <c r="G123" s="3" t="n"/>
      <c r="H123" s="3" t="n"/>
      <c r="I123" s="3" t="inlineStr">
        <is>
          <t>Claude (AI Engineer)</t>
        </is>
      </c>
      <c r="J123" s="3" t="inlineStr">
        <is>
          <t>SIT</t>
        </is>
      </c>
      <c r="K123" s="3" t="inlineStr">
        <is>
          <t>Live test 2026-09-08: task detail includes priority. | PASS - manually re-verified live: priority is shown as a badge on the admin tasks list, the employee My Tasks list, and the task detail header for every task checked this session.</t>
        </is>
      </c>
    </row>
    <row r="124" ht="27.6" customHeight="1" s="8">
      <c r="A124" s="3" t="inlineStr">
        <is>
          <t>AC-005-004-03</t>
        </is>
      </c>
      <c r="B124" s="3" t="inlineStr">
        <is>
          <t>US-005-004</t>
        </is>
      </c>
      <c r="C124" s="3" t="inlineStr">
        <is>
          <t>EP-005</t>
        </is>
      </c>
      <c r="D124" s="3" t="inlineStr">
        <is>
          <t>Task list can filter/sort by priority.</t>
        </is>
      </c>
      <c r="E124" s="3" t="n"/>
      <c r="F124" s="3" t="inlineStr">
        <is>
          <t>Pass</t>
        </is>
      </c>
      <c r="G124" s="3" t="n"/>
      <c r="H124" s="3" t="n"/>
      <c r="I124" s="3" t="inlineStr">
        <is>
          <t>Claude (AI Engineer)</t>
        </is>
      </c>
      <c r="J124" s="3" t="inlineStr">
        <is>
          <t>SIT</t>
        </is>
      </c>
      <c r="K124" s="3" t="inlineStr">
        <is>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is>
      </c>
    </row>
    <row r="125" ht="27.6" customHeight="1" s="8">
      <c r="A125" s="3" t="inlineStr">
        <is>
          <t>AC-005-004-04</t>
        </is>
      </c>
      <c r="B125" s="3" t="inlineStr">
        <is>
          <t>US-005-004</t>
        </is>
      </c>
      <c r="C125" s="3" t="inlineStr">
        <is>
          <t>EP-005</t>
        </is>
      </c>
      <c r="D125" s="3" t="inlineStr">
        <is>
          <t>Priority changes are audited.</t>
        </is>
      </c>
      <c r="E125" s="3" t="n"/>
      <c r="F125" s="3" t="inlineStr">
        <is>
          <t>Pass</t>
        </is>
      </c>
      <c r="G125" s="3" t="n"/>
      <c r="H125" s="3" t="n"/>
      <c r="I125" s="3" t="inlineStr">
        <is>
          <t>Claude (AI Engineer)</t>
        </is>
      </c>
      <c r="J125" s="3" t="inlineStr">
        <is>
          <t>SIT</t>
        </is>
      </c>
      <c r="K125" s="3" t="inlineStr">
        <is>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is>
      </c>
    </row>
    <row r="126" ht="27.6" customHeight="1" s="8">
      <c r="A126" s="3" t="inlineStr">
        <is>
          <t>AC-005-005-01</t>
        </is>
      </c>
      <c r="B126" s="3" t="inlineStr">
        <is>
          <t>US-005-005</t>
        </is>
      </c>
      <c r="C126" s="3" t="inlineStr">
        <is>
          <t>EP-005</t>
        </is>
      </c>
      <c r="D126" s="3" t="inlineStr">
        <is>
          <t>Estimated duration accepts positive time values.</t>
        </is>
      </c>
      <c r="E126" s="3" t="n"/>
      <c r="F126" s="3" t="inlineStr">
        <is>
          <t>Pass</t>
        </is>
      </c>
      <c r="G126" s="3" t="n"/>
      <c r="H126" s="3" t="n"/>
      <c r="I126" s="3" t="inlineStr">
        <is>
          <t>Claude (AI Engineer)</t>
        </is>
      </c>
      <c r="J126" s="3" t="inlineStr">
        <is>
          <t>SIT</t>
        </is>
      </c>
      <c r="K126" s="3" t="inlineStr">
        <is>
          <t>Live test 2026-09-08: POST /tasks with estimatedMinutes=-10 -&gt; 400 "Number must be greater than 0". | PASS - manually re-verified live against production, 2026-09-09: POST /tasks with estimatedMinutes=-5 and =0 both -&gt; 400 'Number must be greater than 0'; estimatedMinutes=120 -&gt; 201 accepted.</t>
        </is>
      </c>
    </row>
    <row r="127" ht="27.6" customHeight="1" s="8">
      <c r="A127" s="3" t="inlineStr">
        <is>
          <t>AC-005-005-02</t>
        </is>
      </c>
      <c r="B127" s="3" t="inlineStr">
        <is>
          <t>US-005-005</t>
        </is>
      </c>
      <c r="C127" s="3" t="inlineStr">
        <is>
          <t>EP-005</t>
        </is>
      </c>
      <c r="D127" s="3" t="inlineStr">
        <is>
          <t>Estimate is optional.</t>
        </is>
      </c>
      <c r="E127" s="3" t="n"/>
      <c r="F127" s="3" t="inlineStr">
        <is>
          <t>Pass</t>
        </is>
      </c>
      <c r="G127" s="3" t="n"/>
      <c r="H127" s="3" t="inlineStr">
        <is>
          <t>DEF-009</t>
        </is>
      </c>
      <c r="I127" s="3" t="inlineStr">
        <is>
          <t>Claude (AI Engineer)</t>
        </is>
      </c>
      <c r="J127" s="3" t="inlineStr">
        <is>
          <t>SIT</t>
        </is>
      </c>
      <c r="K127" s="3" t="inlineStr">
        <is>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is>
      </c>
    </row>
    <row r="128" ht="27.6" customHeight="1" s="8">
      <c r="A128" s="3" t="inlineStr">
        <is>
          <t>AC-005-005-03</t>
        </is>
      </c>
      <c r="B128" s="3" t="inlineStr">
        <is>
          <t>US-005-005</t>
        </is>
      </c>
      <c r="C128" s="3" t="inlineStr">
        <is>
          <t>EP-005</t>
        </is>
      </c>
      <c r="D128" s="3" t="inlineStr">
        <is>
          <t>Actual time is calculated from recorded task time entries.</t>
        </is>
      </c>
      <c r="E128" s="3" t="n"/>
      <c r="F128" s="3" t="inlineStr">
        <is>
          <t>Pass</t>
        </is>
      </c>
      <c r="G128" s="3" t="n"/>
      <c r="H128" s="3" t="n"/>
      <c r="I128" s="3" t="inlineStr">
        <is>
          <t>Claude (AI Engineer)</t>
        </is>
      </c>
      <c r="J128" s="3" t="inlineStr">
        <is>
          <t>SIT</t>
        </is>
      </c>
      <c r="K128" s="3" t="inlineStr">
        <is>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is>
      </c>
    </row>
    <row r="129" ht="27.6" customHeight="1" s="8">
      <c r="A129" s="3" t="inlineStr">
        <is>
          <t>AC-005-005-04</t>
        </is>
      </c>
      <c r="B129" s="3" t="inlineStr">
        <is>
          <t>US-005-005</t>
        </is>
      </c>
      <c r="C129" s="3" t="inlineStr">
        <is>
          <t>EP-005</t>
        </is>
      </c>
      <c r="D129" s="3" t="inlineStr">
        <is>
          <t>Task detail shows estimate versus actual when estimate exists.</t>
        </is>
      </c>
      <c r="E129" s="3" t="n"/>
      <c r="F129" s="3" t="inlineStr">
        <is>
          <t>Pass</t>
        </is>
      </c>
      <c r="G129" s="3" t="n"/>
      <c r="H129" s="3" t="n"/>
      <c r="I129" s="3" t="inlineStr">
        <is>
          <t>Claude (AI Engineer)</t>
        </is>
      </c>
      <c r="J129" s="3" t="inlineStr">
        <is>
          <t>SIT</t>
        </is>
      </c>
      <c r="K129" s="3" t="inlineStr">
        <is>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is>
      </c>
    </row>
    <row r="130" ht="27.6" customHeight="1" s="8">
      <c r="A130" s="3" t="inlineStr">
        <is>
          <t>AC-005-006-01</t>
        </is>
      </c>
      <c r="B130" s="3" t="inlineStr">
        <is>
          <t>US-005-006</t>
        </is>
      </c>
      <c r="C130" s="3" t="inlineStr">
        <is>
          <t>EP-005</t>
        </is>
      </c>
      <c r="D130" s="3" t="inlineStr">
        <is>
          <t>Status supports To Do, In Progress, Paused, Completed and Cancelled.</t>
        </is>
      </c>
      <c r="E130" s="3" t="n"/>
      <c r="F130" s="3" t="inlineStr">
        <is>
          <t>Pass</t>
        </is>
      </c>
      <c r="G130" s="3" t="n"/>
      <c r="H130" s="3" t="n"/>
      <c r="I130" s="3" t="inlineStr">
        <is>
          <t>Claude (AI Engineer)</t>
        </is>
      </c>
      <c r="J130" s="3" t="inlineStr">
        <is>
          <t>SIT</t>
        </is>
      </c>
      <c r="K130" s="3" t="inlineStr">
        <is>
          <t>TaskStatus enum defines TO_DO, IN_PROGRESS, PAUSED, COMPLETED, CANCELLED. | PASS - manually re-verified live: the Status selector on task detail (and the admin edit form) lists exactly TO DO, IN PROGRESS, PAUSED, COMPLETED, CANCELLED.</t>
        </is>
      </c>
    </row>
    <row r="131" ht="27.6" customHeight="1" s="8">
      <c r="A131" s="3" t="inlineStr">
        <is>
          <t>AC-005-006-02</t>
        </is>
      </c>
      <c r="B131" s="3" t="inlineStr">
        <is>
          <t>US-005-006</t>
        </is>
      </c>
      <c r="C131" s="3" t="inlineStr">
        <is>
          <t>EP-005</t>
        </is>
      </c>
      <c r="D131" s="3" t="inlineStr">
        <is>
          <t>Completed/Cancelled tasks cannot start new timers unless reopened by permitted user.</t>
        </is>
      </c>
      <c r="E131" s="3" t="n"/>
      <c r="F131" s="3" t="inlineStr">
        <is>
          <t>Pass</t>
        </is>
      </c>
      <c r="G131" s="3" t="n"/>
      <c r="H131" s="3" t="n"/>
      <c r="I131" s="3" t="inlineStr">
        <is>
          <t>Claude (AI Engineer)</t>
        </is>
      </c>
      <c r="J131" s="3" t="inlineStr">
        <is>
          <t>SIT</t>
        </is>
      </c>
      <c r="K131" s="3"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is>
      </c>
    </row>
    <row r="132" ht="27.6" customHeight="1" s="8">
      <c r="A132" s="3" t="inlineStr">
        <is>
          <t>AC-005-006-03</t>
        </is>
      </c>
      <c r="B132" s="3" t="inlineStr">
        <is>
          <t>US-005-006</t>
        </is>
      </c>
      <c r="C132" s="3" t="inlineStr">
        <is>
          <t>EP-005</t>
        </is>
      </c>
      <c r="D132" s="3" t="inlineStr">
        <is>
          <t>Starting a timer may automatically set task to In Progress.</t>
        </is>
      </c>
      <c r="E132" s="3" t="n"/>
      <c r="F132" s="3" t="inlineStr">
        <is>
          <t>Pass</t>
        </is>
      </c>
      <c r="G132" s="3" t="n"/>
      <c r="H132" s="3" t="n"/>
      <c r="I132" s="3" t="inlineStr">
        <is>
          <t>Claude (AI Engineer)</t>
        </is>
      </c>
      <c r="J132" s="3" t="inlineStr">
        <is>
          <t>SIT</t>
        </is>
      </c>
      <c r="K132" s="3" t="inlineStr">
        <is>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is>
      </c>
    </row>
    <row r="133" ht="27.6" customHeight="1" s="8">
      <c r="A133" s="3" t="inlineStr">
        <is>
          <t>AC-005-006-04</t>
        </is>
      </c>
      <c r="B133" s="3" t="inlineStr">
        <is>
          <t>US-005-006</t>
        </is>
      </c>
      <c r="C133" s="3" t="inlineStr">
        <is>
          <t>EP-005</t>
        </is>
      </c>
      <c r="D133" s="3" t="inlineStr">
        <is>
          <t>Status changes are auditable.</t>
        </is>
      </c>
      <c r="E133" s="3" t="n"/>
      <c r="F133" s="3" t="inlineStr">
        <is>
          <t>Pass</t>
        </is>
      </c>
      <c r="G133" s="3" t="n"/>
      <c r="H133" s="3" t="inlineStr">
        <is>
          <t>DEF-010</t>
        </is>
      </c>
      <c r="I133" s="3" t="inlineStr">
        <is>
          <t>Claude (AI Engineer)</t>
        </is>
      </c>
      <c r="J133" s="3" t="inlineStr">
        <is>
          <t>SIT</t>
        </is>
      </c>
      <c r="K133" s="3"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is>
      </c>
    </row>
    <row r="134" ht="27.6" customHeight="1" s="8">
      <c r="A134" s="3" t="inlineStr">
        <is>
          <t>AC-005-007-01</t>
        </is>
      </c>
      <c r="B134" s="3" t="inlineStr">
        <is>
          <t>US-005-007</t>
        </is>
      </c>
      <c r="C134" s="3" t="inlineStr">
        <is>
          <t>EP-005</t>
        </is>
      </c>
      <c r="D134" s="3" t="inlineStr">
        <is>
          <t>Active timer for the task must be stopped before completion.</t>
        </is>
      </c>
      <c r="E134" s="3" t="n"/>
      <c r="F134" s="3" t="inlineStr">
        <is>
          <t>Pass</t>
        </is>
      </c>
      <c r="G134" s="3" t="n"/>
      <c r="H134" s="3" t="n"/>
      <c r="I134" s="3" t="inlineStr">
        <is>
          <t>Claude (AI Engineer)</t>
        </is>
      </c>
      <c r="J134" s="3" t="inlineStr">
        <is>
          <t>SIT</t>
        </is>
      </c>
      <c r="K134" s="3" t="inlineStr">
        <is>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is>
      </c>
    </row>
    <row r="135" ht="27.6" customHeight="1" s="8">
      <c r="A135" s="3" t="inlineStr">
        <is>
          <t>AC-005-007-02</t>
        </is>
      </c>
      <c r="B135" s="3" t="inlineStr">
        <is>
          <t>US-005-007</t>
        </is>
      </c>
      <c r="C135" s="3" t="inlineStr">
        <is>
          <t>EP-005</t>
        </is>
      </c>
      <c r="D135" s="3" t="inlineStr">
        <is>
          <t>Completion timestamp is recorded.</t>
        </is>
      </c>
      <c r="E135" s="3" t="n"/>
      <c r="F135" s="3" t="inlineStr">
        <is>
          <t>Pass</t>
        </is>
      </c>
      <c r="G135" s="3" t="n"/>
      <c r="H135" s="3" t="n"/>
      <c r="I135" s="3" t="inlineStr">
        <is>
          <t>Claude (AI Engineer)</t>
        </is>
      </c>
      <c r="J135" s="3" t="inlineStr">
        <is>
          <t>SIT</t>
        </is>
      </c>
      <c r="K135" s="3" t="inlineStr">
        <is>
          <t>Live test 2026-09-08: completedAt is set to a real server timestamp on successful completion. | PASS - manually re-verified live: completing a task (after stopping its timer) returned a real completedAt server timestamp (2026-09-09T22:25:16.650Z) in the response.</t>
        </is>
      </c>
    </row>
    <row r="136" ht="27.6" customHeight="1" s="8">
      <c r="A136" s="3" t="inlineStr">
        <is>
          <t>AC-005-007-03</t>
        </is>
      </c>
      <c r="B136" s="3" t="inlineStr">
        <is>
          <t>US-005-007</t>
        </is>
      </c>
      <c r="C136" s="3" t="inlineStr">
        <is>
          <t>EP-005</t>
        </is>
      </c>
      <c r="D136" s="3" t="inlineStr">
        <is>
          <t>Task detail shows total actual time.</t>
        </is>
      </c>
      <c r="E136" s="3" t="n"/>
      <c r="F136" s="3" t="inlineStr">
        <is>
          <t>Pass</t>
        </is>
      </c>
      <c r="G136" s="3" t="n"/>
      <c r="H136" s="3" t="n"/>
      <c r="I136" s="3" t="inlineStr">
        <is>
          <t>Claude (AI Engineer)</t>
        </is>
      </c>
      <c r="J136" s="3" t="inlineStr">
        <is>
          <t>SIT</t>
        </is>
      </c>
      <c r="K136" s="3" t="inlineStr">
        <is>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is>
      </c>
    </row>
    <row r="137" ht="27.6" customHeight="1" s="8">
      <c r="A137" s="3" t="inlineStr">
        <is>
          <t>AC-005-007-04</t>
        </is>
      </c>
      <c r="B137" s="3" t="inlineStr">
        <is>
          <t>US-005-007</t>
        </is>
      </c>
      <c r="C137" s="3" t="inlineStr">
        <is>
          <t>EP-005</t>
        </is>
      </c>
      <c r="D137" s="3" t="inlineStr">
        <is>
          <t>Completed task remains in historical reports.</t>
        </is>
      </c>
      <c r="E137" s="3" t="n"/>
      <c r="F137" s="3" t="inlineStr">
        <is>
          <t>Pass</t>
        </is>
      </c>
      <c r="G137" s="3" t="n"/>
      <c r="H137" s="3" t="n"/>
      <c r="I137" s="3" t="inlineStr">
        <is>
          <t>Claude (AI Engineer)</t>
        </is>
      </c>
      <c r="J137" s="3" t="inlineStr">
        <is>
          <t>SIT</t>
        </is>
      </c>
      <c r="K137" s="3" t="inlineStr">
        <is>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is>
      </c>
    </row>
    <row r="138" ht="27.6" customHeight="1" s="8">
      <c r="A138" s="3" t="inlineStr">
        <is>
          <t>AC-005-008-01</t>
        </is>
      </c>
      <c r="B138" s="3" t="inlineStr">
        <is>
          <t>US-005-008</t>
        </is>
      </c>
      <c r="C138" s="3" t="inlineStr">
        <is>
          <t>EP-005</t>
        </is>
      </c>
      <c r="D138" s="3" t="inlineStr">
        <is>
          <t>List defaults to active tasks assigned to user.</t>
        </is>
      </c>
      <c r="E138" s="3" t="n"/>
      <c r="F138" s="3" t="inlineStr">
        <is>
          <t>Pass</t>
        </is>
      </c>
      <c r="G138" s="3" t="n"/>
      <c r="H138" s="3" t="n"/>
      <c r="I138" s="3" t="inlineStr">
        <is>
          <t>Claude (AI Engineer)</t>
        </is>
      </c>
      <c r="J138" s="3" t="inlineStr">
        <is>
          <t>SIT</t>
        </is>
      </c>
      <c r="K138" s="3" t="inlineStr">
        <is>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is>
      </c>
    </row>
    <row r="139" ht="27.6" customHeight="1" s="8">
      <c r="A139" s="3" t="inlineStr">
        <is>
          <t>AC-005-008-02</t>
        </is>
      </c>
      <c r="B139" s="3" t="inlineStr">
        <is>
          <t>US-005-008</t>
        </is>
      </c>
      <c r="C139" s="3" t="inlineStr">
        <is>
          <t>EP-005</t>
        </is>
      </c>
      <c r="D139" s="3" t="inlineStr">
        <is>
          <t>User can filter by status and priority.</t>
        </is>
      </c>
      <c r="E139" s="3" t="n"/>
      <c r="F139" s="3" t="inlineStr">
        <is>
          <t>Pass</t>
        </is>
      </c>
      <c r="G139" s="3" t="n"/>
      <c r="H139" s="3" t="inlineStr">
        <is>
          <t>DEF-011</t>
        </is>
      </c>
      <c r="I139" s="3" t="inlineStr">
        <is>
          <t>Claude (AI Engineer)</t>
        </is>
      </c>
      <c r="J139" s="3" t="inlineStr">
        <is>
          <t>SIT</t>
        </is>
      </c>
      <c r="K139" s="3" t="inlineStr">
        <is>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is>
      </c>
    </row>
    <row r="140" ht="27.6" customHeight="1" s="8">
      <c r="A140" s="3" t="inlineStr">
        <is>
          <t>AC-005-008-03</t>
        </is>
      </c>
      <c r="B140" s="3" t="inlineStr">
        <is>
          <t>US-005-008</t>
        </is>
      </c>
      <c r="C140" s="3" t="inlineStr">
        <is>
          <t>EP-005</t>
        </is>
      </c>
      <c r="D140" s="3" t="inlineStr">
        <is>
          <t>Task title, status, priority, due date and actual time are shown.</t>
        </is>
      </c>
      <c r="E140" s="3" t="n"/>
      <c r="F140" s="3" t="inlineStr">
        <is>
          <t>Pass</t>
        </is>
      </c>
      <c r="G140" s="3" t="n"/>
      <c r="H140" s="3" t="inlineStr">
        <is>
          <t>DEF-012</t>
        </is>
      </c>
      <c r="I140" s="3" t="inlineStr">
        <is>
          <t>Claude (AI Engineer)</t>
        </is>
      </c>
      <c r="J140" s="3" t="inlineStr">
        <is>
          <t>SIT</t>
        </is>
      </c>
      <c r="K140" s="3" t="inlineStr">
        <is>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is>
      </c>
    </row>
    <row r="141" ht="27.6" customHeight="1" s="8">
      <c r="A141" s="3" t="inlineStr">
        <is>
          <t>AC-005-008-04</t>
        </is>
      </c>
      <c r="B141" s="3" t="inlineStr">
        <is>
          <t>US-005-008</t>
        </is>
      </c>
      <c r="C141" s="3" t="inlineStr">
        <is>
          <t>EP-005</t>
        </is>
      </c>
      <c r="D141" s="3" t="inlineStr">
        <is>
          <t>Selecting a task opens task detail.</t>
        </is>
      </c>
      <c r="E141" s="3" t="n"/>
      <c r="F141" s="3" t="inlineStr">
        <is>
          <t>Pass</t>
        </is>
      </c>
      <c r="G141" s="3" t="n"/>
      <c r="H141" s="3" t="n"/>
      <c r="I141" s="3" t="inlineStr">
        <is>
          <t>Claude (AI Engineer)</t>
        </is>
      </c>
      <c r="J141" s="3" t="inlineStr">
        <is>
          <t>SIT</t>
        </is>
      </c>
      <c r="K141" s="3" t="inlineStr">
        <is>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is>
      </c>
    </row>
    <row r="142" ht="27.6" customHeight="1" s="8">
      <c r="A142" s="3" t="inlineStr">
        <is>
          <t>AC-006-001-01</t>
        </is>
      </c>
      <c r="B142" s="3" t="inlineStr">
        <is>
          <t>US-006-001</t>
        </is>
      </c>
      <c r="C142" s="3" t="inlineStr">
        <is>
          <t>EP-006</t>
        </is>
      </c>
      <c r="D142" s="3" t="inlineStr">
        <is>
          <t>User must be clocked in and not on break.</t>
        </is>
      </c>
      <c r="E142" s="3" t="n"/>
      <c r="F142" s="3" t="inlineStr">
        <is>
          <t>Pass</t>
        </is>
      </c>
      <c r="G142" s="3" t="n"/>
      <c r="H142" s="3" t="n"/>
      <c r="I142" s="3" t="inlineStr">
        <is>
          <t>Claude (AI Engineer)</t>
        </is>
      </c>
      <c r="J142" s="3" t="inlineStr">
        <is>
          <t>SIT</t>
        </is>
      </c>
      <c r="K142" s="3" t="inlineStr">
        <is>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is>
      </c>
    </row>
    <row r="143" ht="27.6" customHeight="1" s="8">
      <c r="A143" s="3" t="inlineStr">
        <is>
          <t>AC-006-001-02</t>
        </is>
      </c>
      <c r="B143" s="3" t="inlineStr">
        <is>
          <t>US-006-001</t>
        </is>
      </c>
      <c r="C143" s="3" t="inlineStr">
        <is>
          <t>EP-006</t>
        </is>
      </c>
      <c r="D143" s="3" t="inlineStr">
        <is>
          <t>Task must be eligible for the user.</t>
        </is>
      </c>
      <c r="E143" s="3" t="n"/>
      <c r="F143" s="3" t="inlineStr">
        <is>
          <t>Pass</t>
        </is>
      </c>
      <c r="G143" s="3" t="n"/>
      <c r="H143" s="3" t="n"/>
      <c r="I143" s="3" t="inlineStr">
        <is>
          <t>Claude (AI Engineer)</t>
        </is>
      </c>
      <c r="J143" s="3" t="inlineStr">
        <is>
          <t>SIT</t>
        </is>
      </c>
      <c r="K143" s="3" t="inlineStr">
        <is>
          <t>Proven repeatedly across EP-005/EP-006 live tests: requireEligibleTask() blocks tasks not assigned to the caller and completed/cancelled tasks. | PASS - manually re-verified live: POST /task-timers/start on a real task assigned to a different user -&gt; 400 'This task is not assigned to you'.</t>
        </is>
      </c>
    </row>
    <row r="144" ht="27.6" customHeight="1" s="8">
      <c r="A144" s="3" t="inlineStr">
        <is>
          <t>AC-006-001-03</t>
        </is>
      </c>
      <c r="B144" s="3" t="inlineStr">
        <is>
          <t>US-006-001</t>
        </is>
      </c>
      <c r="C144" s="3" t="inlineStr">
        <is>
          <t>EP-006</t>
        </is>
      </c>
      <c r="D144" s="3" t="inlineStr">
        <is>
          <t>Server timestamp is authoritative.</t>
        </is>
      </c>
      <c r="E144" s="3" t="n"/>
      <c r="F144" s="3" t="inlineStr">
        <is>
          <t>Pass</t>
        </is>
      </c>
      <c r="G144" s="3" t="n"/>
      <c r="H144" s="3" t="n"/>
      <c r="I144" s="3" t="inlineStr">
        <is>
          <t>Claude (AI Engineer)</t>
        </is>
      </c>
      <c r="J144" s="3" t="inlineStr">
        <is>
          <t>SIT</t>
        </is>
      </c>
      <c r="K144" s="3" t="inlineStr">
        <is>
          <t>Live test 2026-09-08: startAt is server-generated; the endpoint only accepts taskId in its body. | PASS - manually re-verified live: every task-timer start this session returned a server-generated startAt matching the moment of the request; the endpoint accepts no client timestamp.</t>
        </is>
      </c>
    </row>
    <row r="145" ht="27.6" customHeight="1" s="8">
      <c r="A145" s="3" t="inlineStr">
        <is>
          <t>AC-006-001-04</t>
        </is>
      </c>
      <c r="B145" s="3" t="inlineStr">
        <is>
          <t>US-006-001</t>
        </is>
      </c>
      <c r="C145" s="3" t="inlineStr">
        <is>
          <t>EP-006</t>
        </is>
      </c>
      <c r="D145" s="3" t="inlineStr">
        <is>
          <t>Only one active task timer is allowed per user.</t>
        </is>
      </c>
      <c r="E145" s="3" t="n"/>
      <c r="F145" s="3" t="inlineStr">
        <is>
          <t>Pass</t>
        </is>
      </c>
      <c r="G145" s="3" t="n"/>
      <c r="H145" s="3" t="n"/>
      <c r="I145" s="3" t="inlineStr">
        <is>
          <t>Claude (AI Engineer)</t>
        </is>
      </c>
      <c r="J145" s="3" t="inlineStr">
        <is>
          <t>SIT</t>
        </is>
      </c>
      <c r="K145" s="3" t="inlineStr">
        <is>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is>
      </c>
    </row>
    <row r="146" ht="27.6" customHeight="1" s="8">
      <c r="A146" s="3" t="inlineStr">
        <is>
          <t>AC-006-002-01</t>
        </is>
      </c>
      <c r="B146" s="3" t="inlineStr">
        <is>
          <t>US-006-002</t>
        </is>
      </c>
      <c r="C146" s="3" t="inlineStr">
        <is>
          <t>EP-006</t>
        </is>
      </c>
      <c r="D146" s="3" t="inlineStr">
        <is>
          <t>Active task name and elapsed time are visible on primary screens.</t>
        </is>
      </c>
      <c r="E146" s="3" t="n"/>
      <c r="F146" s="3" t="inlineStr">
        <is>
          <t>Pass</t>
        </is>
      </c>
      <c r="G146" s="3" t="n"/>
      <c r="H146" s="3" t="n"/>
      <c r="I146" s="3" t="inlineStr">
        <is>
          <t>Claude (AI Engineer)</t>
        </is>
      </c>
      <c r="J146" s="3" t="inlineStr">
        <is>
          <t>SIT</t>
        </is>
      </c>
      <c r="K146" s="3" t="inlineStr">
        <is>
          <t>Code-verified: GlobalTimerBar (shown on every logged-in page) renders the active task title and live elapsed duration. | PASS - manually re-verified live in-browser: /my-day's ACTIVE TASK card showed the real running task's title and a live elapsed counter (e.g. 00:00:15) simultaneously.</t>
        </is>
      </c>
    </row>
    <row r="147" ht="27.6" customHeight="1" s="8">
      <c r="A147" s="3" t="inlineStr">
        <is>
          <t>AC-006-002-02</t>
        </is>
      </c>
      <c r="B147" s="3" t="inlineStr">
        <is>
          <t>US-006-002</t>
        </is>
      </c>
      <c r="C147" s="3" t="inlineStr">
        <is>
          <t>EP-006</t>
        </is>
      </c>
      <c r="D147" s="3" t="inlineStr">
        <is>
          <t>Display is calculated from authoritative start time and current server-synchronised time.</t>
        </is>
      </c>
      <c r="E147" s="3" t="n"/>
      <c r="F147" s="3" t="inlineStr">
        <is>
          <t>Pass</t>
        </is>
      </c>
      <c r="G147" s="3" t="n"/>
      <c r="H147" s="3" t="n"/>
      <c r="I147" s="3" t="inlineStr">
        <is>
          <t>Claude (AI Engineer)</t>
        </is>
      </c>
      <c r="J147" s="3" t="inlineStr">
        <is>
          <t>SIT</t>
        </is>
      </c>
      <c r="K147" s="3" t="inlineStr">
        <is>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is>
      </c>
    </row>
    <row r="148" ht="27.6" customHeight="1" s="8">
      <c r="A148" s="3" t="inlineStr">
        <is>
          <t>AC-006-002-03</t>
        </is>
      </c>
      <c r="B148" s="3" t="inlineStr">
        <is>
          <t>US-006-002</t>
        </is>
      </c>
      <c r="C148" s="3" t="inlineStr">
        <is>
          <t>EP-006</t>
        </is>
      </c>
      <c r="D148" s="3" t="inlineStr">
        <is>
          <t>Refresh/re-login restores active timer display.</t>
        </is>
      </c>
      <c r="E148" s="3" t="n"/>
      <c r="F148" s="3" t="inlineStr">
        <is>
          <t>Pass</t>
        </is>
      </c>
      <c r="G148" s="3" t="n"/>
      <c r="H148" s="3" t="n"/>
      <c r="I148" s="3" t="inlineStr">
        <is>
          <t>Claude (AI Engineer)</t>
        </is>
      </c>
      <c r="J148" s="3" t="inlineStr">
        <is>
          <t>SIT</t>
        </is>
      </c>
      <c r="K148" s="3" t="inlineStr">
        <is>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is>
      </c>
    </row>
    <row r="149" ht="27.6" customHeight="1" s="8">
      <c r="A149" s="3" t="inlineStr">
        <is>
          <t>AC-006-002-04</t>
        </is>
      </c>
      <c r="B149" s="3" t="inlineStr">
        <is>
          <t>US-006-002</t>
        </is>
      </c>
      <c r="C149" s="3" t="inlineStr">
        <is>
          <t>EP-006</t>
        </is>
      </c>
      <c r="D149" s="3" t="inlineStr">
        <is>
          <t>Pause/Stop/Switch actions remain accessible.</t>
        </is>
      </c>
      <c r="E149" s="3" t="n"/>
      <c r="F149" s="3" t="inlineStr">
        <is>
          <t>Pass</t>
        </is>
      </c>
      <c r="G149" s="3" t="n"/>
      <c r="H149" s="3" t="n"/>
      <c r="I149" s="3" t="inlineStr">
        <is>
          <t>Claude (AI Engineer)</t>
        </is>
      </c>
      <c r="J149" s="3" t="inlineStr">
        <is>
          <t>SIT</t>
        </is>
      </c>
      <c r="K149" s="3" t="inlineStr">
        <is>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is>
      </c>
    </row>
    <row r="150" ht="27.6" customHeight="1" s="8">
      <c r="A150" s="3" t="inlineStr">
        <is>
          <t>AC-006-003-01</t>
        </is>
      </c>
      <c r="B150" s="3" t="inlineStr">
        <is>
          <t>US-006-003</t>
        </is>
      </c>
      <c r="C150" s="3" t="inlineStr">
        <is>
          <t>EP-006</t>
        </is>
      </c>
      <c r="D150" s="3" t="inlineStr">
        <is>
          <t>Only an active timer can be paused.</t>
        </is>
      </c>
      <c r="E150" s="3" t="n"/>
      <c r="F150" s="3" t="inlineStr">
        <is>
          <t>Pass</t>
        </is>
      </c>
      <c r="G150" s="3" t="n"/>
      <c r="H150" s="3" t="n"/>
      <c r="I150" s="3" t="inlineStr">
        <is>
          <t>Claude (AI Engineer)</t>
        </is>
      </c>
      <c r="J150" s="3" t="inlineStr">
        <is>
          <t>SIT</t>
        </is>
      </c>
      <c r="K150" s="3" t="inlineStr">
        <is>
          <t>Live test 2026-09-08: pause with no active timer -&gt; 400. | PASS - manually re-verified live: with no active timer, POST /task-timers/pause -&gt; 400 'No active task timer to pause'.</t>
        </is>
      </c>
    </row>
    <row r="151" ht="27.6" customHeight="1" s="8">
      <c r="A151" s="3" t="inlineStr">
        <is>
          <t>AC-006-003-02</t>
        </is>
      </c>
      <c r="B151" s="3" t="inlineStr">
        <is>
          <t>US-006-003</t>
        </is>
      </c>
      <c r="C151" s="3" t="inlineStr">
        <is>
          <t>EP-006</t>
        </is>
      </c>
      <c r="D151" s="3" t="inlineStr">
        <is>
          <t>Pause closes the current active timing segment.</t>
        </is>
      </c>
      <c r="E151" s="3" t="n"/>
      <c r="F151" s="3" t="inlineStr">
        <is>
          <t>Pass</t>
        </is>
      </c>
      <c r="G151" s="3" t="n"/>
      <c r="H151" s="3" t="n"/>
      <c r="I151" s="3" t="inlineStr">
        <is>
          <t>Claude (AI Engineer)</t>
        </is>
      </c>
      <c r="J151" s="3" t="inlineStr">
        <is>
          <t>SIT</t>
        </is>
      </c>
      <c r="K151" s="3" t="inlineStr">
        <is>
          <t>Live test 2026-09-08: pause closes the segment (status=CLOSED, endAt set). | PASS - manually re-verified live: pausing a real running timer returned it with status CLOSED and a real server-generated endAt - the segment is genuinely closed, not just flagged.</t>
        </is>
      </c>
    </row>
    <row r="152" ht="27.6" customHeight="1" s="8">
      <c r="A152" s="3" t="inlineStr">
        <is>
          <t>AC-006-003-03</t>
        </is>
      </c>
      <c r="B152" s="3" t="inlineStr">
        <is>
          <t>US-006-003</t>
        </is>
      </c>
      <c r="C152" s="3" t="inlineStr">
        <is>
          <t>EP-006</t>
        </is>
      </c>
      <c r="D152" s="3" t="inlineStr">
        <is>
          <t>Elapsed duration excludes paused period.</t>
        </is>
      </c>
      <c r="E152" s="3" t="n"/>
      <c r="F152" s="3" t="inlineStr">
        <is>
          <t>Pass</t>
        </is>
      </c>
      <c r="G152" s="3" t="n"/>
      <c r="H152" s="3" t="n"/>
      <c r="I152" s="3" t="inlineStr">
        <is>
          <t>Claude (AI Engineer)</t>
        </is>
      </c>
      <c r="J152" s="3" t="inlineStr">
        <is>
          <t>SIT</t>
        </is>
      </c>
      <c r="K152" s="3" t="inlineStr">
        <is>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is>
      </c>
    </row>
    <row r="153" ht="27.6" customHeight="1" s="8">
      <c r="A153" s="3" t="inlineStr">
        <is>
          <t>AC-006-003-04</t>
        </is>
      </c>
      <c r="B153" s="3" t="inlineStr">
        <is>
          <t>US-006-003</t>
        </is>
      </c>
      <c r="C153" s="3" t="inlineStr">
        <is>
          <t>EP-006</t>
        </is>
      </c>
      <c r="D153" s="3" t="inlineStr">
        <is>
          <t>Task remains available to resume.</t>
        </is>
      </c>
      <c r="E153" s="3" t="n"/>
      <c r="F153" s="3" t="inlineStr">
        <is>
          <t>Pass</t>
        </is>
      </c>
      <c r="G153" s="3" t="n"/>
      <c r="H153" s="3" t="n"/>
      <c r="I153" s="3" t="inlineStr">
        <is>
          <t>Claude (AI Engineer)</t>
        </is>
      </c>
      <c r="J153" s="3" t="inlineStr">
        <is>
          <t>SIT</t>
        </is>
      </c>
      <c r="K153" s="3" t="inlineStr">
        <is>
          <t>Live test 2026-09-08: resume succeeded (201) after a pause. | PASS - manually re-verified live in-browser: after pausing, the task's card on /my-day showed a 'Resume' action and its status remained IN_PROGRESS (not reverted to TO DO).</t>
        </is>
      </c>
    </row>
    <row r="154" ht="27.6" customHeight="1" s="8">
      <c r="A154" s="3" t="inlineStr">
        <is>
          <t>AC-006-004-01</t>
        </is>
      </c>
      <c r="B154" s="3" t="inlineStr">
        <is>
          <t>US-006-004</t>
        </is>
      </c>
      <c r="C154" s="3" t="inlineStr">
        <is>
          <t>EP-006</t>
        </is>
      </c>
      <c r="D154" s="3" t="inlineStr">
        <is>
          <t>Task must be paused and user must be clocked in/not on break.</t>
        </is>
      </c>
      <c r="E154" s="3" t="n"/>
      <c r="F154" s="3" t="inlineStr">
        <is>
          <t>Pass</t>
        </is>
      </c>
      <c r="G154" s="3" t="n"/>
      <c r="H154" s="3" t="n"/>
      <c r="I154" s="3" t="inlineStr">
        <is>
          <t>Claude (AI Engineer)</t>
        </is>
      </c>
      <c r="J154" s="3" t="inlineStr">
        <is>
          <t>SIT</t>
        </is>
      </c>
      <c r="K154" s="3" t="inlineStr">
        <is>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is>
      </c>
    </row>
    <row r="155" ht="27.6" customHeight="1" s="8">
      <c r="A155" s="3" t="inlineStr">
        <is>
          <t>AC-006-004-02</t>
        </is>
      </c>
      <c r="B155" s="3" t="inlineStr">
        <is>
          <t>US-006-004</t>
        </is>
      </c>
      <c r="C155" s="3" t="inlineStr">
        <is>
          <t>EP-006</t>
        </is>
      </c>
      <c r="D155" s="3" t="inlineStr">
        <is>
          <t>Resume creates a new timing segment.</t>
        </is>
      </c>
      <c r="E155" s="3" t="n"/>
      <c r="F155" s="3" t="inlineStr">
        <is>
          <t>Pass</t>
        </is>
      </c>
      <c r="G155" s="3" t="n"/>
      <c r="H155" s="3" t="n"/>
      <c r="I155" s="3" t="inlineStr">
        <is>
          <t>Claude (AI Engineer)</t>
        </is>
      </c>
      <c r="J155" s="3" t="inlineStr">
        <is>
          <t>SIT</t>
        </is>
      </c>
      <c r="K155" s="3" t="inlineStr">
        <is>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is>
      </c>
    </row>
    <row r="156" ht="27.6" customHeight="1" s="8">
      <c r="A156" s="3" t="inlineStr">
        <is>
          <t>AC-006-004-03</t>
        </is>
      </c>
      <c r="B156" s="3" t="inlineStr">
        <is>
          <t>US-006-004</t>
        </is>
      </c>
      <c r="C156" s="3" t="inlineStr">
        <is>
          <t>EP-006</t>
        </is>
      </c>
      <c r="D156" s="3" t="inlineStr">
        <is>
          <t>Previous recorded duration is retained.</t>
        </is>
      </c>
      <c r="E156" s="3" t="n"/>
      <c r="F156" s="3" t="inlineStr">
        <is>
          <t>Pass</t>
        </is>
      </c>
      <c r="G156" s="3" t="n"/>
      <c r="H156" s="3" t="n"/>
      <c r="I156" s="3" t="inlineStr">
        <is>
          <t>Claude (AI Engineer)</t>
        </is>
      </c>
      <c r="J156" s="3" t="inlineStr">
        <is>
          <t>SIT</t>
        </is>
      </c>
      <c r="K156" s="3" t="inlineStr">
        <is>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is>
      </c>
    </row>
    <row r="157" ht="27.6" customHeight="1" s="8">
      <c r="A157" s="3" t="inlineStr">
        <is>
          <t>AC-006-004-04</t>
        </is>
      </c>
      <c r="B157" s="3" t="inlineStr">
        <is>
          <t>US-006-004</t>
        </is>
      </c>
      <c r="C157" s="3" t="inlineStr">
        <is>
          <t>EP-006</t>
        </is>
      </c>
      <c r="D157" s="3" t="inlineStr">
        <is>
          <t>Only one active timer exists after resume.</t>
        </is>
      </c>
      <c r="E157" s="3" t="n"/>
      <c r="F157" s="3" t="inlineStr">
        <is>
          <t>Pass</t>
        </is>
      </c>
      <c r="G157" s="3" t="n"/>
      <c r="H157" s="3" t="n"/>
      <c r="I157" s="3" t="inlineStr">
        <is>
          <t>Claude (AI Engineer)</t>
        </is>
      </c>
      <c r="J157" s="3" t="inlineStr">
        <is>
          <t>SIT</t>
        </is>
      </c>
      <c r="K157" s="3" t="inlineStr">
        <is>
          <t>Live test 2026-09-08: a second timer-start attempt after resuming -&gt; 409. | PASS - manually re-verified live: GET /attendance/state's activeTimer after resume pointed at exactly one timer (the new segment's id) - no duplicate active timer existed.</t>
        </is>
      </c>
    </row>
    <row r="158" ht="27.6" customHeight="1" s="8">
      <c r="A158" s="3" t="inlineStr">
        <is>
          <t>AC-006-005-01</t>
        </is>
      </c>
      <c r="B158" s="3" t="inlineStr">
        <is>
          <t>US-006-005</t>
        </is>
      </c>
      <c r="C158" s="3" t="inlineStr">
        <is>
          <t>EP-006</t>
        </is>
      </c>
      <c r="D158" s="3" t="inlineStr">
        <is>
          <t>Only an active timer can be stopped.</t>
        </is>
      </c>
      <c r="E158" s="3" t="n"/>
      <c r="F158" s="3" t="inlineStr">
        <is>
          <t>Pass</t>
        </is>
      </c>
      <c r="G158" s="3" t="n"/>
      <c r="H158" s="3" t="n"/>
      <c r="I158" s="3" t="inlineStr">
        <is>
          <t>Claude (AI Engineer)</t>
        </is>
      </c>
      <c r="J158" s="3" t="inlineStr">
        <is>
          <t>SIT</t>
        </is>
      </c>
      <c r="K158" s="3" t="inlineStr">
        <is>
          <t>Live test 2026-09-08: stop succeeded once (200), a second stop with nothing running -&gt; 400. | PASS - manually re-verified live: stopping an already-stopped timer -&gt; 400 'No active task timer to stop'.</t>
        </is>
      </c>
    </row>
    <row r="159" ht="27.6" customHeight="1" s="8">
      <c r="A159" s="3" t="inlineStr">
        <is>
          <t>AC-006-005-02</t>
        </is>
      </c>
      <c r="B159" s="3" t="inlineStr">
        <is>
          <t>US-006-005</t>
        </is>
      </c>
      <c r="C159" s="3" t="inlineStr">
        <is>
          <t>EP-006</t>
        </is>
      </c>
      <c r="D159" s="3" t="inlineStr">
        <is>
          <t>Server time records stop timestamp.</t>
        </is>
      </c>
      <c r="E159" s="3" t="n"/>
      <c r="F159" s="3" t="inlineStr">
        <is>
          <t>Pass</t>
        </is>
      </c>
      <c r="G159" s="3" t="n"/>
      <c r="H159" s="3" t="n"/>
      <c r="I159" s="3" t="inlineStr">
        <is>
          <t>Claude (AI Engineer)</t>
        </is>
      </c>
      <c r="J159" s="3" t="inlineStr">
        <is>
          <t>SIT</t>
        </is>
      </c>
      <c r="K159" s="3" t="inlineStr">
        <is>
          <t>Live test 2026-09-08: stop response endAt is server-generated; endpoint takes no body. | PASS - manually re-verified live: every stop this session returned a server-generated endAt.</t>
        </is>
      </c>
    </row>
    <row r="160" ht="27.6" customHeight="1" s="8">
      <c r="A160" s="3" t="inlineStr">
        <is>
          <t>AC-006-005-03</t>
        </is>
      </c>
      <c r="B160" s="3" t="inlineStr">
        <is>
          <t>US-006-005</t>
        </is>
      </c>
      <c r="C160" s="3" t="inlineStr">
        <is>
          <t>EP-006</t>
        </is>
      </c>
      <c r="D160" s="3" t="inlineStr">
        <is>
          <t>Actual task duration is updated immediately.</t>
        </is>
      </c>
      <c r="E160" s="3" t="n"/>
      <c r="F160" s="3" t="inlineStr">
        <is>
          <t>Pass</t>
        </is>
      </c>
      <c r="G160" s="3" t="n"/>
      <c r="H160" s="3" t="n"/>
      <c r="I160" s="3" t="inlineStr">
        <is>
          <t>Claude (AI Engineer)</t>
        </is>
      </c>
      <c r="J160" s="3" t="inlineStr">
        <is>
          <t>SIT</t>
        </is>
      </c>
      <c r="K160" s="3" t="inlineStr">
        <is>
          <t>Live test 2026-09-08: task detail actualMinutes available immediately after stop, no delay. | PASS - manually re-verified live: GET /tasks/:id's actualMinutes updated immediately in the very next request after a stop, with no propagation delay.</t>
        </is>
      </c>
    </row>
    <row r="161" ht="27.6" customHeight="1" s="8">
      <c r="A161" s="3" t="inlineStr">
        <is>
          <t>AC-006-005-04</t>
        </is>
      </c>
      <c r="B161" s="3" t="inlineStr">
        <is>
          <t>US-006-005</t>
        </is>
      </c>
      <c r="C161" s="3" t="inlineStr">
        <is>
          <t>EP-006</t>
        </is>
      </c>
      <c r="D161" s="3" t="inlineStr">
        <is>
          <t>Stopped interval appears in daily activity timeline.</t>
        </is>
      </c>
      <c r="E161" s="3" t="n"/>
      <c r="F161" s="3" t="inlineStr">
        <is>
          <t>Pass</t>
        </is>
      </c>
      <c r="G161" s="3" t="n"/>
      <c r="H161" s="3" t="n"/>
      <c r="I161" s="3" t="inlineStr">
        <is>
          <t>Claude (AI Engineer)</t>
        </is>
      </c>
      <c r="J161" s="3" t="inlineStr">
        <is>
          <t>SIT</t>
        </is>
      </c>
      <c r="K161" s="3" t="inlineStr">
        <is>
          <t>Live test 2026-09-08: the just-stopped segment appears in the same day's daily-log. | PASS - manually re-verified live: GET /reconciliation/me's timeline included the just-stopped interval immediately, correctly ordered among the day's other events.</t>
        </is>
      </c>
    </row>
    <row r="162" ht="27.6" customHeight="1" s="8">
      <c r="A162" s="3" t="inlineStr">
        <is>
          <t>AC-006-006-01</t>
        </is>
      </c>
      <c r="B162" s="3" t="inlineStr">
        <is>
          <t>US-006-006</t>
        </is>
      </c>
      <c r="C162" s="3" t="inlineStr">
        <is>
          <t>EP-006</t>
        </is>
      </c>
      <c r="D162" s="3" t="inlineStr">
        <is>
          <t>System stops current task and starts selected task at one consistent boundary.</t>
        </is>
      </c>
      <c r="E162" s="3" t="n"/>
      <c r="F162" s="3" t="inlineStr">
        <is>
          <t>Pass</t>
        </is>
      </c>
      <c r="G162" s="3" t="n"/>
      <c r="H162" s="3" t="n"/>
      <c r="I162" s="3" t="inlineStr">
        <is>
          <t>Claude (AI Engineer)</t>
        </is>
      </c>
      <c r="J162" s="3" t="inlineStr">
        <is>
          <t>SIT</t>
        </is>
      </c>
      <c r="K162" s="3" t="inlineStr">
        <is>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is>
      </c>
    </row>
    <row r="163" ht="27.6" customHeight="1" s="8">
      <c r="A163" s="3" t="inlineStr">
        <is>
          <t>AC-006-006-02</t>
        </is>
      </c>
      <c r="B163" s="3" t="inlineStr">
        <is>
          <t>US-006-006</t>
        </is>
      </c>
      <c r="C163" s="3" t="inlineStr">
        <is>
          <t>EP-006</t>
        </is>
      </c>
      <c r="D163" s="3" t="inlineStr">
        <is>
          <t>No overlap is created.</t>
        </is>
      </c>
      <c r="E163" s="3" t="n"/>
      <c r="F163" s="3" t="inlineStr">
        <is>
          <t>Pass</t>
        </is>
      </c>
      <c r="G163" s="3" t="n"/>
      <c r="H163" s="3" t="n"/>
      <c r="I163" s="3" t="inlineStr">
        <is>
          <t>Claude (AI Engineer)</t>
        </is>
      </c>
      <c r="J163" s="3" t="inlineStr">
        <is>
          <t>SIT</t>
        </is>
      </c>
      <c r="K163" s="3" t="inlineStr">
        <is>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is>
      </c>
    </row>
    <row r="164" ht="27.6" customHeight="1" s="8">
      <c r="A164" s="3" t="inlineStr">
        <is>
          <t>AC-006-006-03</t>
        </is>
      </c>
      <c r="B164" s="3" t="inlineStr">
        <is>
          <t>US-006-006</t>
        </is>
      </c>
      <c r="C164" s="3" t="inlineStr">
        <is>
          <t>EP-006</t>
        </is>
      </c>
      <c r="D164" s="3" t="inlineStr">
        <is>
          <t>New task must be eligible and active.</t>
        </is>
      </c>
      <c r="E164" s="3" t="n"/>
      <c r="F164" s="3" t="inlineStr">
        <is>
          <t>Pass</t>
        </is>
      </c>
      <c r="G164" s="3" t="n"/>
      <c r="H164" s="3" t="n"/>
      <c r="I164" s="3" t="inlineStr">
        <is>
          <t>Claude (AI Engineer)</t>
        </is>
      </c>
      <c r="J164" s="3" t="inlineStr">
        <is>
          <t>SIT</t>
        </is>
      </c>
      <c r="K164" s="3" t="inlineStr">
        <is>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is>
      </c>
    </row>
    <row r="165" ht="27.6" customHeight="1" s="8">
      <c r="A165" s="3" t="inlineStr">
        <is>
          <t>AC-006-006-04</t>
        </is>
      </c>
      <c r="B165" s="3" t="inlineStr">
        <is>
          <t>US-006-006</t>
        </is>
      </c>
      <c r="C165" s="3" t="inlineStr">
        <is>
          <t>EP-006</t>
        </is>
      </c>
      <c r="D165" s="3" t="inlineStr">
        <is>
          <t>Both resulting records are visible in timeline.</t>
        </is>
      </c>
      <c r="E165" s="3" t="n"/>
      <c r="F165" s="3" t="inlineStr">
        <is>
          <t>Pass</t>
        </is>
      </c>
      <c r="G165" s="3" t="n"/>
      <c r="H165" s="3" t="n"/>
      <c r="I165" s="3" t="inlineStr">
        <is>
          <t>Claude (AI Engineer)</t>
        </is>
      </c>
      <c r="J165" s="3" t="inlineStr">
        <is>
          <t>SIT</t>
        </is>
      </c>
      <c r="K165" s="3" t="inlineStr">
        <is>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is>
      </c>
    </row>
    <row r="166" ht="27.6" customHeight="1" s="8">
      <c r="A166" s="3" t="inlineStr">
        <is>
          <t>AC-006-007-01</t>
        </is>
      </c>
      <c r="B166" s="3" t="inlineStr">
        <is>
          <t>US-006-007</t>
        </is>
      </c>
      <c r="C166" s="3" t="inlineStr">
        <is>
          <t>EP-006</t>
        </is>
      </c>
      <c r="D166" s="3" t="inlineStr">
        <is>
          <t>Backend rejects attempts to create a second active timer.</t>
        </is>
      </c>
      <c r="E166" s="3" t="n"/>
      <c r="F166" s="3" t="inlineStr">
        <is>
          <t>Pass</t>
        </is>
      </c>
      <c r="G166" s="3" t="n"/>
      <c r="H166" s="3" t="n"/>
      <c r="I166" s="3" t="inlineStr">
        <is>
          <t>Claude (AI Engineer)</t>
        </is>
      </c>
      <c r="J166" s="3" t="inlineStr">
        <is>
          <t>SIT</t>
        </is>
      </c>
      <c r="K166" s="3" t="inlineStr">
        <is>
          <t>Same evidence as AC-006-001-04/AC-006-004-04 - every second-timer attempt returns 409. | PASS - manually re-verified live: POST /task-timers/start for a second task while one was already running -&gt; 409 'A task timer is already running', rejected server-side regardless of which task was requested.</t>
        </is>
      </c>
    </row>
    <row r="167" ht="27.6" customHeight="1" s="8">
      <c r="A167" s="3" t="inlineStr">
        <is>
          <t>AC-006-007-02</t>
        </is>
      </c>
      <c r="B167" s="3" t="inlineStr">
        <is>
          <t>US-006-007</t>
        </is>
      </c>
      <c r="C167" s="3" t="inlineStr">
        <is>
          <t>EP-006</t>
        </is>
      </c>
      <c r="D167" s="3" t="inlineStr">
        <is>
          <t>Database/application concurrency controls protect race conditions.</t>
        </is>
      </c>
      <c r="E167" s="3" t="n"/>
      <c r="F167" s="3" t="inlineStr">
        <is>
          <t>Pass</t>
        </is>
      </c>
      <c r="G167" s="3" t="n"/>
      <c r="H167" s="3" t="n"/>
      <c r="I167" s="3" t="inlineStr">
        <is>
          <t>Claude (AI Engineer)</t>
        </is>
      </c>
      <c r="J167" s="3" t="inlineStr">
        <is>
          <t>SIT</t>
        </is>
      </c>
      <c r="K167" s="3" t="inlineStr">
        <is>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is>
      </c>
    </row>
    <row r="168" ht="27.6" customHeight="1" s="8">
      <c r="A168" s="3" t="inlineStr">
        <is>
          <t>AC-006-007-03</t>
        </is>
      </c>
      <c r="B168" s="3" t="inlineStr">
        <is>
          <t>US-006-007</t>
        </is>
      </c>
      <c r="C168" s="3" t="inlineStr">
        <is>
          <t>EP-006</t>
        </is>
      </c>
      <c r="D168" s="3" t="inlineStr">
        <is>
          <t>User receives existing active task information.</t>
        </is>
      </c>
      <c r="E168" s="3" t="n"/>
      <c r="F168" s="3" t="inlineStr">
        <is>
          <t>Pass</t>
        </is>
      </c>
      <c r="G168" s="3" t="n"/>
      <c r="H168" s="3" t="n"/>
      <c r="I168" s="3" t="inlineStr">
        <is>
          <t>Claude (AI Engineer)</t>
        </is>
      </c>
      <c r="J168" s="3" t="inlineStr">
        <is>
          <t>SIT</t>
        </is>
      </c>
      <c r="K168" s="3" t="inlineStr">
        <is>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is>
      </c>
    </row>
    <row r="169" ht="27.6" customHeight="1" s="8">
      <c r="A169" s="3" t="inlineStr">
        <is>
          <t>AC-006-007-04</t>
        </is>
      </c>
      <c r="B169" s="3" t="inlineStr">
        <is>
          <t>US-006-007</t>
        </is>
      </c>
      <c r="C169" s="3" t="inlineStr">
        <is>
          <t>EP-006</t>
        </is>
      </c>
      <c r="D169" s="3" t="inlineStr">
        <is>
          <t>Administrator correction is used for genuine exceptions rather than parallel timers.</t>
        </is>
      </c>
      <c r="E169" s="3" t="n"/>
      <c r="F169" s="3" t="inlineStr">
        <is>
          <t>Pass</t>
        </is>
      </c>
      <c r="G169" s="3" t="n"/>
      <c r="H169" s="3" t="n"/>
      <c r="I169" s="3" t="inlineStr">
        <is>
          <t>Claude (AI Engineer)</t>
        </is>
      </c>
      <c r="J169" s="3" t="inlineStr">
        <is>
          <t>SIT</t>
        </is>
      </c>
      <c r="K169" s="3" t="inlineStr">
        <is>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is>
      </c>
    </row>
    <row r="170" ht="27.6" customHeight="1" s="8">
      <c r="A170" s="3" t="inlineStr">
        <is>
          <t>AC-006-008-01</t>
        </is>
      </c>
      <c r="B170" s="3" t="inlineStr">
        <is>
          <t>US-006-008</t>
        </is>
      </c>
      <c r="C170" s="3" t="inlineStr">
        <is>
          <t>EP-006</t>
        </is>
      </c>
      <c r="D170" s="3" t="inlineStr">
        <is>
          <t>Timer state is stored on the server.</t>
        </is>
      </c>
      <c r="E170" s="3" t="n"/>
      <c r="F170" s="3" t="inlineStr">
        <is>
          <t>Pass</t>
        </is>
      </c>
      <c r="G170" s="3" t="n"/>
      <c r="H170" s="3" t="n"/>
      <c r="I170" s="3" t="inlineStr">
        <is>
          <t>Claude (AI Engineer)</t>
        </is>
      </c>
      <c r="J170" s="3" t="inlineStr">
        <is>
          <t>SIT</t>
        </is>
      </c>
      <c r="K170" s="3" t="inlineStr">
        <is>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is>
      </c>
    </row>
    <row r="171" ht="27.6" customHeight="1" s="8">
      <c r="A171" s="3" t="inlineStr">
        <is>
          <t>AC-006-008-02</t>
        </is>
      </c>
      <c r="B171" s="3" t="inlineStr">
        <is>
          <t>US-006-008</t>
        </is>
      </c>
      <c r="C171" s="3" t="inlineStr">
        <is>
          <t>EP-006</t>
        </is>
      </c>
      <c r="D171" s="3" t="inlineStr">
        <is>
          <t>Closing browser does not stop the authoritative timer.</t>
        </is>
      </c>
      <c r="E171" s="3" t="n"/>
      <c r="F171" s="3" t="inlineStr">
        <is>
          <t>Pass</t>
        </is>
      </c>
      <c r="G171" s="3" t="n"/>
      <c r="H171" s="3" t="n"/>
      <c r="I171" s="3" t="inlineStr">
        <is>
          <t>Claude (AI Engineer)</t>
        </is>
      </c>
      <c r="J171" s="3" t="inlineStr">
        <is>
          <t>SIT</t>
        </is>
      </c>
      <c r="K171" s="3" t="inlineStr">
        <is>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is>
      </c>
    </row>
    <row r="172" ht="27.6" customHeight="1" s="8">
      <c r="A172" s="3" t="inlineStr">
        <is>
          <t>AC-006-008-03</t>
        </is>
      </c>
      <c r="B172" s="3" t="inlineStr">
        <is>
          <t>US-006-008</t>
        </is>
      </c>
      <c r="C172" s="3" t="inlineStr">
        <is>
          <t>EP-006</t>
        </is>
      </c>
      <c r="D172" s="3" t="inlineStr">
        <is>
          <t>On return, elapsed time is reconstructed from stored timestamps.</t>
        </is>
      </c>
      <c r="E172" s="3" t="n"/>
      <c r="F172" s="3" t="inlineStr">
        <is>
          <t>Pass</t>
        </is>
      </c>
      <c r="G172" s="3" t="n"/>
      <c r="H172" s="3" t="n"/>
      <c r="I172" s="3" t="inlineStr">
        <is>
          <t>Claude (AI Engineer)</t>
        </is>
      </c>
      <c r="J172" s="3" t="inlineStr">
        <is>
          <t>SIT</t>
        </is>
      </c>
      <c r="K172" s="3" t="inlineStr">
        <is>
          <t>Live test 2026-09-08: the reconstructed timer carries its real startAt for client-side elapsed computation. | PASS (same evidence as AC-006-002-03) - the elapsed counter after a hard reload was correctly reconstructed as (now - stored startAt), not restarted from zero or lost.</t>
        </is>
      </c>
    </row>
    <row r="173" ht="27.6" customHeight="1" s="8">
      <c r="A173" s="3" t="inlineStr">
        <is>
          <t>AC-006-008-04</t>
        </is>
      </c>
      <c r="B173" s="3" t="inlineStr">
        <is>
          <t>US-006-008</t>
        </is>
      </c>
      <c r="C173" s="3" t="inlineStr">
        <is>
          <t>EP-006</t>
        </is>
      </c>
      <c r="D173" s="3" t="inlineStr">
        <is>
          <t>No per-second database writes are required to keep timer running.</t>
        </is>
      </c>
      <c r="E173" s="3" t="n"/>
      <c r="F173" s="3" t="inlineStr">
        <is>
          <t>Pass</t>
        </is>
      </c>
      <c r="G173" s="3" t="n"/>
      <c r="H173" s="3" t="n"/>
      <c r="I173" s="3" t="inlineStr">
        <is>
          <t>Claude (AI Engineer)</t>
        </is>
      </c>
      <c r="J173" s="3" t="inlineStr">
        <is>
          <t>SIT</t>
        </is>
      </c>
      <c r="K173" s="3" t="inlineStr">
        <is>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is>
      </c>
    </row>
    <row r="174" ht="27.6" customHeight="1" s="8">
      <c r="A174" s="3" t="inlineStr">
        <is>
          <t>AC-006-009-01</t>
        </is>
      </c>
      <c r="B174" s="3" t="inlineStr">
        <is>
          <t>US-006-009</t>
        </is>
      </c>
      <c r="C174" s="3" t="inlineStr">
        <is>
          <t>EP-006</t>
        </is>
      </c>
      <c r="D174" s="3" t="inlineStr">
        <is>
          <t>Log shows task, start, end and duration.</t>
        </is>
      </c>
      <c r="E174" s="3" t="n"/>
      <c r="F174" s="3" t="inlineStr">
        <is>
          <t>Pass</t>
        </is>
      </c>
      <c r="G174" s="3" t="n"/>
      <c r="H174" s="3" t="n"/>
      <c r="I174" s="3" t="inlineStr">
        <is>
          <t>Claude (AI Engineer)</t>
        </is>
      </c>
      <c r="J174" s="3" t="inlineStr">
        <is>
          <t>SIT</t>
        </is>
      </c>
      <c r="K174" s="3" t="inlineStr">
        <is>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is>
      </c>
    </row>
    <row r="175" ht="27.6" customHeight="1" s="8">
      <c r="A175" s="3" t="inlineStr">
        <is>
          <t>AC-006-009-02</t>
        </is>
      </c>
      <c r="B175" s="3" t="inlineStr">
        <is>
          <t>US-006-009</t>
        </is>
      </c>
      <c r="C175" s="3" t="inlineStr">
        <is>
          <t>EP-006</t>
        </is>
      </c>
      <c r="D175" s="3" t="inlineStr">
        <is>
          <t>Paused segments are excluded from duration.</t>
        </is>
      </c>
      <c r="E175" s="3" t="n"/>
      <c r="F175" s="3" t="inlineStr">
        <is>
          <t>Pass</t>
        </is>
      </c>
      <c r="G175" s="3" t="n"/>
      <c r="H175" s="3" t="n"/>
      <c r="I175" s="3" t="inlineStr">
        <is>
          <t>Claude (AI Engineer)</t>
        </is>
      </c>
      <c r="J175" s="3" t="inlineStr">
        <is>
          <t>SIT</t>
        </is>
      </c>
      <c r="K175" s="3" t="inlineStr">
        <is>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is>
      </c>
    </row>
    <row r="176" ht="27.6" customHeight="1" s="8">
      <c r="A176" s="3" t="inlineStr">
        <is>
          <t>AC-006-009-03</t>
        </is>
      </c>
      <c r="B176" s="3" t="inlineStr">
        <is>
          <t>US-006-009</t>
        </is>
      </c>
      <c r="C176" s="3" t="inlineStr">
        <is>
          <t>EP-006</t>
        </is>
      </c>
      <c r="D176" s="3" t="inlineStr">
        <is>
          <t>Entries are ordered chronologically.</t>
        </is>
      </c>
      <c r="E176" s="3" t="n"/>
      <c r="F176" s="3" t="inlineStr">
        <is>
          <t>Pass</t>
        </is>
      </c>
      <c r="G176" s="3" t="n"/>
      <c r="H176" s="3" t="n"/>
      <c r="I176" s="3" t="inlineStr">
        <is>
          <t>Claude (AI Engineer)</t>
        </is>
      </c>
      <c r="J176" s="3" t="inlineStr">
        <is>
          <t>SIT</t>
        </is>
      </c>
      <c r="K176" s="3" t="inlineStr">
        <is>
          <t>Live test 2026-09-08: daily-log entries confirmed chronologically ordered. | PASS - manually re-verified live: all 5 real task-time segments created this session (across pause/resume/switch) appeared in strict chronological start-time order on the Attendance Day Detail screen.</t>
        </is>
      </c>
    </row>
    <row r="177" ht="27.6" customHeight="1" s="8">
      <c r="A177" s="3" t="inlineStr">
        <is>
          <t>AC-006-009-04</t>
        </is>
      </c>
      <c r="B177" s="3" t="inlineStr">
        <is>
          <t>US-006-009</t>
        </is>
      </c>
      <c r="C177" s="3" t="inlineStr">
        <is>
          <t>EP-006</t>
        </is>
      </c>
      <c r="D177" s="3" t="inlineStr">
        <is>
          <t>Totals reconcile to daily task-time total.</t>
        </is>
      </c>
      <c r="E177" s="3" t="n"/>
      <c r="F177" s="3" t="inlineStr">
        <is>
          <t>Pass</t>
        </is>
      </c>
      <c r="G177" s="3" t="n"/>
      <c r="H177" s="3" t="n"/>
      <c r="I177" s="3" t="inlineStr">
        <is>
          <t>Claude (AI Engineer)</t>
        </is>
      </c>
      <c r="J177" s="3" t="inlineStr">
        <is>
          <t>SIT</t>
        </is>
      </c>
      <c r="K177" s="3" t="inlineStr">
        <is>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is>
      </c>
    </row>
    <row r="178" ht="27.6" customHeight="1" s="8">
      <c r="A178" s="3" t="inlineStr">
        <is>
          <t>AC-006-010-01</t>
        </is>
      </c>
      <c r="B178" s="3" t="inlineStr">
        <is>
          <t>US-006-010</t>
        </is>
      </c>
      <c r="C178" s="3" t="inlineStr">
        <is>
          <t>EP-006</t>
        </is>
      </c>
      <c r="D178" s="3" t="inlineStr">
        <is>
          <t>Actual time is sum of valid task time segments.</t>
        </is>
      </c>
      <c r="E178" s="3" t="n"/>
      <c r="F178" s="3" t="inlineStr">
        <is>
          <t>Pass</t>
        </is>
      </c>
      <c r="G178" s="3" t="n"/>
      <c r="H178" s="3" t="n"/>
      <c r="I178" s="3" t="inlineStr">
        <is>
          <t>Claude (AI Engineer)</t>
        </is>
      </c>
      <c r="J178" s="3" t="inlineStr">
        <is>
          <t>SIT</t>
        </is>
      </c>
      <c r="K178" s="3" t="inlineStr">
        <is>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is>
      </c>
    </row>
    <row r="179" ht="27.6" customHeight="1" s="8">
      <c r="A179" s="3" t="inlineStr">
        <is>
          <t>AC-006-010-02</t>
        </is>
      </c>
      <c r="B179" s="3" t="inlineStr">
        <is>
          <t>US-006-010</t>
        </is>
      </c>
      <c r="C179" s="3" t="inlineStr">
        <is>
          <t>EP-006</t>
        </is>
      </c>
      <c r="D179" s="3" t="inlineStr">
        <is>
          <t>Variance is shown when estimate exists.</t>
        </is>
      </c>
      <c r="E179" s="3" t="n"/>
      <c r="F179" s="3" t="inlineStr">
        <is>
          <t>Pass</t>
        </is>
      </c>
      <c r="G179" s="3" t="n"/>
      <c r="H179" s="3" t="n"/>
      <c r="I179" s="3" t="inlineStr">
        <is>
          <t>Claude (AI Engineer)</t>
        </is>
      </c>
      <c r="J179" s="3" t="inlineStr">
        <is>
          <t>SIT</t>
        </is>
      </c>
      <c r="K179" s="3" t="inlineStr">
        <is>
          <t>Code-verified (tasks/[id]/page.tsx): variance shown only when estimatedMinutes is set. | PASS - manually re-verified live in-browser: task detail only ever showed the ESTIMATED/VARIANCE fields when estimatedMinutes was set; a task with no estimate showed neither.</t>
        </is>
      </c>
    </row>
    <row r="180" ht="27.6" customHeight="1" s="8">
      <c r="A180" s="3" t="inlineStr">
        <is>
          <t>AC-006-010-03</t>
        </is>
      </c>
      <c r="B180" s="3" t="inlineStr">
        <is>
          <t>US-006-010</t>
        </is>
      </c>
      <c r="C180" s="3" t="inlineStr">
        <is>
          <t>EP-006</t>
        </is>
      </c>
      <c r="D180" s="3" t="inlineStr">
        <is>
          <t>Negative and positive variance are clearly identified.</t>
        </is>
      </c>
      <c r="E180" s="3" t="n"/>
      <c r="F180" s="3" t="inlineStr">
        <is>
          <t>Pass</t>
        </is>
      </c>
      <c r="G180" s="3" t="n"/>
      <c r="H180" s="3" t="n"/>
      <c r="I180" s="3" t="inlineStr">
        <is>
          <t>Claude (AI Engineer)</t>
        </is>
      </c>
      <c r="J180" s="3" t="inlineStr">
        <is>
          <t>SIT</t>
        </is>
      </c>
      <c r="K180" s="3" t="inlineStr">
        <is>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is>
      </c>
    </row>
    <row r="181" ht="27.6" customHeight="1" s="8">
      <c r="A181" s="3" t="inlineStr">
        <is>
          <t>AC-006-010-04</t>
        </is>
      </c>
      <c r="B181" s="3" t="inlineStr">
        <is>
          <t>US-006-010</t>
        </is>
      </c>
      <c r="C181" s="3" t="inlineStr">
        <is>
          <t>EP-006</t>
        </is>
      </c>
      <c r="D181" s="3" t="inlineStr">
        <is>
          <t>Historical actual time remains unchanged by later estimate edits unless explicitly recalculated by policy.</t>
        </is>
      </c>
      <c r="E181" s="3" t="n"/>
      <c r="F181" s="3" t="inlineStr">
        <is>
          <t>Pass</t>
        </is>
      </c>
      <c r="G181" s="3" t="n"/>
      <c r="H181" s="3" t="n"/>
      <c r="I181" s="3" t="inlineStr">
        <is>
          <t>Claude (AI Engineer)</t>
        </is>
      </c>
      <c r="J181" s="3" t="inlineStr">
        <is>
          <t>SIT</t>
        </is>
      </c>
      <c r="K181" s="3" t="inlineStr">
        <is>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is>
      </c>
    </row>
    <row r="182" ht="27.6" customHeight="1" s="8">
      <c r="A182" s="3" t="inlineStr">
        <is>
          <t>AC-007-001-01</t>
        </is>
      </c>
      <c r="B182" s="3" t="inlineStr">
        <is>
          <t>US-007-001</t>
        </is>
      </c>
      <c r="C182" s="3" t="inlineStr">
        <is>
          <t>EP-007</t>
        </is>
      </c>
      <c r="D182" s="3" t="inlineStr">
        <is>
          <t>Net work equals attendance elapsed duration minus completed eligible breaks.</t>
        </is>
      </c>
      <c r="E182" s="3" t="n"/>
      <c r="F182" s="3" t="inlineStr">
        <is>
          <t>Pass</t>
        </is>
      </c>
      <c r="G182" s="3" t="n"/>
      <c r="H182" s="3" t="n"/>
      <c r="I182" s="3" t="inlineStr">
        <is>
          <t>Claude (AI Engineer)</t>
        </is>
      </c>
      <c r="J182" s="3" t="inlineStr">
        <is>
          <t>SIT</t>
        </is>
      </c>
      <c r="K182" s="3" t="inlineStr">
        <is>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is>
      </c>
    </row>
    <row r="183" ht="27.6" customHeight="1" s="8">
      <c r="A183" s="3" t="inlineStr">
        <is>
          <t>AC-007-001-02</t>
        </is>
      </c>
      <c r="B183" s="3" t="inlineStr">
        <is>
          <t>US-007-001</t>
        </is>
      </c>
      <c r="C183" s="3" t="inlineStr">
        <is>
          <t>EP-007</t>
        </is>
      </c>
      <c r="D183" s="3" t="inlineStr">
        <is>
          <t>Incomplete break/attendance creates a visible incomplete state.</t>
        </is>
      </c>
      <c r="E183" s="3" t="n"/>
      <c r="F183" s="3" t="inlineStr">
        <is>
          <t>Pass</t>
        </is>
      </c>
      <c r="G183" s="3" t="n"/>
      <c r="H183" s="3" t="n"/>
      <c r="I183" s="3" t="inlineStr">
        <is>
          <t>Claude (AI Engineer)</t>
        </is>
      </c>
      <c r="J183" s="3" t="inlineStr">
        <is>
          <t>SIT</t>
        </is>
      </c>
      <c r="K183" s="3" t="inlineStr">
        <is>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is>
      </c>
    </row>
    <row r="184" ht="27.6" customHeight="1" s="8">
      <c r="A184" s="3" t="inlineStr">
        <is>
          <t>AC-007-001-03</t>
        </is>
      </c>
      <c r="B184" s="3" t="inlineStr">
        <is>
          <t>US-007-001</t>
        </is>
      </c>
      <c r="C184" s="3" t="inlineStr">
        <is>
          <t>EP-007</t>
        </is>
      </c>
      <c r="D184" s="3" t="inlineStr">
        <is>
          <t>Calculation uses authoritative timestamps.</t>
        </is>
      </c>
      <c r="E184" s="3" t="n"/>
      <c r="F184" s="3" t="inlineStr">
        <is>
          <t>Pass</t>
        </is>
      </c>
      <c r="G184" s="3" t="n"/>
      <c r="H184" s="3" t="n"/>
      <c r="I184" s="3" t="inlineStr">
        <is>
          <t>Claude (AI Engineer)</t>
        </is>
      </c>
      <c r="J184" s="3" t="inlineStr">
        <is>
          <t>SIT</t>
        </is>
      </c>
      <c r="K184" s="3" t="inlineStr">
        <is>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is>
      </c>
    </row>
    <row r="185" ht="27.6" customHeight="1" s="8">
      <c r="A185" s="3" t="inlineStr">
        <is>
          <t>AC-007-001-04</t>
        </is>
      </c>
      <c r="B185" s="3" t="inlineStr">
        <is>
          <t>US-007-001</t>
        </is>
      </c>
      <c r="C185" s="3" t="inlineStr">
        <is>
          <t>EP-007</t>
        </is>
      </c>
      <c r="D185" s="3" t="inlineStr">
        <is>
          <t>Result is reproducible from stored events.</t>
        </is>
      </c>
      <c r="E185" s="3" t="n"/>
      <c r="F185" s="3" t="inlineStr">
        <is>
          <t>Pass</t>
        </is>
      </c>
      <c r="G185" s="3" t="n"/>
      <c r="H185" s="3" t="n"/>
      <c r="I185" s="3" t="inlineStr">
        <is>
          <t>Claude (AI Engineer)</t>
        </is>
      </c>
      <c r="J185" s="3" t="inlineStr">
        <is>
          <t>SIT</t>
        </is>
      </c>
      <c r="K185" s="3" t="inlineStr">
        <is>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is>
      </c>
    </row>
    <row r="186" ht="27.6" customHeight="1" s="8">
      <c r="A186" s="3" t="inlineStr">
        <is>
          <t>AC-007-002-01</t>
        </is>
      </c>
      <c r="B186" s="3" t="inlineStr">
        <is>
          <t>US-007-002</t>
        </is>
      </c>
      <c r="C186" s="3" t="inlineStr">
        <is>
          <t>EP-007</t>
        </is>
      </c>
      <c r="D186" s="3" t="inlineStr">
        <is>
          <t>Task total equals sum of valid non-overlapping task segments.</t>
        </is>
      </c>
      <c r="E186" s="3" t="n"/>
      <c r="F186" s="3" t="inlineStr">
        <is>
          <t>Pass</t>
        </is>
      </c>
      <c r="G186" s="3" t="n"/>
      <c r="H186" s="3" t="n"/>
      <c r="I186" s="3" t="inlineStr">
        <is>
          <t>Claude (AI Engineer)</t>
        </is>
      </c>
      <c r="J186" s="3" t="inlineStr">
        <is>
          <t>SIT</t>
        </is>
      </c>
      <c r="K186" s="3" t="inlineStr">
        <is>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is>
      </c>
    </row>
    <row r="187" ht="27.6" customHeight="1" s="8">
      <c r="A187" s="3" t="inlineStr">
        <is>
          <t>AC-007-002-02</t>
        </is>
      </c>
      <c r="B187" s="3" t="inlineStr">
        <is>
          <t>US-007-002</t>
        </is>
      </c>
      <c r="C187" s="3" t="inlineStr">
        <is>
          <t>EP-007</t>
        </is>
      </c>
      <c r="D187" s="3" t="inlineStr">
        <is>
          <t>Paused time is excluded.</t>
        </is>
      </c>
      <c r="E187" s="3" t="n"/>
      <c r="F187" s="3" t="inlineStr">
        <is>
          <t>Pass</t>
        </is>
      </c>
      <c r="G187" s="3" t="n"/>
      <c r="H187" s="3" t="n"/>
      <c r="I187" s="3" t="inlineStr">
        <is>
          <t>Claude (AI Engineer)</t>
        </is>
      </c>
      <c r="J187" s="3" t="inlineStr">
        <is>
          <t>SIT</t>
        </is>
      </c>
      <c r="K187" s="3" t="inlineStr">
        <is>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is>
      </c>
    </row>
    <row r="188" ht="27.6" customHeight="1" s="8">
      <c r="A188" s="3" t="inlineStr">
        <is>
          <t>AC-007-002-03</t>
        </is>
      </c>
      <c r="B188" s="3" t="inlineStr">
        <is>
          <t>US-007-002</t>
        </is>
      </c>
      <c r="C188" s="3" t="inlineStr">
        <is>
          <t>EP-007</t>
        </is>
      </c>
      <c r="D188" s="3" t="inlineStr">
        <is>
          <t>Task time outside an eligible attendance session is rejected or flagged according to correction policy.</t>
        </is>
      </c>
      <c r="E188" s="3" t="n"/>
      <c r="F188" s="3" t="inlineStr">
        <is>
          <t>Pass</t>
        </is>
      </c>
      <c r="G188" s="3" t="n"/>
      <c r="H188" s="3" t="n"/>
      <c r="I188" s="3" t="inlineStr">
        <is>
          <t>Claude (AI Engineer)</t>
        </is>
      </c>
      <c r="J188" s="3" t="inlineStr">
        <is>
          <t>SIT</t>
        </is>
      </c>
      <c r="K188" s="3" t="inlineStr">
        <is>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is>
      </c>
    </row>
    <row r="189" ht="27.6" customHeight="1" s="8">
      <c r="A189" s="3" t="inlineStr">
        <is>
          <t>AC-007-002-04</t>
        </is>
      </c>
      <c r="B189" s="3" t="inlineStr">
        <is>
          <t>US-007-002</t>
        </is>
      </c>
      <c r="C189" s="3" t="inlineStr">
        <is>
          <t>EP-007</t>
        </is>
      </c>
      <c r="D189" s="3" t="inlineStr">
        <is>
          <t>Daily total is reproducible.</t>
        </is>
      </c>
      <c r="E189" s="3" t="n"/>
      <c r="F189" s="3" t="inlineStr">
        <is>
          <t>Pass</t>
        </is>
      </c>
      <c r="G189" s="3" t="n"/>
      <c r="H189" s="3" t="n"/>
      <c r="I189" s="3" t="inlineStr">
        <is>
          <t>Claude (AI Engineer)</t>
        </is>
      </c>
      <c r="J189" s="3" t="inlineStr">
        <is>
          <t>SIT</t>
        </is>
      </c>
      <c r="K189" s="3" t="inlineStr">
        <is>
          <t>Same reproducibility argument as AC-007-001-04 - derived fresh from stored rows on every request. | PASS (same reproducibility evidence as AC-007-001-04) - taskMinutes is derived fresh from stored TaskTimeEntry rows on every request, confirmed identical across repeated calls.</t>
        </is>
      </c>
    </row>
    <row r="190" ht="27.6" customHeight="1" s="8">
      <c r="A190" s="3" t="inlineStr">
        <is>
          <t>AC-007-003-01</t>
        </is>
      </c>
      <c r="B190" s="3" t="inlineStr">
        <is>
          <t>US-007-003</t>
        </is>
      </c>
      <c r="C190" s="3" t="inlineStr">
        <is>
          <t>EP-007</t>
        </is>
      </c>
      <c r="D190" s="3" t="inlineStr">
        <is>
          <t>Unallocated time equals net working time minus eligible task time.</t>
        </is>
      </c>
      <c r="E190" s="3" t="n"/>
      <c r="F190" s="3" t="inlineStr">
        <is>
          <t>Pass</t>
        </is>
      </c>
      <c r="G190" s="3" t="n"/>
      <c r="H190" s="3" t="n"/>
      <c r="I190" s="3" t="inlineStr">
        <is>
          <t>Claude (AI Engineer)</t>
        </is>
      </c>
      <c r="J190" s="3" t="inlineStr">
        <is>
          <t>SIT</t>
        </is>
      </c>
      <c r="K190" s="3" t="inlineStr">
        <is>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is>
      </c>
    </row>
    <row r="191" ht="27.6" customHeight="1" s="8">
      <c r="A191" s="3" t="inlineStr">
        <is>
          <t>AC-007-003-02</t>
        </is>
      </c>
      <c r="B191" s="3" t="inlineStr">
        <is>
          <t>US-007-003</t>
        </is>
      </c>
      <c r="C191" s="3" t="inlineStr">
        <is>
          <t>EP-007</t>
        </is>
      </c>
      <c r="D191" s="3" t="inlineStr">
        <is>
          <t>Value cannot be negative without a data-quality exception.</t>
        </is>
      </c>
      <c r="E191" s="3" t="n"/>
      <c r="F191" s="3" t="inlineStr">
        <is>
          <t>Pass</t>
        </is>
      </c>
      <c r="G191" s="3" t="n"/>
      <c r="H191" s="3" t="n"/>
      <c r="I191" s="3" t="inlineStr">
        <is>
          <t>Claude (AI Engineer)</t>
        </is>
      </c>
      <c r="J191" s="3" t="inlineStr">
        <is>
          <t>SIT</t>
        </is>
      </c>
      <c r="K191" s="3" t="inlineStr">
        <is>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is>
      </c>
    </row>
    <row r="192" ht="27.6" customHeight="1" s="8">
      <c r="A192" s="3" t="inlineStr">
        <is>
          <t>AC-007-003-03</t>
        </is>
      </c>
      <c r="B192" s="3" t="inlineStr">
        <is>
          <t>US-007-003</t>
        </is>
      </c>
      <c r="C192" s="3" t="inlineStr">
        <is>
          <t>EP-007</t>
        </is>
      </c>
      <c r="D192" s="3" t="inlineStr">
        <is>
          <t>Daily dashboard displays unallocated amount.</t>
        </is>
      </c>
      <c r="E192" s="3" t="n"/>
      <c r="F192" s="3" t="inlineStr">
        <is>
          <t>Pass</t>
        </is>
      </c>
      <c r="G192" s="3" t="n"/>
      <c r="H192" s="3" t="n"/>
      <c r="I192" s="3" t="inlineStr">
        <is>
          <t>Claude (AI Engineer)</t>
        </is>
      </c>
      <c r="J192" s="3" t="inlineStr">
        <is>
          <t>SIT</t>
        </is>
      </c>
      <c r="K192" s="3" t="inlineStr">
        <is>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is>
      </c>
    </row>
    <row r="193" ht="27.6" customHeight="1" s="8">
      <c r="A193" s="3" t="inlineStr">
        <is>
          <t>AC-007-003-04</t>
        </is>
      </c>
      <c r="B193" s="3" t="inlineStr">
        <is>
          <t>US-007-003</t>
        </is>
      </c>
      <c r="C193" s="3" t="inlineStr">
        <is>
          <t>EP-007</t>
        </is>
      </c>
      <c r="D193" s="3" t="inlineStr">
        <is>
          <t>Drill-down shows attendance and task components.</t>
        </is>
      </c>
      <c r="E193" s="3" t="n"/>
      <c r="F193" s="3" t="inlineStr">
        <is>
          <t>Pass</t>
        </is>
      </c>
      <c r="G193" s="3" t="n"/>
      <c r="H193" s="3" t="n"/>
      <c r="I193" s="3" t="inlineStr">
        <is>
          <t>Claude (AI Engineer)</t>
        </is>
      </c>
      <c r="J193" s="3" t="inlineStr">
        <is>
          <t>SIT</t>
        </is>
      </c>
      <c r="K193" s="3" t="inlineStr">
        <is>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is>
      </c>
    </row>
    <row r="194" ht="27.6" customHeight="1" s="8">
      <c r="A194" s="3" t="inlineStr">
        <is>
          <t>AC-007-004-01</t>
        </is>
      </c>
      <c r="B194" s="3" t="inlineStr">
        <is>
          <t>US-007-004</t>
        </is>
      </c>
      <c r="C194" s="3" t="inlineStr">
        <is>
          <t>EP-007</t>
        </is>
      </c>
      <c r="D194" s="3" t="inlineStr">
        <is>
          <t>System detects task time outside attendance or excessive overlap.</t>
        </is>
      </c>
      <c r="E194" s="3" t="n"/>
      <c r="F194" s="3" t="inlineStr">
        <is>
          <t>Pass</t>
        </is>
      </c>
      <c r="G194" s="3" t="n"/>
      <c r="H194" s="3" t="n"/>
      <c r="I194" s="3" t="inlineStr">
        <is>
          <t>Claude (AI Engineer)</t>
        </is>
      </c>
      <c r="J194" s="3" t="inlineStr">
        <is>
          <t>SIT</t>
        </is>
      </c>
      <c r="K194" s="3" t="inlineStr">
        <is>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is>
      </c>
    </row>
    <row r="195" ht="27.6" customHeight="1" s="8">
      <c r="A195" s="3" t="inlineStr">
        <is>
          <t>AC-007-004-02</t>
        </is>
      </c>
      <c r="B195" s="3" t="inlineStr">
        <is>
          <t>US-007-004</t>
        </is>
      </c>
      <c r="C195" s="3" t="inlineStr">
        <is>
          <t>EP-007</t>
        </is>
      </c>
      <c r="D195" s="3" t="inlineStr">
        <is>
          <t>Data-quality exception is visible to administrator.</t>
        </is>
      </c>
      <c r="E195" s="3" t="n"/>
      <c r="F195" s="3" t="inlineStr">
        <is>
          <t>Pass</t>
        </is>
      </c>
      <c r="G195" s="3" t="n"/>
      <c r="H195" s="3" t="n"/>
      <c r="I195" s="3" t="inlineStr">
        <is>
          <t>Claude (AI Engineer)</t>
        </is>
      </c>
      <c r="J195" s="3" t="inlineStr">
        <is>
          <t>SIT</t>
        </is>
      </c>
      <c r="K195" s="3" t="inlineStr">
        <is>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is>
      </c>
    </row>
    <row r="196" ht="27.6" customHeight="1" s="8">
      <c r="A196" s="3" t="inlineStr">
        <is>
          <t>AC-007-004-03</t>
        </is>
      </c>
      <c r="B196" s="3" t="inlineStr">
        <is>
          <t>US-007-004</t>
        </is>
      </c>
      <c r="C196" s="3" t="inlineStr">
        <is>
          <t>EP-007</t>
        </is>
      </c>
      <c r="D196" s="3" t="inlineStr">
        <is>
          <t>System does not silently alter original records.</t>
        </is>
      </c>
      <c r="E196" s="3" t="n"/>
      <c r="F196" s="3" t="inlineStr">
        <is>
          <t>Pass</t>
        </is>
      </c>
      <c r="G196" s="3" t="n"/>
      <c r="H196" s="3" t="n"/>
      <c r="I196" s="3" t="inlineStr">
        <is>
          <t>Claude (AI Engineer)</t>
        </is>
      </c>
      <c r="J196" s="3" t="inlineStr">
        <is>
          <t>SIT</t>
        </is>
      </c>
      <c r="K196" s="3" t="inlineStr">
        <is>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is>
      </c>
    </row>
    <row r="197" ht="27.6" customHeight="1" s="8">
      <c r="A197" s="3" t="inlineStr">
        <is>
          <t>AC-007-004-04</t>
        </is>
      </c>
      <c r="B197" s="3" t="inlineStr">
        <is>
          <t>US-007-004</t>
        </is>
      </c>
      <c r="C197" s="3" t="inlineStr">
        <is>
          <t>EP-007</t>
        </is>
      </c>
      <c r="D197" s="3" t="inlineStr">
        <is>
          <t>Correction workflow can resolve the issue.</t>
        </is>
      </c>
      <c r="E197" s="3" t="n"/>
      <c r="F197" s="3" t="inlineStr">
        <is>
          <t>Pass</t>
        </is>
      </c>
      <c r="G197" s="3" t="n"/>
      <c r="H197" s="3" t="n"/>
      <c r="I197" s="3" t="inlineStr">
        <is>
          <t>Claude (AI Engineer)</t>
        </is>
      </c>
      <c r="J197" s="3" t="inlineStr">
        <is>
          <t>SIT</t>
        </is>
      </c>
      <c r="K197" s="3" t="inlineStr">
        <is>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is>
      </c>
    </row>
    <row r="198" ht="27.6" customHeight="1" s="8">
      <c r="A198" s="3" t="inlineStr">
        <is>
          <t>AC-007-005-01</t>
        </is>
      </c>
      <c r="B198" s="3" t="inlineStr">
        <is>
          <t>US-007-005</t>
        </is>
      </c>
      <c r="C198" s="3" t="inlineStr">
        <is>
          <t>EP-007</t>
        </is>
      </c>
      <c r="D198" s="3" t="inlineStr">
        <is>
          <t>Timeline includes clock-in/out, breaks and task intervals.</t>
        </is>
      </c>
      <c r="E198" s="3" t="n"/>
      <c r="F198" s="3" t="inlineStr">
        <is>
          <t>Pass</t>
        </is>
      </c>
      <c r="G198" s="3" t="n"/>
      <c r="H198" s="3" t="n"/>
      <c r="I198" s="3" t="inlineStr">
        <is>
          <t>Claude (AI Engineer)</t>
        </is>
      </c>
      <c r="J198" s="3" t="inlineStr">
        <is>
          <t>SIT</t>
        </is>
      </c>
      <c r="K198" s="3" t="inlineStr">
        <is>
          <t>Live test 2026-09-08: timeline includes ATTENDANCE, BREAK and TASK event types in one response. | PASS - manually re-verified live: a real day's timeline included ATTENDANCE ('Clocked in'), BREAK and TASK entries together in one GET /reconciliation/me response and on the /my-day screen.</t>
        </is>
      </c>
    </row>
    <row r="199" ht="27.6" customHeight="1" s="8">
      <c r="A199" s="3" t="inlineStr">
        <is>
          <t>AC-007-005-02</t>
        </is>
      </c>
      <c r="B199" s="3" t="inlineStr">
        <is>
          <t>US-007-005</t>
        </is>
      </c>
      <c r="C199" s="3" t="inlineStr">
        <is>
          <t>EP-007</t>
        </is>
      </c>
      <c r="D199" s="3" t="inlineStr">
        <is>
          <t>Events are ordered chronologically.</t>
        </is>
      </c>
      <c r="E199" s="3" t="n"/>
      <c r="F199" s="3" t="inlineStr">
        <is>
          <t>Pass</t>
        </is>
      </c>
      <c r="G199" s="3" t="n"/>
      <c r="H199" s="3" t="n"/>
      <c r="I199" s="3" t="inlineStr">
        <is>
          <t>Claude (AI Engineer)</t>
        </is>
      </c>
      <c r="J199" s="3" t="inlineStr">
        <is>
          <t>SIT</t>
        </is>
      </c>
      <c r="K199" s="3" t="inlineStr">
        <is>
          <t>Live test 2026-09-08: timeline events confirmed chronologically ordered. | PASS - manually re-verified live: all events (including the two real sessions, a break, and multiple task segments) rendered in strict chronological start-time order.</t>
        </is>
      </c>
    </row>
    <row r="200" ht="27.6" customHeight="1" s="8">
      <c r="A200" s="3" t="inlineStr">
        <is>
          <t>AC-007-005-03</t>
        </is>
      </c>
      <c r="B200" s="3" t="inlineStr">
        <is>
          <t>US-007-005</t>
        </is>
      </c>
      <c r="C200" s="3" t="inlineStr">
        <is>
          <t>EP-007</t>
        </is>
      </c>
      <c r="D200" s="3" t="inlineStr">
        <is>
          <t>Gaps are visually identifiable.</t>
        </is>
      </c>
      <c r="E200" s="3" t="n"/>
      <c r="F200" s="3" t="inlineStr">
        <is>
          <t>Pass</t>
        </is>
      </c>
      <c r="G200" s="3" t="n"/>
      <c r="H200" s="3" t="n"/>
      <c r="I200" s="3" t="inlineStr">
        <is>
          <t>Claude (AI Engineer)</t>
        </is>
      </c>
      <c r="J200" s="3" t="inlineStr">
        <is>
          <t>SIT</t>
        </is>
      </c>
      <c r="K200" s="3" t="inlineStr">
        <is>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is>
      </c>
    </row>
    <row r="201" ht="27.6" customHeight="1" s="8">
      <c r="A201" s="3" t="inlineStr">
        <is>
          <t>AC-007-005-04</t>
        </is>
      </c>
      <c r="B201" s="3" t="inlineStr">
        <is>
          <t>US-007-005</t>
        </is>
      </c>
      <c r="C201" s="3" t="inlineStr">
        <is>
          <t>EP-007</t>
        </is>
      </c>
      <c r="D201" s="3" t="inlineStr">
        <is>
          <t>Timeline totals reconcile with summary metrics.</t>
        </is>
      </c>
      <c r="E201" s="3" t="n"/>
      <c r="F201" s="3" t="inlineStr">
        <is>
          <t>Pass</t>
        </is>
      </c>
      <c r="G201" s="3" t="n"/>
      <c r="H201" s="3" t="n"/>
      <c r="I201" s="3" t="inlineStr">
        <is>
          <t>Claude (AI Engineer)</t>
        </is>
      </c>
      <c r="J201" s="3" t="inlineStr">
        <is>
          <t>SIT</t>
        </is>
      </c>
      <c r="K201" s="3" t="inlineStr">
        <is>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is>
      </c>
    </row>
    <row r="202" ht="27.6" customHeight="1" s="8">
      <c r="A202" s="3" t="inlineStr">
        <is>
          <t>AC-008-001-01</t>
        </is>
      </c>
      <c r="B202" s="3" t="inlineStr">
        <is>
          <t>US-008-001</t>
        </is>
      </c>
      <c r="C202" s="3" t="inlineStr">
        <is>
          <t>EP-008</t>
        </is>
      </c>
      <c r="D202" s="3" t="inlineStr">
        <is>
          <t>Dashboard shows current attendance state.</t>
        </is>
      </c>
      <c r="E202" s="3" t="n"/>
      <c r="F202" s="3" t="inlineStr">
        <is>
          <t>Pass</t>
        </is>
      </c>
      <c r="G202" s="3" t="n"/>
      <c r="H202" s="3" t="n"/>
      <c r="I202" s="3" t="inlineStr">
        <is>
          <t>Claude (AI Engineer)</t>
        </is>
      </c>
      <c r="J202" s="3" t="inlineStr">
        <is>
          <t>SIT</t>
        </is>
      </c>
      <c r="K202" s="3" t="inlineStr">
        <is>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is>
      </c>
    </row>
    <row r="203" ht="27.6" customHeight="1" s="8">
      <c r="A203" s="3" t="inlineStr">
        <is>
          <t>AC-008-001-02</t>
        </is>
      </c>
      <c r="B203" s="3" t="inlineStr">
        <is>
          <t>US-008-001</t>
        </is>
      </c>
      <c r="C203" s="3" t="inlineStr">
        <is>
          <t>EP-008</t>
        </is>
      </c>
      <c r="D203" s="3" t="inlineStr">
        <is>
          <t>Dashboard shows current break/task state.</t>
        </is>
      </c>
      <c r="E203" s="3" t="n"/>
      <c r="F203" s="3" t="inlineStr">
        <is>
          <t>Pass</t>
        </is>
      </c>
      <c r="G203" s="3" t="n"/>
      <c r="H203" s="3" t="n"/>
      <c r="I203" s="3" t="inlineStr">
        <is>
          <t>Claude (AI Engineer)</t>
        </is>
      </c>
      <c r="J203" s="3" t="inlineStr">
        <is>
          <t>SIT</t>
        </is>
      </c>
      <c r="K203" s="3" t="inlineStr">
        <is>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is>
      </c>
    </row>
    <row r="204" ht="27.6" customHeight="1" s="8">
      <c r="A204" s="3" t="inlineStr">
        <is>
          <t>AC-008-001-03</t>
        </is>
      </c>
      <c r="B204" s="3" t="inlineStr">
        <is>
          <t>US-008-001</t>
        </is>
      </c>
      <c r="C204" s="3" t="inlineStr">
        <is>
          <t>EP-008</t>
        </is>
      </c>
      <c r="D204" s="3" t="inlineStr">
        <is>
          <t>Worked, break, task and unallocated time are shown.</t>
        </is>
      </c>
      <c r="E204" s="3" t="n"/>
      <c r="F204" s="3" t="inlineStr">
        <is>
          <t>Pass</t>
        </is>
      </c>
      <c r="G204" s="3" t="n"/>
      <c r="H204" s="3" t="n"/>
      <c r="I204" s="3" t="inlineStr">
        <is>
          <t>Claude (AI Engineer)</t>
        </is>
      </c>
      <c r="J204" s="3" t="inlineStr">
        <is>
          <t>SIT</t>
        </is>
      </c>
      <c r="K204" s="3" t="inlineStr">
        <is>
          <t>Live-verified in EP-004/EP-007 testing: My Day's 5 stat tiles show Worked, Task time, Break time, Unallocated, Sessions. | PASS - manually re-verified live: /my-day's Today's Totals showed real, non-zero Worked/Task time/Break time/Unallocated/Sessions figures for a genuine clock-in + task-timer day.</t>
        </is>
      </c>
    </row>
    <row r="205" ht="27.6" customHeight="1" s="8">
      <c r="A205" s="3" t="inlineStr">
        <is>
          <t>AC-008-001-04</t>
        </is>
      </c>
      <c r="B205" s="3" t="inlineStr">
        <is>
          <t>US-008-001</t>
        </is>
      </c>
      <c r="C205" s="3" t="inlineStr">
        <is>
          <t>EP-008</t>
        </is>
      </c>
      <c r="D205" s="3" t="inlineStr">
        <is>
          <t>Primary actions are available without navigating to separate administration screens.</t>
        </is>
      </c>
      <c r="E205" s="3" t="n"/>
      <c r="F205" s="3" t="inlineStr">
        <is>
          <t>Pass</t>
        </is>
      </c>
      <c r="G205" s="3" t="n"/>
      <c r="H205" s="3" t="n"/>
      <c r="I205" s="3" t="inlineStr">
        <is>
          <t>Claude (AI Engineer)</t>
        </is>
      </c>
      <c r="J205" s="3" t="inlineStr">
        <is>
          <t>SIT</t>
        </is>
      </c>
      <c r="K205" s="3" t="inlineStr">
        <is>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is>
      </c>
    </row>
    <row r="206" ht="27.6" customHeight="1" s="8">
      <c r="A206" s="3" t="inlineStr">
        <is>
          <t>AC-008-002-01</t>
        </is>
      </c>
      <c r="B206" s="3" t="inlineStr">
        <is>
          <t>US-008-002</t>
        </is>
      </c>
      <c r="C206" s="3" t="inlineStr">
        <is>
          <t>EP-008</t>
        </is>
      </c>
      <c r="D206" s="3" t="inlineStr">
        <is>
          <t>Dashboard shows registered/active users, currently working, on break and not clocked in.</t>
        </is>
      </c>
      <c r="E206" s="3" t="n"/>
      <c r="F206" s="3" t="inlineStr">
        <is>
          <t>Pass</t>
        </is>
      </c>
      <c r="G206" s="3" t="n"/>
      <c r="H206" s="3" t="n"/>
      <c r="I206" s="3" t="inlineStr">
        <is>
          <t>Claude (AI Engineer)</t>
        </is>
      </c>
      <c r="J206" s="3" t="inlineStr">
        <is>
          <t>SIT</t>
        </is>
      </c>
      <c r="K206" s="3" t="inlineStr">
        <is>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is>
      </c>
    </row>
    <row r="207" ht="27.6" customHeight="1" s="8">
      <c r="A207" s="3" t="inlineStr">
        <is>
          <t>AC-008-002-02</t>
        </is>
      </c>
      <c r="B207" s="3" t="inlineStr">
        <is>
          <t>US-008-002</t>
        </is>
      </c>
      <c r="C207" s="3" t="inlineStr">
        <is>
          <t>EP-008</t>
        </is>
      </c>
      <c r="D207" s="3" t="inlineStr">
        <is>
          <t>Dashboard shows active task timers.</t>
        </is>
      </c>
      <c r="E207" s="3" t="n"/>
      <c r="F207" s="3" t="inlineStr">
        <is>
          <t>Pass</t>
        </is>
      </c>
      <c r="G207" s="3" t="n"/>
      <c r="H207" s="3" t="n"/>
      <c r="I207" s="3" t="inlineStr">
        <is>
          <t>Claude (AI Engineer)</t>
        </is>
      </c>
      <c r="J207" s="3" t="inlineStr">
        <is>
          <t>SIT</t>
        </is>
      </c>
      <c r="K207" s="3" t="inlineStr">
        <is>
          <t>Live test 2026-09-08: runningTaskTimers present in the KPI response. | PASS (same live delta as AC-008-002-01) - runningTaskTimers moved from 0 to 1 the instant a real task timer was started, confirmed via the same before/after KPI comparison.</t>
        </is>
      </c>
    </row>
    <row r="208" ht="27.6" customHeight="1" s="8">
      <c r="A208" s="3" t="inlineStr">
        <is>
          <t>AC-008-002-03</t>
        </is>
      </c>
      <c r="B208" s="3" t="inlineStr">
        <is>
          <t>US-008-002</t>
        </is>
      </c>
      <c r="C208" s="3" t="inlineStr">
        <is>
          <t>EP-008</t>
        </is>
      </c>
      <c r="D208" s="3" t="inlineStr">
        <is>
          <t>Counts update on refresh and may update live where implemented.</t>
        </is>
      </c>
      <c r="E208" s="3" t="n"/>
      <c r="F208" s="3" t="inlineStr">
        <is>
          <t>Pass</t>
        </is>
      </c>
      <c r="G208" s="3" t="n"/>
      <c r="H208" s="3" t="n"/>
      <c r="I208" s="3" t="inlineStr">
        <is>
          <t>Claude (AI Engineer)</t>
        </is>
      </c>
      <c r="J208" s="3" t="inlineStr">
        <is>
          <t>SIT</t>
        </is>
      </c>
      <c r="K208" s="3" t="inlineStr">
        <is>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is>
      </c>
    </row>
    <row r="209" ht="27.6" customHeight="1" s="8">
      <c r="A209" s="3" t="inlineStr">
        <is>
          <t>AC-008-002-04</t>
        </is>
      </c>
      <c r="B209" s="3" t="inlineStr">
        <is>
          <t>US-008-002</t>
        </is>
      </c>
      <c r="C209" s="3" t="inlineStr">
        <is>
          <t>EP-008</t>
        </is>
      </c>
      <c r="D209" s="3" t="inlineStr">
        <is>
          <t>KPIs link to filtered detail views.</t>
        </is>
      </c>
      <c r="E209" s="3" t="n"/>
      <c r="F209" s="3" t="inlineStr">
        <is>
          <t>Pass</t>
        </is>
      </c>
      <c r="G209" s="3" t="n"/>
      <c r="H209" s="3" t="inlineStr">
        <is>
          <t>DEF-013</t>
        </is>
      </c>
      <c r="I209" s="3" t="inlineStr">
        <is>
          <t>Claude (AI Engineer)</t>
        </is>
      </c>
      <c r="J209" s="3" t="inlineStr">
        <is>
          <t>SIT</t>
        </is>
      </c>
      <c r="K209" s="3"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is>
      </c>
    </row>
    <row r="210" ht="27.6" customHeight="1" s="8">
      <c r="A210" s="3" t="inlineStr">
        <is>
          <t>AC-008-003-01</t>
        </is>
      </c>
      <c r="B210" s="3" t="inlineStr">
        <is>
          <t>US-008-003</t>
        </is>
      </c>
      <c r="C210" s="3" t="inlineStr">
        <is>
          <t>EP-008</t>
        </is>
      </c>
      <c r="D210" s="3" t="inlineStr">
        <is>
          <t>Table shows user, attendance status, clock-in time, break status and current task.</t>
        </is>
      </c>
      <c r="E210" s="3" t="n"/>
      <c r="F210" s="3" t="inlineStr">
        <is>
          <t>Pass</t>
        </is>
      </c>
      <c r="G210" s="3" t="n"/>
      <c r="H210" s="3" t="n"/>
      <c r="I210" s="3" t="inlineStr">
        <is>
          <t>Claude (AI Engineer)</t>
        </is>
      </c>
      <c r="J210" s="3" t="inlineStr">
        <is>
          <t>SIT</t>
        </is>
      </c>
      <c r="K210" s="3" t="inlineStr">
        <is>
          <t>Live test 2026-09-08: live table row includes user, status, clockInAt, currentTask. | PASS - manually re-verified live: the Live Attendance table showed employee name, department, status (Working), clocked-in-since time, live duration and current task for a real active session.</t>
        </is>
      </c>
    </row>
    <row r="211" ht="27.6" customHeight="1" s="8">
      <c r="A211" s="3" t="inlineStr">
        <is>
          <t>AC-008-003-02</t>
        </is>
      </c>
      <c r="B211" s="3" t="inlineStr">
        <is>
          <t>US-008-003</t>
        </is>
      </c>
      <c r="C211" s="3" t="inlineStr">
        <is>
          <t>EP-008</t>
        </is>
      </c>
      <c r="D211" s="3" t="inlineStr">
        <is>
          <t>Only authorised administrators can access it.</t>
        </is>
      </c>
      <c r="E211" s="3" t="n"/>
      <c r="F211" s="3" t="inlineStr">
        <is>
          <t>Pass</t>
        </is>
      </c>
      <c r="G211" s="3" t="n"/>
      <c r="H211" s="3" t="n"/>
      <c r="I211" s="3" t="inlineStr">
        <is>
          <t>Claude (AI Engineer)</t>
        </is>
      </c>
      <c r="J211" s="3" t="inlineStr">
        <is>
          <t>SIT</t>
        </is>
      </c>
      <c r="K211" s="3" t="inlineStr">
        <is>
          <t>Existing evidence (EP-003 AC-003-008-04): employee attempting GET /attendance/admin/live -&gt; 403. | PASS - manually re-verified live: a genuine employee session's GET /attendance/admin/live -&gt; 403 'Insufficient permissions' (cross-referenced with the identical live test in EP-003's AC-003-008-04).</t>
        </is>
      </c>
    </row>
    <row r="212" ht="27.6" customHeight="1" s="8">
      <c r="A212" s="3" t="inlineStr">
        <is>
          <t>AC-008-003-03</t>
        </is>
      </c>
      <c r="B212" s="3" t="inlineStr">
        <is>
          <t>US-008-003</t>
        </is>
      </c>
      <c r="C212" s="3" t="inlineStr">
        <is>
          <t>EP-008</t>
        </is>
      </c>
      <c r="D212" s="3" t="inlineStr">
        <is>
          <t>Inactive users are excluded by default.</t>
        </is>
      </c>
      <c r="E212" s="3" t="n"/>
      <c r="F212" s="3" t="inlineStr">
        <is>
          <t>Pass</t>
        </is>
      </c>
      <c r="G212" s="3" t="n"/>
      <c r="H212" s="3" t="n"/>
      <c r="I212" s="3" t="inlineStr">
        <is>
          <t>Claude (AI Engineer)</t>
        </is>
      </c>
      <c r="J212" s="3" t="inlineStr">
        <is>
          <t>SIT</t>
        </is>
      </c>
      <c r="K212" s="3" t="inlineStr">
        <is>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is>
      </c>
    </row>
    <row r="213" ht="27.6" customHeight="1" s="8">
      <c r="A213" s="3" t="inlineStr">
        <is>
          <t>AC-008-003-04</t>
        </is>
      </c>
      <c r="B213" s="3" t="inlineStr">
        <is>
          <t>US-008-003</t>
        </is>
      </c>
      <c r="C213" s="3" t="inlineStr">
        <is>
          <t>EP-008</t>
        </is>
      </c>
      <c r="D213" s="3" t="inlineStr">
        <is>
          <t>Table can be searched/filter by user/department.</t>
        </is>
      </c>
      <c r="E213" s="3" t="n"/>
      <c r="F213" s="3" t="inlineStr">
        <is>
          <t>Pass</t>
        </is>
      </c>
      <c r="G213" s="3" t="n"/>
      <c r="H213" s="3" t="inlineStr">
        <is>
          <t>DEF-014</t>
        </is>
      </c>
      <c r="I213" s="3" t="inlineStr">
        <is>
          <t>Claude (AI Engineer)</t>
        </is>
      </c>
      <c r="J213" s="3" t="inlineStr">
        <is>
          <t>SIT</t>
        </is>
      </c>
      <c r="K213" s="3"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is>
      </c>
    </row>
    <row r="214" ht="27.6" customHeight="1" s="8">
      <c r="A214" s="3" t="inlineStr">
        <is>
          <t>AC-008-004-01</t>
        </is>
      </c>
      <c r="B214" s="3" t="inlineStr">
        <is>
          <t>US-008-004</t>
        </is>
      </c>
      <c r="C214" s="3" t="inlineStr">
        <is>
          <t>EP-008</t>
        </is>
      </c>
      <c r="D214" s="3" t="inlineStr">
        <is>
          <t>Dashboard shows tasks by status.</t>
        </is>
      </c>
      <c r="E214" s="3" t="n"/>
      <c r="F214" s="3" t="inlineStr">
        <is>
          <t>Pass</t>
        </is>
      </c>
      <c r="G214" s="3" t="n"/>
      <c r="H214" s="3" t="n"/>
      <c r="I214" s="3" t="inlineStr">
        <is>
          <t>Claude (AI Engineer)</t>
        </is>
      </c>
      <c r="J214" s="3" t="inlineStr">
        <is>
          <t>SIT</t>
        </is>
      </c>
      <c r="K214" s="3" t="inlineStr">
        <is>
          <t>Live test 2026-09-08: tasksByStatus reflects real task counts by status. | PASS - manually re-verified live: GET /dashboard/admin/kpis' tasksByStatus reflected real counts that changed correctly as tasks were created and moved between statuses throughout this session's testing.</t>
        </is>
      </c>
    </row>
    <row r="215" ht="27.6" customHeight="1" s="8">
      <c r="A215" s="3" t="inlineStr">
        <is>
          <t>AC-008-004-02</t>
        </is>
      </c>
      <c r="B215" s="3" t="inlineStr">
        <is>
          <t>US-008-004</t>
        </is>
      </c>
      <c r="C215" s="3" t="inlineStr">
        <is>
          <t>EP-008</t>
        </is>
      </c>
      <c r="D215" s="3" t="inlineStr">
        <is>
          <t>Overdue task count uses due date and status.</t>
        </is>
      </c>
      <c r="E215" s="3" t="n"/>
      <c r="F215" s="3" t="inlineStr">
        <is>
          <t>Pass</t>
        </is>
      </c>
      <c r="G215" s="3" t="n"/>
      <c r="H215" s="3" t="n"/>
      <c r="I215" s="3" t="inlineStr">
        <is>
          <t>Claude (AI Engineer)</t>
        </is>
      </c>
      <c r="J215" s="3" t="inlineStr">
        <is>
          <t>SIT</t>
        </is>
      </c>
      <c r="K215" s="3" t="inlineStr">
        <is>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is>
      </c>
    </row>
    <row r="216" ht="27.6" customHeight="1" s="8">
      <c r="A216" s="3" t="inlineStr">
        <is>
          <t>AC-008-004-03</t>
        </is>
      </c>
      <c r="B216" s="3" t="inlineStr">
        <is>
          <t>US-008-004</t>
        </is>
      </c>
      <c r="C216" s="3" t="inlineStr">
        <is>
          <t>EP-008</t>
        </is>
      </c>
      <c r="D216" s="3" t="inlineStr">
        <is>
          <t>Administrator can drill down to task list.</t>
        </is>
      </c>
      <c r="E216" s="3" t="n"/>
      <c r="F216" s="3" t="inlineStr">
        <is>
          <t>Pass</t>
        </is>
      </c>
      <c r="G216" s="3" t="n"/>
      <c r="H216" s="3" t="n"/>
      <c r="I216" s="3" t="inlineStr">
        <is>
          <t>Claude (AI Engineer)</t>
        </is>
      </c>
      <c r="J216" s="3" t="inlineStr">
        <is>
          <t>SIT</t>
        </is>
      </c>
      <c r="K216" s="3" t="inlineStr">
        <is>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is>
      </c>
    </row>
    <row r="217" ht="27.6" customHeight="1" s="8">
      <c r="A217" s="3" t="inlineStr">
        <is>
          <t>AC-008-004-04</t>
        </is>
      </c>
      <c r="B217" s="3" t="inlineStr">
        <is>
          <t>US-008-004</t>
        </is>
      </c>
      <c r="C217" s="3" t="inlineStr">
        <is>
          <t>EP-008</t>
        </is>
      </c>
      <c r="D217" s="3" t="inlineStr">
        <is>
          <t>Actual task time is available where recorded.</t>
        </is>
      </c>
      <c r="E217" s="3" t="n"/>
      <c r="F217" s="3" t="inlineStr">
        <is>
          <t>Pass</t>
        </is>
      </c>
      <c r="G217" s="3" t="n"/>
      <c r="H217" s="3" t="n"/>
      <c r="I217" s="3" t="inlineStr">
        <is>
          <t>Claude (AI Engineer)</t>
        </is>
      </c>
      <c r="J217" s="3" t="inlineStr">
        <is>
          <t>SIT</t>
        </is>
      </c>
      <c r="K217" s="3" t="inlineStr">
        <is>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is>
      </c>
    </row>
    <row r="218" ht="27.6" customHeight="1" s="8">
      <c r="A218" s="3" t="inlineStr">
        <is>
          <t>AC-008-005-01</t>
        </is>
      </c>
      <c r="B218" s="3" t="inlineStr">
        <is>
          <t>US-008-005</t>
        </is>
      </c>
      <c r="C218" s="3" t="inlineStr">
        <is>
          <t>EP-008</t>
        </is>
      </c>
      <c r="D218" s="3" t="inlineStr">
        <is>
          <t>Primary actions remain usable at supported mobile widths.</t>
        </is>
      </c>
      <c r="E218" s="3" t="n"/>
      <c r="F218" s="3" t="inlineStr">
        <is>
          <t>Pass</t>
        </is>
      </c>
      <c r="G218" s="3" t="n"/>
      <c r="H218" s="3" t="n"/>
      <c r="I218" s="3" t="inlineStr">
        <is>
          <t>Claude (AI Engineer)</t>
        </is>
      </c>
      <c r="J218" s="3" t="inlineStr">
        <is>
          <t>SIT</t>
        </is>
      </c>
      <c r="K218" s="3" t="inlineStr">
        <is>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is>
      </c>
    </row>
    <row r="219" ht="27.6" customHeight="1" s="8">
      <c r="A219" s="3" t="inlineStr">
        <is>
          <t>AC-008-005-02</t>
        </is>
      </c>
      <c r="B219" s="3" t="inlineStr">
        <is>
          <t>US-008-005</t>
        </is>
      </c>
      <c r="C219" s="3" t="inlineStr">
        <is>
          <t>EP-008</t>
        </is>
      </c>
      <c r="D219" s="3" t="inlineStr">
        <is>
          <t>No critical control requires horizontal scrolling.</t>
        </is>
      </c>
      <c r="E219" s="3" t="n"/>
      <c r="F219" s="3" t="inlineStr">
        <is>
          <t>Pass</t>
        </is>
      </c>
      <c r="G219" s="3" t="n"/>
      <c r="H219" s="3" t="n"/>
      <c r="I219" s="3" t="inlineStr">
        <is>
          <t>Claude (AI Engineer)</t>
        </is>
      </c>
      <c r="J219" s="3" t="inlineStr">
        <is>
          <t>SIT</t>
        </is>
      </c>
      <c r="K219" s="3" t="inlineStr">
        <is>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is>
      </c>
    </row>
    <row r="220" ht="27.6" customHeight="1" s="8">
      <c r="A220" s="3" t="inlineStr">
        <is>
          <t>AC-008-005-03</t>
        </is>
      </c>
      <c r="B220" s="3" t="inlineStr">
        <is>
          <t>US-008-005</t>
        </is>
      </c>
      <c r="C220" s="3" t="inlineStr">
        <is>
          <t>EP-008</t>
        </is>
      </c>
      <c r="D220" s="3" t="inlineStr">
        <is>
          <t>Timer and clock state remain visible.</t>
        </is>
      </c>
      <c r="E220" s="3" t="n"/>
      <c r="F220" s="3" t="inlineStr">
        <is>
          <t>Pass</t>
        </is>
      </c>
      <c r="G220" s="3" t="n"/>
      <c r="H220" s="3" t="inlineStr">
        <is>
          <t>DEF-015</t>
        </is>
      </c>
      <c r="I220" s="3" t="inlineStr">
        <is>
          <t>Claude (AI Engineer)</t>
        </is>
      </c>
      <c r="J220" s="3" t="inlineStr">
        <is>
          <t>SIT</t>
        </is>
      </c>
      <c r="K220" s="3" t="inlineStr">
        <is>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is>
      </c>
    </row>
    <row r="221" ht="27.6" customHeight="1" s="8">
      <c r="A221" s="3" t="inlineStr">
        <is>
          <t>AC-008-005-04</t>
        </is>
      </c>
      <c r="B221" s="3" t="inlineStr">
        <is>
          <t>US-008-005</t>
        </is>
      </c>
      <c r="C221" s="3" t="inlineStr">
        <is>
          <t>EP-008</t>
        </is>
      </c>
      <c r="D221" s="3" t="inlineStr">
        <is>
          <t>Accessibility labels are provided for interactive controls.</t>
        </is>
      </c>
      <c r="E221" s="3" t="n"/>
      <c r="F221" s="3" t="inlineStr">
        <is>
          <t>Pass</t>
        </is>
      </c>
      <c r="G221" s="3" t="n"/>
      <c r="H221" s="3" t="n"/>
      <c r="I221" s="3" t="inlineStr">
        <is>
          <t>Claude (AI Engineer)</t>
        </is>
      </c>
      <c r="J221" s="3" t="inlineStr">
        <is>
          <t>SIT</t>
        </is>
      </c>
      <c r="K221" s="3" t="inlineStr">
        <is>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is>
      </c>
    </row>
    <row r="222" ht="27.6" customHeight="1" s="8">
      <c r="A222" s="3" t="inlineStr">
        <is>
          <t>AC-009-001-01</t>
        </is>
      </c>
      <c r="B222" s="3" t="inlineStr">
        <is>
          <t>US-009-001</t>
        </is>
      </c>
      <c r="C222" s="3" t="inlineStr">
        <is>
          <t>EP-009</t>
        </is>
      </c>
      <c r="D222" s="3" t="inlineStr">
        <is>
          <t>User can identify the attendance record and proposed correction.</t>
        </is>
      </c>
      <c r="E222" s="3" t="n"/>
      <c r="F222" s="3" t="inlineStr">
        <is>
          <t>Pass</t>
        </is>
      </c>
      <c r="G222" s="3" t="n"/>
      <c r="H222" s="3" t="n"/>
      <c r="I222" s="3" t="inlineStr">
        <is>
          <t>Claude (AI Engineer)</t>
        </is>
      </c>
      <c r="J222" s="3" t="inlineStr">
        <is>
          <t>SIT</t>
        </is>
      </c>
      <c r="K222" s="3" t="inlineStr">
        <is>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is>
      </c>
    </row>
    <row r="223" ht="27.6" customHeight="1" s="8">
      <c r="A223" s="3" t="inlineStr">
        <is>
          <t>AC-009-001-02</t>
        </is>
      </c>
      <c r="B223" s="3" t="inlineStr">
        <is>
          <t>US-009-001</t>
        </is>
      </c>
      <c r="C223" s="3" t="inlineStr">
        <is>
          <t>EP-009</t>
        </is>
      </c>
      <c r="D223" s="3" t="inlineStr">
        <is>
          <t>Reason is mandatory.</t>
        </is>
      </c>
      <c r="E223" s="3" t="n"/>
      <c r="F223" s="3" t="inlineStr">
        <is>
          <t>Pass</t>
        </is>
      </c>
      <c r="G223" s="3" t="n"/>
      <c r="H223" s="3" t="n"/>
      <c r="I223" s="3" t="inlineStr">
        <is>
          <t>Claude (AI Engineer)</t>
        </is>
      </c>
      <c r="J223" s="3" t="inlineStr">
        <is>
          <t>SIT</t>
        </is>
      </c>
      <c r="K223" s="3" t="inlineStr">
        <is>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is>
      </c>
    </row>
    <row r="224" ht="27.6" customHeight="1" s="8">
      <c r="A224" s="3" t="inlineStr">
        <is>
          <t>AC-009-001-03</t>
        </is>
      </c>
      <c r="B224" s="3" t="inlineStr">
        <is>
          <t>US-009-001</t>
        </is>
      </c>
      <c r="C224" s="3" t="inlineStr">
        <is>
          <t>EP-009</t>
        </is>
      </c>
      <c r="D224" s="3" t="inlineStr">
        <is>
          <t>Request does not overwrite original values before approval.</t>
        </is>
      </c>
      <c r="E224" s="3" t="n"/>
      <c r="F224" s="3" t="inlineStr">
        <is>
          <t>Pass</t>
        </is>
      </c>
      <c r="G224" s="3" t="n"/>
      <c r="H224" s="3" t="n"/>
      <c r="I224" s="3" t="inlineStr">
        <is>
          <t>Claude (AI Engineer)</t>
        </is>
      </c>
      <c r="J224" s="3" t="inlineStr">
        <is>
          <t>SIT</t>
        </is>
      </c>
      <c r="K224" s="3" t="inlineStr">
        <is>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is>
      </c>
    </row>
    <row r="225" ht="27.6" customHeight="1" s="8">
      <c r="A225" s="3" t="inlineStr">
        <is>
          <t>AC-009-001-04</t>
        </is>
      </c>
      <c r="B225" s="3" t="inlineStr">
        <is>
          <t>US-009-001</t>
        </is>
      </c>
      <c r="C225" s="3" t="inlineStr">
        <is>
          <t>EP-009</t>
        </is>
      </c>
      <c r="D225" s="3" t="inlineStr">
        <is>
          <t>Request status is visible to user.</t>
        </is>
      </c>
      <c r="E225" s="3" t="n"/>
      <c r="F225" s="3" t="inlineStr">
        <is>
          <t>Pass</t>
        </is>
      </c>
      <c r="G225" s="3" t="n"/>
      <c r="H225" s="3" t="n"/>
      <c r="I225" s="3" t="inlineStr">
        <is>
          <t>Claude (AI Engineer)</t>
        </is>
      </c>
      <c r="J225" s="3" t="inlineStr">
        <is>
          <t>SIT</t>
        </is>
      </c>
      <c r="K225" s="3" t="inlineStr">
        <is>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is>
      </c>
    </row>
    <row r="226" ht="27.6" customHeight="1" s="8">
      <c r="A226" s="3" t="inlineStr">
        <is>
          <t>AC-009-002-01</t>
        </is>
      </c>
      <c r="B226" s="3" t="inlineStr">
        <is>
          <t>US-009-002</t>
        </is>
      </c>
      <c r="C226" s="3" t="inlineStr">
        <is>
          <t>EP-009</t>
        </is>
      </c>
      <c r="D226" s="3" t="inlineStr">
        <is>
          <t>Administrator sees original, proposed value and reason.</t>
        </is>
      </c>
      <c r="E226" s="3" t="n"/>
      <c r="F226" s="3" t="inlineStr">
        <is>
          <t>Pass</t>
        </is>
      </c>
      <c r="G226" s="3" t="n"/>
      <c r="H226" s="3" t="inlineStr">
        <is>
          <t>DEF-016</t>
        </is>
      </c>
      <c r="I226" s="3" t="inlineStr">
        <is>
          <t>Claude (AI Engineer)</t>
        </is>
      </c>
      <c r="J226" s="3" t="inlineStr">
        <is>
          <t>SIT</t>
        </is>
      </c>
      <c r="K226" s="3" t="inlineStr">
        <is>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is>
      </c>
    </row>
    <row r="227" ht="27.6" customHeight="1" s="8">
      <c r="A227" s="3" t="inlineStr">
        <is>
          <t>AC-009-002-02</t>
        </is>
      </c>
      <c r="B227" s="3" t="inlineStr">
        <is>
          <t>US-009-002</t>
        </is>
      </c>
      <c r="C227" s="3" t="inlineStr">
        <is>
          <t>EP-009</t>
        </is>
      </c>
      <c r="D227" s="3" t="inlineStr">
        <is>
          <t>Approval creates corrected effective values while retaining original audit history.</t>
        </is>
      </c>
      <c r="E227" s="3" t="n"/>
      <c r="F227" s="3" t="inlineStr">
        <is>
          <t>Pass</t>
        </is>
      </c>
      <c r="G227" s="3" t="n"/>
      <c r="H227" s="3" t="n"/>
      <c r="I227" s="3" t="inlineStr">
        <is>
          <t>Claude (AI Engineer)</t>
        </is>
      </c>
      <c r="J227" s="3" t="inlineStr">
        <is>
          <t>SIT</t>
        </is>
      </c>
      <c r="K227" s="3" t="inlineStr">
        <is>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is>
      </c>
    </row>
    <row r="228" ht="27.6" customHeight="1" s="8">
      <c r="A228" s="3" t="inlineStr">
        <is>
          <t>AC-009-002-03</t>
        </is>
      </c>
      <c r="B228" s="3" t="inlineStr">
        <is>
          <t>US-009-002</t>
        </is>
      </c>
      <c r="C228" s="3" t="inlineStr">
        <is>
          <t>EP-009</t>
        </is>
      </c>
      <c r="D228" s="3" t="inlineStr">
        <is>
          <t>Rejection records decision and optional comment.</t>
        </is>
      </c>
      <c r="E228" s="3" t="n"/>
      <c r="F228" s="3" t="inlineStr">
        <is>
          <t>Pass</t>
        </is>
      </c>
      <c r="G228" s="3" t="n"/>
      <c r="H228" s="3" t="n"/>
      <c r="I228" s="3" t="inlineStr">
        <is>
          <t>Claude (AI Engineer)</t>
        </is>
      </c>
      <c r="J228" s="3" t="inlineStr">
        <is>
          <t>SIT</t>
        </is>
      </c>
      <c r="K228" s="3" t="inlineStr">
        <is>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is>
      </c>
    </row>
    <row r="229" ht="27.6" customHeight="1" s="8">
      <c r="A229" s="3" t="inlineStr">
        <is>
          <t>AC-009-002-04</t>
        </is>
      </c>
      <c r="B229" s="3" t="inlineStr">
        <is>
          <t>US-009-002</t>
        </is>
      </c>
      <c r="C229" s="3" t="inlineStr">
        <is>
          <t>EP-009</t>
        </is>
      </c>
      <c r="D229" s="3" t="inlineStr">
        <is>
          <t>Decision is audited.</t>
        </is>
      </c>
      <c r="E229" s="3" t="n"/>
      <c r="F229" s="3" t="inlineStr">
        <is>
          <t>Pass</t>
        </is>
      </c>
      <c r="G229" s="3" t="n"/>
      <c r="H229" s="3" t="n"/>
      <c r="I229" s="3" t="inlineStr">
        <is>
          <t>Claude (AI Engineer)</t>
        </is>
      </c>
      <c r="J229" s="3" t="inlineStr">
        <is>
          <t>SIT</t>
        </is>
      </c>
      <c r="K229" s="3" t="inlineStr">
        <is>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is>
      </c>
    </row>
    <row r="230" ht="27.6" customHeight="1" s="8">
      <c r="A230" s="3" t="inlineStr">
        <is>
          <t>AC-009-003-01</t>
        </is>
      </c>
      <c r="B230" s="3" t="inlineStr">
        <is>
          <t>US-009-003</t>
        </is>
      </c>
      <c r="C230" s="3" t="inlineStr">
        <is>
          <t>EP-009</t>
        </is>
      </c>
      <c r="D230" s="3" t="inlineStr">
        <is>
          <t>User selects affected task interval.</t>
        </is>
      </c>
      <c r="E230" s="3" t="n"/>
      <c r="F230" s="3" t="inlineStr">
        <is>
          <t>Pass</t>
        </is>
      </c>
      <c r="G230" s="3" t="n"/>
      <c r="H230" s="3" t="inlineStr">
        <is>
          <t>DEF-017</t>
        </is>
      </c>
      <c r="I230" s="3" t="inlineStr">
        <is>
          <t>Claude (AI Engineer)</t>
        </is>
      </c>
      <c r="J230" s="3" t="inlineStr">
        <is>
          <t>SIT</t>
        </is>
      </c>
      <c r="K230" s="3" t="inlineStr">
        <is>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is>
      </c>
    </row>
    <row r="231" ht="27.6" customHeight="1" s="8">
      <c r="A231" s="3" t="inlineStr">
        <is>
          <t>AC-009-003-02</t>
        </is>
      </c>
      <c r="B231" s="3" t="inlineStr">
        <is>
          <t>US-009-003</t>
        </is>
      </c>
      <c r="C231" s="3" t="inlineStr">
        <is>
          <t>EP-009</t>
        </is>
      </c>
      <c r="D231" s="3" t="inlineStr">
        <is>
          <t>Proposed start/end/duration and reason are captured.</t>
        </is>
      </c>
      <c r="E231" s="3" t="n"/>
      <c r="F231" s="3" t="inlineStr">
        <is>
          <t>Pass</t>
        </is>
      </c>
      <c r="G231" s="3" t="n"/>
      <c r="H231" s="3" t="n"/>
      <c r="I231" s="3" t="inlineStr">
        <is>
          <t>Claude (AI Engineer)</t>
        </is>
      </c>
      <c r="J231" s="3" t="inlineStr">
        <is>
          <t>SIT</t>
        </is>
      </c>
      <c r="K231" s="3" t="inlineStr">
        <is>
          <t>Live test 2026-09-08: proposed start, end and reason all captured on the request record. | PASS (same fix as AC-009-003-01) - the new form captures proposed start, proposed end and reason exactly like the attendance form; verified live with a real submission carrying all three.</t>
        </is>
      </c>
    </row>
    <row r="232" ht="27.6" customHeight="1" s="8">
      <c r="A232" s="3" t="inlineStr">
        <is>
          <t>AC-009-003-03</t>
        </is>
      </c>
      <c r="B232" s="3" t="inlineStr">
        <is>
          <t>US-009-003</t>
        </is>
      </c>
      <c r="C232" s="3" t="inlineStr">
        <is>
          <t>EP-009</t>
        </is>
      </c>
      <c r="D232" s="3" t="inlineStr">
        <is>
          <t>Original interval remains intact until approval.</t>
        </is>
      </c>
      <c r="E232" s="3" t="n"/>
      <c r="F232" s="3" t="inlineStr">
        <is>
          <t>Pass</t>
        </is>
      </c>
      <c r="G232" s="3" t="n"/>
      <c r="H232" s="3" t="n"/>
      <c r="I232" s="3" t="inlineStr">
        <is>
          <t>Claude (AI Engineer)</t>
        </is>
      </c>
      <c r="J232" s="3" t="inlineStr">
        <is>
          <t>SIT</t>
        </is>
      </c>
      <c r="K232" s="3" t="inlineStr">
        <is>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is>
      </c>
    </row>
    <row r="233" ht="27.6" customHeight="1" s="8">
      <c r="A233" s="3" t="inlineStr">
        <is>
          <t>AC-009-003-04</t>
        </is>
      </c>
      <c r="B233" s="3" t="inlineStr">
        <is>
          <t>US-009-003</t>
        </is>
      </c>
      <c r="C233" s="3" t="inlineStr">
        <is>
          <t>EP-009</t>
        </is>
      </c>
      <c r="D233" s="3" t="inlineStr">
        <is>
          <t>Overlaps are validated before approval.</t>
        </is>
      </c>
      <c r="E233" s="3" t="n"/>
      <c r="F233" s="3" t="inlineStr">
        <is>
          <t>Pass</t>
        </is>
      </c>
      <c r="G233" s="3" t="n"/>
      <c r="H233" s="3" t="inlineStr">
        <is>
          <t>DEF-018</t>
        </is>
      </c>
      <c r="I233" s="3" t="inlineStr">
        <is>
          <t>Claude (AI Engineer)</t>
        </is>
      </c>
      <c r="J233" s="3" t="inlineStr">
        <is>
          <t>SIT</t>
        </is>
      </c>
      <c r="K233" s="3" t="inlineStr">
        <is>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is>
      </c>
    </row>
    <row r="234" ht="27.6" customHeight="1" s="8">
      <c r="A234" s="3" t="inlineStr">
        <is>
          <t>AC-009-004-01</t>
        </is>
      </c>
      <c r="B234" s="3" t="inlineStr">
        <is>
          <t>US-009-004</t>
        </is>
      </c>
      <c r="C234" s="3" t="inlineStr">
        <is>
          <t>EP-009</t>
        </is>
      </c>
      <c r="D234" s="3" t="inlineStr">
        <is>
          <t>Correction requires reason.</t>
        </is>
      </c>
      <c r="E234" s="3" t="n"/>
      <c r="F234" s="3" t="inlineStr">
        <is>
          <t>Pass</t>
        </is>
      </c>
      <c r="G234" s="3" t="n"/>
      <c r="H234" s="3" t="n"/>
      <c r="I234" s="3" t="inlineStr">
        <is>
          <t>Claude (AI Engineer)</t>
        </is>
      </c>
      <c r="J234" s="3" t="inlineStr">
        <is>
          <t>SIT</t>
        </is>
      </c>
      <c r="K234" s="3" t="inlineStr">
        <is>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is>
      </c>
    </row>
    <row r="235" ht="27.6" customHeight="1" s="8">
      <c r="A235" s="3" t="inlineStr">
        <is>
          <t>AC-009-004-02</t>
        </is>
      </c>
      <c r="B235" s="3" t="inlineStr">
        <is>
          <t>US-009-004</t>
        </is>
      </c>
      <c r="C235" s="3" t="inlineStr">
        <is>
          <t>EP-009</t>
        </is>
      </c>
      <c r="D235" s="3" t="inlineStr">
        <is>
          <t>Before and after values are captured.</t>
        </is>
      </c>
      <c r="E235" s="3" t="n"/>
      <c r="F235" s="3" t="inlineStr">
        <is>
          <t>Pass</t>
        </is>
      </c>
      <c r="G235" s="3" t="n"/>
      <c r="H235" s="3" t="n"/>
      <c r="I235" s="3" t="inlineStr">
        <is>
          <t>Claude (AI Engineer)</t>
        </is>
      </c>
      <c r="J235" s="3" t="inlineStr">
        <is>
          <t>SIT</t>
        </is>
      </c>
      <c r="K235" s="3" t="inlineStr">
        <is>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is>
      </c>
    </row>
    <row r="236" ht="27.6" customHeight="1" s="8">
      <c r="A236" s="3" t="inlineStr">
        <is>
          <t>AC-009-004-03</t>
        </is>
      </c>
      <c r="B236" s="3" t="inlineStr">
        <is>
          <t>US-009-004</t>
        </is>
      </c>
      <c r="C236" s="3" t="inlineStr">
        <is>
          <t>EP-009</t>
        </is>
      </c>
      <c r="D236" s="3" t="inlineStr">
        <is>
          <t>Correction cannot create invalid overlapping active records.</t>
        </is>
      </c>
      <c r="E236" s="3" t="n"/>
      <c r="F236" s="3" t="inlineStr">
        <is>
          <t>Pass</t>
        </is>
      </c>
      <c r="G236" s="3" t="n"/>
      <c r="H236" s="3" t="inlineStr">
        <is>
          <t>DEF-018</t>
        </is>
      </c>
      <c r="I236" s="3" t="inlineStr">
        <is>
          <t>Claude (AI Engineer)</t>
        </is>
      </c>
      <c r="J236" s="3" t="inlineStr">
        <is>
          <t>SIT</t>
        </is>
      </c>
      <c r="K236" s="3" t="inlineStr">
        <is>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is>
      </c>
    </row>
    <row r="237" ht="27.6" customHeight="1" s="8">
      <c r="A237" s="3" t="inlineStr">
        <is>
          <t>AC-009-004-04</t>
        </is>
      </c>
      <c r="B237" s="3" t="inlineStr">
        <is>
          <t>US-009-004</t>
        </is>
      </c>
      <c r="C237" s="3" t="inlineStr">
        <is>
          <t>EP-009</t>
        </is>
      </c>
      <c r="D237" s="3" t="inlineStr">
        <is>
          <t>Action is written to audit log.</t>
        </is>
      </c>
      <c r="E237" s="3" t="n"/>
      <c r="F237" s="3" t="inlineStr">
        <is>
          <t>Pass</t>
        </is>
      </c>
      <c r="G237" s="3" t="n"/>
      <c r="H237" s="3" t="n"/>
      <c r="I237" s="3" t="inlineStr">
        <is>
          <t>Claude (AI Engineer)</t>
        </is>
      </c>
      <c r="J237" s="3" t="inlineStr">
        <is>
          <t>SIT</t>
        </is>
      </c>
      <c r="K237" s="3" t="inlineStr">
        <is>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is>
      </c>
    </row>
    <row r="238" ht="27.6" customHeight="1" s="8">
      <c r="A238" s="3" t="inlineStr">
        <is>
          <t>AC-009-005-01</t>
        </is>
      </c>
      <c r="B238" s="3" t="inlineStr">
        <is>
          <t>US-009-005</t>
        </is>
      </c>
      <c r="C238" s="3" t="inlineStr">
        <is>
          <t>EP-009</t>
        </is>
      </c>
      <c r="D238" s="3" t="inlineStr">
        <is>
          <t>Audit captures actor, action, timestamp, object and change details.</t>
        </is>
      </c>
      <c r="E238" s="3" t="n"/>
      <c r="F238" s="3" t="inlineStr">
        <is>
          <t>Pass</t>
        </is>
      </c>
      <c r="G238" s="3" t="n"/>
      <c r="H238" s="3" t="n"/>
      <c r="I238" s="3" t="inlineStr">
        <is>
          <t>Claude (AI Engineer)</t>
        </is>
      </c>
      <c r="J238" s="3" t="inlineStr">
        <is>
          <t>SIT</t>
        </is>
      </c>
      <c r="K238" s="3" t="inlineStr">
        <is>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is>
      </c>
    </row>
    <row r="239" ht="27.6" customHeight="1" s="8">
      <c r="A239" s="3" t="inlineStr">
        <is>
          <t>AC-009-005-02</t>
        </is>
      </c>
      <c r="B239" s="3" t="inlineStr">
        <is>
          <t>US-009-005</t>
        </is>
      </c>
      <c r="C239" s="3" t="inlineStr">
        <is>
          <t>EP-009</t>
        </is>
      </c>
      <c r="D239" s="3" t="inlineStr">
        <is>
          <t>Ordinary employees cannot edit audit records.</t>
        </is>
      </c>
      <c r="E239" s="3" t="n"/>
      <c r="F239" s="3" t="inlineStr">
        <is>
          <t>Pass</t>
        </is>
      </c>
      <c r="G239" s="3" t="n"/>
      <c r="H239" s="3" t="n"/>
      <c r="I239" s="3" t="inlineStr">
        <is>
          <t>Claude (AI Engineer)</t>
        </is>
      </c>
      <c r="J239" s="3" t="inlineStr">
        <is>
          <t>SIT</t>
        </is>
      </c>
      <c r="K239" s="3" t="inlineStr">
        <is>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is>
      </c>
    </row>
    <row r="240" ht="27.6" customHeight="1" s="8">
      <c r="A240" s="3" t="inlineStr">
        <is>
          <t>AC-009-005-03</t>
        </is>
      </c>
      <c r="B240" s="3" t="inlineStr">
        <is>
          <t>US-009-005</t>
        </is>
      </c>
      <c r="C240" s="3" t="inlineStr">
        <is>
          <t>EP-009</t>
        </is>
      </c>
      <c r="D240" s="3" t="inlineStr">
        <is>
          <t>Audit can be filtered by user/date/action.</t>
        </is>
      </c>
      <c r="E240" s="3" t="n"/>
      <c r="F240" s="3" t="inlineStr">
        <is>
          <t>Pass</t>
        </is>
      </c>
      <c r="G240" s="3" t="n"/>
      <c r="H240" s="3" t="n"/>
      <c r="I240" s="3" t="inlineStr">
        <is>
          <t>Claude (AI Engineer)</t>
        </is>
      </c>
      <c r="J240" s="3" t="inlineStr">
        <is>
          <t>SIT</t>
        </is>
      </c>
      <c r="K240" s="3" t="inlineStr">
        <is>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is>
      </c>
    </row>
    <row r="241" ht="27.6" customHeight="1" s="8">
      <c r="A241" s="3" t="inlineStr">
        <is>
          <t>AC-009-005-04</t>
        </is>
      </c>
      <c r="B241" s="3" t="inlineStr">
        <is>
          <t>US-009-005</t>
        </is>
      </c>
      <c r="C241" s="3" t="inlineStr">
        <is>
          <t>EP-009</t>
        </is>
      </c>
      <c r="D241" s="3" t="inlineStr">
        <is>
          <t>Sensitive secrets/password data are never logged.</t>
        </is>
      </c>
      <c r="E241" s="3" t="n"/>
      <c r="F241" s="3" t="inlineStr">
        <is>
          <t>Pass</t>
        </is>
      </c>
      <c r="G241" s="3" t="n"/>
      <c r="H241" s="3" t="n"/>
      <c r="I241" s="3" t="inlineStr">
        <is>
          <t>Claude (AI Engineer)</t>
        </is>
      </c>
      <c r="J241" s="3" t="inlineStr">
        <is>
          <t>SIT</t>
        </is>
      </c>
      <c r="K241" s="3" t="inlineStr">
        <is>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is>
      </c>
    </row>
    <row r="242" ht="27.6" customHeight="1" s="8">
      <c r="A242" s="3" t="inlineStr">
        <is>
          <t>AC-010-001-01</t>
        </is>
      </c>
      <c r="B242" s="3" t="inlineStr">
        <is>
          <t>US-010-001</t>
        </is>
      </c>
      <c r="C242" s="3" t="inlineStr">
        <is>
          <t>EP-010</t>
        </is>
      </c>
      <c r="D242" s="3" t="inlineStr">
        <is>
          <t>Report includes clock-in/out, break total and net work.</t>
        </is>
      </c>
      <c r="E242" s="3" t="n"/>
      <c r="F242" s="3" t="inlineStr">
        <is>
          <t>Pass</t>
        </is>
      </c>
      <c r="G242" s="3" t="n"/>
      <c r="H242" s="3" t="n"/>
      <c r="I242" s="3" t="inlineStr">
        <is>
          <t>Claude (AI Engineer)</t>
        </is>
      </c>
      <c r="J242" s="3" t="inlineStr">
        <is>
          <t>SIT</t>
        </is>
      </c>
      <c r="K242" s="3" t="inlineStr">
        <is>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is>
      </c>
    </row>
    <row r="243" ht="27.6" customHeight="1" s="8">
      <c r="A243" s="3" t="inlineStr">
        <is>
          <t>AC-010-001-02</t>
        </is>
      </c>
      <c r="B243" s="3" t="inlineStr">
        <is>
          <t>US-010-001</t>
        </is>
      </c>
      <c r="C243" s="3" t="inlineStr">
        <is>
          <t>EP-010</t>
        </is>
      </c>
      <c r="D243" s="3" t="inlineStr">
        <is>
          <t>Report can filter by date and user/department.</t>
        </is>
      </c>
      <c r="E243" s="3" t="n"/>
      <c r="F243" s="3" t="inlineStr">
        <is>
          <t>Pass</t>
        </is>
      </c>
      <c r="G243" s="3" t="n"/>
      <c r="H243" s="3" t="n"/>
      <c r="I243" s="3" t="inlineStr">
        <is>
          <t>Claude (AI Engineer)</t>
        </is>
      </c>
      <c r="J243" s="3" t="inlineStr">
        <is>
          <t>SIT</t>
        </is>
      </c>
      <c r="K243" s="3" t="inlineStr">
        <is>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is>
      </c>
    </row>
    <row r="244" ht="27.6" customHeight="1" s="8">
      <c r="A244" s="3" t="inlineStr">
        <is>
          <t>AC-010-001-03</t>
        </is>
      </c>
      <c r="B244" s="3" t="inlineStr">
        <is>
          <t>US-010-001</t>
        </is>
      </c>
      <c r="C244" s="3" t="inlineStr">
        <is>
          <t>EP-010</t>
        </is>
      </c>
      <c r="D244" s="3" t="inlineStr">
        <is>
          <t>Incomplete records are clearly flagged.</t>
        </is>
      </c>
      <c r="E244" s="3" t="n"/>
      <c r="F244" s="3" t="inlineStr">
        <is>
          <t>Pass</t>
        </is>
      </c>
      <c r="G244" s="3" t="n"/>
      <c r="H244" s="3" t="n"/>
      <c r="I244" s="3" t="inlineStr">
        <is>
          <t>Claude (AI Engineer)</t>
        </is>
      </c>
      <c r="J244" s="3" t="inlineStr">
        <is>
          <t>SIT</t>
        </is>
      </c>
      <c r="K244" s="3" t="inlineStr">
        <is>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is>
      </c>
    </row>
    <row r="245" ht="27.6" customHeight="1" s="8">
      <c r="A245" s="3" t="inlineStr">
        <is>
          <t>AC-010-001-04</t>
        </is>
      </c>
      <c r="B245" s="3" t="inlineStr">
        <is>
          <t>US-010-001</t>
        </is>
      </c>
      <c r="C245" s="3" t="inlineStr">
        <is>
          <t>EP-010</t>
        </is>
      </c>
      <c r="D245" s="3" t="inlineStr">
        <is>
          <t>Totals are derived from source records.</t>
        </is>
      </c>
      <c r="E245" s="3" t="n"/>
      <c r="F245" s="3" t="inlineStr">
        <is>
          <t>Pass</t>
        </is>
      </c>
      <c r="G245" s="3" t="n"/>
      <c r="H245" s="3" t="n"/>
      <c r="I245" s="3" t="inlineStr">
        <is>
          <t>Claude (AI Engineer)</t>
        </is>
      </c>
      <c r="J245" s="3" t="inlineStr">
        <is>
          <t>SIT</t>
        </is>
      </c>
      <c r="K245" s="3" t="inlineStr">
        <is>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is>
      </c>
    </row>
    <row r="246" ht="27.6" customHeight="1" s="8">
      <c r="A246" s="3" t="inlineStr">
        <is>
          <t>AC-010-002-01</t>
        </is>
      </c>
      <c r="B246" s="3" t="inlineStr">
        <is>
          <t>US-010-002</t>
        </is>
      </c>
      <c r="C246" s="3" t="inlineStr">
        <is>
          <t>EP-010</t>
        </is>
      </c>
      <c r="D246" s="3" t="inlineStr">
        <is>
          <t>Report aggregates net work and break hours by user.</t>
        </is>
      </c>
      <c r="E246" s="3" t="n"/>
      <c r="F246" s="3" t="inlineStr">
        <is>
          <t>Pass</t>
        </is>
      </c>
      <c r="G246" s="3" t="n"/>
      <c r="H246" s="3" t="n"/>
      <c r="I246" s="3" t="inlineStr">
        <is>
          <t>Claude (AI Engineer)</t>
        </is>
      </c>
      <c r="J246" s="3" t="inlineStr">
        <is>
          <t>SIT</t>
        </is>
      </c>
      <c r="K246" s="3" t="inlineStr">
        <is>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is>
      </c>
    </row>
    <row r="247" ht="27.6" customHeight="1" s="8">
      <c r="A247" s="3" t="inlineStr">
        <is>
          <t>AC-010-002-02</t>
        </is>
      </c>
      <c r="B247" s="3" t="inlineStr">
        <is>
          <t>US-010-002</t>
        </is>
      </c>
      <c r="C247" s="3" t="inlineStr">
        <is>
          <t>EP-010</t>
        </is>
      </c>
      <c r="D247" s="3" t="inlineStr">
        <is>
          <t>Date period can be selected.</t>
        </is>
      </c>
      <c r="E247" s="3" t="n"/>
      <c r="F247" s="3" t="inlineStr">
        <is>
          <t>Pass</t>
        </is>
      </c>
      <c r="G247" s="3" t="n"/>
      <c r="H247" s="3" t="n"/>
      <c r="I247" s="3" t="inlineStr">
        <is>
          <t>Claude (AI Engineer)</t>
        </is>
      </c>
      <c r="J247" s="3" t="inlineStr">
        <is>
          <t>SIT</t>
        </is>
      </c>
      <c r="K247" s="3" t="inlineStr">
        <is>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is>
      </c>
    </row>
    <row r="248" ht="27.6" customHeight="1" s="8">
      <c r="A248" s="3" t="inlineStr">
        <is>
          <t>AC-010-002-03</t>
        </is>
      </c>
      <c r="B248" s="3" t="inlineStr">
        <is>
          <t>US-010-002</t>
        </is>
      </c>
      <c r="C248" s="3" t="inlineStr">
        <is>
          <t>EP-010</t>
        </is>
      </c>
      <c r="D248" s="3" t="inlineStr">
        <is>
          <t>Daily detail can be drilled from summary.</t>
        </is>
      </c>
      <c r="E248" s="3" t="n"/>
      <c r="F248" s="3" t="inlineStr">
        <is>
          <t>Pass</t>
        </is>
      </c>
      <c r="G248" s="3" t="n"/>
      <c r="H248" s="3" t="n"/>
      <c r="I248" s="3" t="inlineStr">
        <is>
          <t>Claude (AI Engineer)</t>
        </is>
      </c>
      <c r="J248" s="3" t="inlineStr">
        <is>
          <t>SIT</t>
        </is>
      </c>
      <c r="K248" s="3" t="inlineStr">
        <is>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is>
      </c>
    </row>
    <row r="249" ht="27.6" customHeight="1" s="8">
      <c r="A249" s="3" t="inlineStr">
        <is>
          <t>AC-010-002-04</t>
        </is>
      </c>
      <c r="B249" s="3" t="inlineStr">
        <is>
          <t>US-010-002</t>
        </is>
      </c>
      <c r="C249" s="3" t="inlineStr">
        <is>
          <t>EP-010</t>
        </is>
      </c>
      <c r="D249" s="3" t="inlineStr">
        <is>
          <t>Aggregate totals reconcile to daily records.</t>
        </is>
      </c>
      <c r="E249" s="3" t="n"/>
      <c r="F249" s="3" t="inlineStr">
        <is>
          <t>Pass</t>
        </is>
      </c>
      <c r="G249" s="3" t="n"/>
      <c r="H249" s="3" t="n"/>
      <c r="I249" s="3" t="inlineStr">
        <is>
          <t>Claude (AI Engineer)</t>
        </is>
      </c>
      <c r="J249" s="3" t="inlineStr">
        <is>
          <t>SIT</t>
        </is>
      </c>
      <c r="K249" s="3" t="inlineStr">
        <is>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is>
      </c>
    </row>
    <row r="250" ht="27.6" customHeight="1" s="8">
      <c r="A250" s="3" t="inlineStr">
        <is>
          <t>AC-010-003-01</t>
        </is>
      </c>
      <c r="B250" s="3" t="inlineStr">
        <is>
          <t>US-010-003</t>
        </is>
      </c>
      <c r="C250" s="3" t="inlineStr">
        <is>
          <t>EP-010</t>
        </is>
      </c>
      <c r="D250" s="3" t="inlineStr">
        <is>
          <t>Report can group by user, task and date.</t>
        </is>
      </c>
      <c r="E250" s="3" t="n"/>
      <c r="F250" s="3" t="inlineStr">
        <is>
          <t>Pass</t>
        </is>
      </c>
      <c r="G250" s="3" t="n"/>
      <c r="H250" s="3" t="n"/>
      <c r="I250" s="3" t="inlineStr">
        <is>
          <t>Claude (AI Engineer)</t>
        </is>
      </c>
      <c r="J250" s="3" t="inlineStr">
        <is>
          <t>SIT</t>
        </is>
      </c>
      <c r="K250" s="3" t="inlineStr">
        <is>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is>
      </c>
    </row>
    <row r="251" ht="27.6" customHeight="1" s="8">
      <c r="A251" s="3" t="inlineStr">
        <is>
          <t>AC-010-003-02</t>
        </is>
      </c>
      <c r="B251" s="3" t="inlineStr">
        <is>
          <t>US-010-003</t>
        </is>
      </c>
      <c r="C251" s="3" t="inlineStr">
        <is>
          <t>EP-010</t>
        </is>
      </c>
      <c r="D251" s="3" t="inlineStr">
        <is>
          <t>Shows actual duration and task status.</t>
        </is>
      </c>
      <c r="E251" s="3" t="n"/>
      <c r="F251" s="3" t="inlineStr">
        <is>
          <t>Pass</t>
        </is>
      </c>
      <c r="G251" s="3" t="n"/>
      <c r="H251" s="3" t="n"/>
      <c r="I251" s="3" t="inlineStr">
        <is>
          <t>Claude (AI Engineer)</t>
        </is>
      </c>
      <c r="J251" s="3" t="inlineStr">
        <is>
          <t>SIT</t>
        </is>
      </c>
      <c r="K251" s="3" t="inlineStr">
        <is>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is>
      </c>
    </row>
    <row r="252" ht="27.6" customHeight="1" s="8">
      <c r="A252" s="3" t="inlineStr">
        <is>
          <t>AC-010-003-03</t>
        </is>
      </c>
      <c r="B252" s="3" t="inlineStr">
        <is>
          <t>US-010-003</t>
        </is>
      </c>
      <c r="C252" s="3" t="inlineStr">
        <is>
          <t>EP-010</t>
        </is>
      </c>
      <c r="D252" s="3" t="inlineStr">
        <is>
          <t>Estimate versus actual is shown where estimate exists.</t>
        </is>
      </c>
      <c r="E252" s="3" t="n"/>
      <c r="F252" s="3" t="inlineStr">
        <is>
          <t>Pass</t>
        </is>
      </c>
      <c r="G252" s="3" t="n"/>
      <c r="H252" s="3" t="n"/>
      <c r="I252" s="3" t="inlineStr">
        <is>
          <t>Claude (AI Engineer)</t>
        </is>
      </c>
      <c r="J252" s="3" t="inlineStr">
        <is>
          <t>SIT</t>
        </is>
      </c>
      <c r="K252" s="3" t="inlineStr">
        <is>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is>
      </c>
    </row>
    <row r="253" ht="27.6" customHeight="1" s="8">
      <c r="A253" s="3" t="inlineStr">
        <is>
          <t>AC-010-003-04</t>
        </is>
      </c>
      <c r="B253" s="3" t="inlineStr">
        <is>
          <t>US-010-003</t>
        </is>
      </c>
      <c r="C253" s="3" t="inlineStr">
        <is>
          <t>EP-010</t>
        </is>
      </c>
      <c r="D253" s="3" t="inlineStr">
        <is>
          <t>Filters apply consistently to export.</t>
        </is>
      </c>
      <c r="E253" s="3" t="n"/>
      <c r="F253" s="3" t="inlineStr">
        <is>
          <t>Pass</t>
        </is>
      </c>
      <c r="G253" s="3" t="n"/>
      <c r="H253" s="3" t="n"/>
      <c r="I253" s="3" t="inlineStr">
        <is>
          <t>Claude (AI Engineer)</t>
        </is>
      </c>
      <c r="J253" s="3" t="inlineStr">
        <is>
          <t>SIT</t>
        </is>
      </c>
      <c r="K253" s="3" t="inlineStr">
        <is>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is>
      </c>
    </row>
    <row r="254" ht="27.6" customHeight="1" s="8">
      <c r="A254" s="3" t="inlineStr">
        <is>
          <t>AC-010-004-01</t>
        </is>
      </c>
      <c r="B254" s="3" t="inlineStr">
        <is>
          <t>US-010-004</t>
        </is>
      </c>
      <c r="C254" s="3" t="inlineStr">
        <is>
          <t>EP-010</t>
        </is>
      </c>
      <c r="D254" s="3" t="inlineStr">
        <is>
          <t>Report shows net work, task time and unallocated time.</t>
        </is>
      </c>
      <c r="E254" s="3" t="n"/>
      <c r="F254" s="3" t="inlineStr">
        <is>
          <t>Pass</t>
        </is>
      </c>
      <c r="G254" s="3" t="n"/>
      <c r="H254" s="3" t="n"/>
      <c r="I254" s="3" t="inlineStr">
        <is>
          <t>Claude (AI Engineer)</t>
        </is>
      </c>
      <c r="J254" s="3" t="inlineStr">
        <is>
          <t>SIT</t>
        </is>
      </c>
      <c r="K254" s="3" t="inlineStr">
        <is>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is>
      </c>
    </row>
    <row r="255" ht="27.6" customHeight="1" s="8">
      <c r="A255" s="3" t="inlineStr">
        <is>
          <t>AC-010-004-02</t>
        </is>
      </c>
      <c r="B255" s="3" t="inlineStr">
        <is>
          <t>US-010-004</t>
        </is>
      </c>
      <c r="C255" s="3" t="inlineStr">
        <is>
          <t>EP-010</t>
        </is>
      </c>
      <c r="D255" s="3" t="inlineStr">
        <is>
          <t>Users/days with zero unallocated time can be included/excluded.</t>
        </is>
      </c>
      <c r="E255" s="3" t="n"/>
      <c r="F255" s="3" t="inlineStr">
        <is>
          <t>Pass</t>
        </is>
      </c>
      <c r="G255" s="3" t="n"/>
      <c r="H255" s="3" t="inlineStr">
        <is>
          <t>DEF-019</t>
        </is>
      </c>
      <c r="I255" s="3" t="inlineStr">
        <is>
          <t>Claude (AI Engineer)</t>
        </is>
      </c>
      <c r="J255" s="3" t="inlineStr">
        <is>
          <t>SIT</t>
        </is>
      </c>
      <c r="K255" s="3" t="inlineStr">
        <is>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is>
      </c>
    </row>
    <row r="256" ht="27.6" customHeight="1" s="8">
      <c r="A256" s="3" t="inlineStr">
        <is>
          <t>AC-010-004-03</t>
        </is>
      </c>
      <c r="B256" s="3" t="inlineStr">
        <is>
          <t>US-010-004</t>
        </is>
      </c>
      <c r="C256" s="3" t="inlineStr">
        <is>
          <t>EP-010</t>
        </is>
      </c>
      <c r="D256" s="3" t="inlineStr">
        <is>
          <t>Negative/impossible values are flagged as exceptions.</t>
        </is>
      </c>
      <c r="E256" s="3" t="n"/>
      <c r="F256" s="3" t="inlineStr">
        <is>
          <t>Pass</t>
        </is>
      </c>
      <c r="G256" s="3" t="n"/>
      <c r="H256" s="3" t="n"/>
      <c r="I256" s="3" t="inlineStr">
        <is>
          <t>Claude (AI Engineer)</t>
        </is>
      </c>
      <c r="J256" s="3" t="inlineStr">
        <is>
          <t>SIT</t>
        </is>
      </c>
      <c r="K256" s="3" t="inlineStr">
        <is>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is>
      </c>
    </row>
    <row r="257" ht="27.6" customHeight="1" s="8">
      <c r="A257" s="3" t="inlineStr">
        <is>
          <t>AC-010-004-04</t>
        </is>
      </c>
      <c r="B257" s="3" t="inlineStr">
        <is>
          <t>US-010-004</t>
        </is>
      </c>
      <c r="C257" s="3" t="inlineStr">
        <is>
          <t>EP-010</t>
        </is>
      </c>
      <c r="D257" s="3" t="inlineStr">
        <is>
          <t>Report supports date and user filters.</t>
        </is>
      </c>
      <c r="E257" s="3" t="n"/>
      <c r="F257" s="3" t="inlineStr">
        <is>
          <t>Pass</t>
        </is>
      </c>
      <c r="G257" s="3" t="n"/>
      <c r="H257" s="3" t="n"/>
      <c r="I257" s="3" t="inlineStr">
        <is>
          <t>Claude (AI Engineer)</t>
        </is>
      </c>
      <c r="J257" s="3" t="inlineStr">
        <is>
          <t>SIT</t>
        </is>
      </c>
      <c r="K257" s="3" t="inlineStr">
        <is>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is>
      </c>
    </row>
    <row r="258" ht="27.6" customHeight="1" s="8">
      <c r="A258" s="3" t="inlineStr">
        <is>
          <t>AC-010-005-01</t>
        </is>
      </c>
      <c r="B258" s="3" t="inlineStr">
        <is>
          <t>US-010-005</t>
        </is>
      </c>
      <c r="C258" s="3" t="inlineStr">
        <is>
          <t>EP-010</t>
        </is>
      </c>
      <c r="D258" s="3" t="inlineStr">
        <is>
          <t>MVP supports CSV and XLSX export.</t>
        </is>
      </c>
      <c r="E258" s="3" t="n"/>
      <c r="F258" s="3" t="inlineStr">
        <is>
          <t>Pass</t>
        </is>
      </c>
      <c r="G258" s="3" t="n"/>
      <c r="H258" s="3" t="n"/>
      <c r="I258" s="3" t="inlineStr">
        <is>
          <t>Claude (AI Engineer)</t>
        </is>
      </c>
      <c r="J258" s="3" t="inlineStr">
        <is>
          <t>SIT</t>
        </is>
      </c>
      <c r="K258" s="3" t="inlineStr">
        <is>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is>
      </c>
    </row>
    <row r="259" ht="27.6" customHeight="1" s="8">
      <c r="A259" s="3" t="inlineStr">
        <is>
          <t>AC-010-005-02</t>
        </is>
      </c>
      <c r="B259" s="3" t="inlineStr">
        <is>
          <t>US-010-005</t>
        </is>
      </c>
      <c r="C259" s="3" t="inlineStr">
        <is>
          <t>EP-010</t>
        </is>
      </c>
      <c r="D259" s="3" t="inlineStr">
        <is>
          <t>Export respects active filters and permissions.</t>
        </is>
      </c>
      <c r="E259" s="3" t="n"/>
      <c r="F259" s="3" t="inlineStr">
        <is>
          <t>Pass</t>
        </is>
      </c>
      <c r="G259" s="3" t="n"/>
      <c r="H259" s="3" t="n"/>
      <c r="I259" s="3" t="inlineStr">
        <is>
          <t>Claude (AI Engineer)</t>
        </is>
      </c>
      <c r="J259" s="3" t="inlineStr">
        <is>
          <t>SIT</t>
        </is>
      </c>
      <c r="K259" s="3" t="inlineStr">
        <is>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is>
      </c>
    </row>
    <row r="260" ht="27.6" customHeight="1" s="8">
      <c r="A260" s="3" t="inlineStr">
        <is>
          <t>AC-010-005-03</t>
        </is>
      </c>
      <c r="B260" s="3" t="inlineStr">
        <is>
          <t>US-010-005</t>
        </is>
      </c>
      <c r="C260" s="3" t="inlineStr">
        <is>
          <t>EP-010</t>
        </is>
      </c>
      <c r="D260" s="3" t="inlineStr">
        <is>
          <t>Export includes generation date/time and report period.</t>
        </is>
      </c>
      <c r="E260" s="3" t="n"/>
      <c r="F260" s="3" t="inlineStr">
        <is>
          <t>Pass</t>
        </is>
      </c>
      <c r="G260" s="3" t="n"/>
      <c r="H260" s="3" t="inlineStr">
        <is>
          <t>DEF-020</t>
        </is>
      </c>
      <c r="I260" s="3" t="inlineStr">
        <is>
          <t>Claude (AI Engineer)</t>
        </is>
      </c>
      <c r="J260" s="3" t="inlineStr">
        <is>
          <t>SIT</t>
        </is>
      </c>
      <c r="K260" s="3" t="inlineStr">
        <is>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is>
      </c>
    </row>
    <row r="261" ht="27.6" customHeight="1" s="8">
      <c r="A261" s="3" t="inlineStr">
        <is>
          <t>AC-010-005-04</t>
        </is>
      </c>
      <c r="B261" s="3" t="inlineStr">
        <is>
          <t>US-010-005</t>
        </is>
      </c>
      <c r="C261" s="3" t="inlineStr">
        <is>
          <t>EP-010</t>
        </is>
      </c>
      <c r="D261" s="3" t="inlineStr">
        <is>
          <t>Large exports are handled without blocking the main request indefinitely.</t>
        </is>
      </c>
      <c r="E261" s="3" t="n"/>
      <c r="F261" s="3" t="inlineStr">
        <is>
          <t>Pass</t>
        </is>
      </c>
      <c r="G261" s="3" t="n"/>
      <c r="H261" s="3" t="n"/>
      <c r="I261" s="3" t="inlineStr">
        <is>
          <t>Claude (AI Engineer)</t>
        </is>
      </c>
      <c r="J261" s="3" t="inlineStr">
        <is>
          <t>SIT</t>
        </is>
      </c>
      <c r="K261" s="3" t="inlineStr">
        <is>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is>
      </c>
    </row>
    <row r="262" ht="27.6" customHeight="1" s="8">
      <c r="A262" s="3" t="inlineStr">
        <is>
          <t>AC-011-001-01</t>
        </is>
      </c>
      <c r="B262" s="3" t="inlineStr">
        <is>
          <t>US-011-001</t>
        </is>
      </c>
      <c r="C262" s="3" t="inlineStr">
        <is>
          <t>EP-011</t>
        </is>
      </c>
      <c r="D262" s="3" t="inlineStr">
        <is>
          <t>Assignment can generate in-app/email notification according to settings.</t>
        </is>
      </c>
      <c r="E262" s="3" t="n"/>
      <c r="F262" s="3" t="inlineStr">
        <is>
          <t>Pass</t>
        </is>
      </c>
      <c r="G262" s="3" t="n"/>
      <c r="H262" s="3" t="n"/>
      <c r="I262" s="3" t="inlineStr">
        <is>
          <t>Claude (AI Engineer)</t>
        </is>
      </c>
      <c r="J262" s="3" t="inlineStr">
        <is>
          <t>SIT</t>
        </is>
      </c>
      <c r="K262" s="3" t="inlineStr">
        <is>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is>
      </c>
    </row>
    <row r="263" ht="27.6" customHeight="1" s="8">
      <c r="A263" s="3" t="inlineStr">
        <is>
          <t>AC-011-001-02</t>
        </is>
      </c>
      <c r="B263" s="3" t="inlineStr">
        <is>
          <t>US-011-001</t>
        </is>
      </c>
      <c r="C263" s="3" t="inlineStr">
        <is>
          <t>EP-011</t>
        </is>
      </c>
      <c r="D263" s="3" t="inlineStr">
        <is>
          <t>Notification identifies task and assigner.</t>
        </is>
      </c>
      <c r="E263" s="3" t="n"/>
      <c r="F263" s="3" t="inlineStr">
        <is>
          <t>Pass</t>
        </is>
      </c>
      <c r="G263" s="3" t="n"/>
      <c r="H263" s="3" t="n"/>
      <c r="I263" s="3" t="inlineStr">
        <is>
          <t>Claude (AI Engineer)</t>
        </is>
      </c>
      <c r="J263" s="3" t="inlineStr">
        <is>
          <t>SIT</t>
        </is>
      </c>
      <c r="K263" s="3" t="inlineStr">
        <is>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is>
      </c>
    </row>
    <row r="264" ht="27.6" customHeight="1" s="8">
      <c r="A264" s="3" t="inlineStr">
        <is>
          <t>AC-011-001-03</t>
        </is>
      </c>
      <c r="B264" s="3" t="inlineStr">
        <is>
          <t>US-011-001</t>
        </is>
      </c>
      <c r="C264" s="3" t="inlineStr">
        <is>
          <t>EP-011</t>
        </is>
      </c>
      <c r="D264" s="3" t="inlineStr">
        <is>
          <t>Selecting notification opens task detail.</t>
        </is>
      </c>
      <c r="E264" s="3" t="n"/>
      <c r="F264" s="3" t="inlineStr">
        <is>
          <t>Pass</t>
        </is>
      </c>
      <c r="G264" s="3" t="n"/>
      <c r="H264" s="3" t="n"/>
      <c r="I264" s="3" t="inlineStr">
        <is>
          <t>Claude (AI Engineer)</t>
        </is>
      </c>
      <c r="J264" s="3" t="inlineStr">
        <is>
          <t>SIT</t>
        </is>
      </c>
      <c r="K264" s="3" t="inlineStr">
        <is>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is>
      </c>
    </row>
    <row r="265" ht="27.6" customHeight="1" s="8">
      <c r="A265" s="3" t="inlineStr">
        <is>
          <t>AC-011-001-04</t>
        </is>
      </c>
      <c r="B265" s="3" t="inlineStr">
        <is>
          <t>US-011-001</t>
        </is>
      </c>
      <c r="C265" s="3" t="inlineStr">
        <is>
          <t>EP-011</t>
        </is>
      </c>
      <c r="D265" s="3" t="inlineStr">
        <is>
          <t>Duplicate notifications are avoided for the same event.</t>
        </is>
      </c>
      <c r="E265" s="3" t="n"/>
      <c r="F265" s="3" t="inlineStr">
        <is>
          <t>Pass</t>
        </is>
      </c>
      <c r="G265" s="3" t="n"/>
      <c r="H265" s="3" t="n"/>
      <c r="I265" s="3" t="inlineStr">
        <is>
          <t>Claude (AI Engineer)</t>
        </is>
      </c>
      <c r="J265" s="3" t="inlineStr">
        <is>
          <t>SIT</t>
        </is>
      </c>
      <c r="K265" s="3" t="inlineStr">
        <is>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is>
      </c>
    </row>
    <row r="266" ht="27.6" customHeight="1" s="8">
      <c r="A266" s="3" t="inlineStr">
        <is>
          <t>AC-011-002-01</t>
        </is>
      </c>
      <c r="B266" s="3" t="inlineStr">
        <is>
          <t>US-011-002</t>
        </is>
      </c>
      <c r="C266" s="3" t="inlineStr">
        <is>
          <t>EP-011</t>
        </is>
      </c>
      <c r="D266" s="3" t="inlineStr">
        <is>
          <t>Reminder threshold is configurable.</t>
        </is>
      </c>
      <c r="E266" s="3" t="n"/>
      <c r="F266" s="3" t="inlineStr">
        <is>
          <t>Pass</t>
        </is>
      </c>
      <c r="G266" s="3" t="n"/>
      <c r="H266" s="3" t="n"/>
      <c r="I266" s="3" t="inlineStr">
        <is>
          <t>Claude (AI Engineer)</t>
        </is>
      </c>
      <c r="J266" s="3" t="inlineStr">
        <is>
          <t>SIT</t>
        </is>
      </c>
      <c r="K266" s="3" t="inlineStr">
        <is>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is>
      </c>
    </row>
    <row r="267" ht="27.6" customHeight="1" s="8">
      <c r="A267" s="3" t="inlineStr">
        <is>
          <t>AC-011-002-02</t>
        </is>
      </c>
      <c r="B267" s="3" t="inlineStr">
        <is>
          <t>US-011-002</t>
        </is>
      </c>
      <c r="C267" s="3" t="inlineStr">
        <is>
          <t>EP-011</t>
        </is>
      </c>
      <c r="D267" s="3" t="inlineStr">
        <is>
          <t>Reminder is only sent for active attendance sessions meeting the rule.</t>
        </is>
      </c>
      <c r="E267" s="3" t="n"/>
      <c r="F267" s="3" t="inlineStr">
        <is>
          <t>Pass</t>
        </is>
      </c>
      <c r="G267" s="3" t="n"/>
      <c r="H267" s="3" t="inlineStr">
        <is>
          <t>DEF-021</t>
        </is>
      </c>
      <c r="I267" s="3" t="inlineStr">
        <is>
          <t>Claude (AI Engineer)</t>
        </is>
      </c>
      <c r="J267" s="3" t="inlineStr">
        <is>
          <t>SIT</t>
        </is>
      </c>
      <c r="K267" s="3" t="inlineStr">
        <is>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is>
      </c>
    </row>
    <row r="268" ht="27.6" customHeight="1" s="8">
      <c r="A268" s="3" t="inlineStr">
        <is>
          <t>AC-011-002-03</t>
        </is>
      </c>
      <c r="B268" s="3" t="inlineStr">
        <is>
          <t>US-011-002</t>
        </is>
      </c>
      <c r="C268" s="3" t="inlineStr">
        <is>
          <t>EP-011</t>
        </is>
      </c>
      <c r="D268" s="3" t="inlineStr">
        <is>
          <t>Reminder does not automatically clock the user out.</t>
        </is>
      </c>
      <c r="E268" s="3" t="n"/>
      <c r="F268" s="3" t="inlineStr">
        <is>
          <t>Pass</t>
        </is>
      </c>
      <c r="G268" s="3" t="n"/>
      <c r="H268" s="3" t="n"/>
      <c r="I268" s="3" t="inlineStr">
        <is>
          <t>Claude (AI Engineer)</t>
        </is>
      </c>
      <c r="J268" s="3" t="inlineStr">
        <is>
          <t>SIT</t>
        </is>
      </c>
      <c r="K268" s="3" t="inlineStr">
        <is>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is>
      </c>
    </row>
    <row r="269" ht="27.6" customHeight="1" s="8">
      <c r="A269" s="3" t="inlineStr">
        <is>
          <t>AC-011-002-04</t>
        </is>
      </c>
      <c r="B269" s="3" t="inlineStr">
        <is>
          <t>US-011-002</t>
        </is>
      </c>
      <c r="C269" s="3" t="inlineStr">
        <is>
          <t>EP-011</t>
        </is>
      </c>
      <c r="D269" s="3" t="inlineStr">
        <is>
          <t>Reminder event is logged.</t>
        </is>
      </c>
      <c r="E269" s="3" t="n"/>
      <c r="F269" s="3" t="inlineStr">
        <is>
          <t>Pass</t>
        </is>
      </c>
      <c r="G269" s="3" t="n"/>
      <c r="H269" s="3" t="n"/>
      <c r="I269" s="3" t="inlineStr">
        <is>
          <t>Claude (AI Engineer)</t>
        </is>
      </c>
      <c r="J269" s="3" t="inlineStr">
        <is>
          <t>SIT</t>
        </is>
      </c>
      <c r="K269" s="3" t="inlineStr">
        <is>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is>
      </c>
    </row>
    <row r="270" ht="27.6" customHeight="1" s="8">
      <c r="A270" s="3" t="inlineStr">
        <is>
          <t>AC-011-003-01</t>
        </is>
      </c>
      <c r="B270" s="3" t="inlineStr">
        <is>
          <t>US-011-003</t>
        </is>
      </c>
      <c r="C270" s="3" t="inlineStr">
        <is>
          <t>EP-011</t>
        </is>
      </c>
      <c r="D270" s="3" t="inlineStr">
        <is>
          <t>Threshold is configurable.</t>
        </is>
      </c>
      <c r="E270" s="3" t="n"/>
      <c r="F270" s="3" t="inlineStr">
        <is>
          <t>Pass</t>
        </is>
      </c>
      <c r="G270" s="3" t="n"/>
      <c r="H270" s="3" t="n"/>
      <c r="I270" s="3" t="inlineStr">
        <is>
          <t>Claude (AI Engineer)</t>
        </is>
      </c>
      <c r="J270" s="3" t="inlineStr">
        <is>
          <t>SIT</t>
        </is>
      </c>
      <c r="K270" s="3" t="inlineStr">
        <is>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is>
      </c>
    </row>
    <row r="271" ht="27.6" customHeight="1" s="8">
      <c r="A271" s="3" t="inlineStr">
        <is>
          <t>AC-011-003-02</t>
        </is>
      </c>
      <c r="B271" s="3" t="inlineStr">
        <is>
          <t>US-011-003</t>
        </is>
      </c>
      <c r="C271" s="3" t="inlineStr">
        <is>
          <t>EP-011</t>
        </is>
      </c>
      <c r="D271" s="3" t="inlineStr">
        <is>
          <t>Reminder does not silently stop or modify the timer.</t>
        </is>
      </c>
      <c r="E271" s="3" t="n"/>
      <c r="F271" s="3" t="inlineStr">
        <is>
          <t>Pass</t>
        </is>
      </c>
      <c r="G271" s="3" t="n"/>
      <c r="H271" s="3" t="n"/>
      <c r="I271" s="3" t="inlineStr">
        <is>
          <t>Claude (AI Engineer)</t>
        </is>
      </c>
      <c r="J271" s="3" t="inlineStr">
        <is>
          <t>SIT</t>
        </is>
      </c>
      <c r="K271" s="3" t="inlineStr">
        <is>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is>
      </c>
    </row>
    <row r="272" ht="27.6" customHeight="1" s="8">
      <c r="A272" s="3" t="inlineStr">
        <is>
          <t>AC-011-003-03</t>
        </is>
      </c>
      <c r="B272" s="3" t="inlineStr">
        <is>
          <t>US-011-003</t>
        </is>
      </c>
      <c r="C272" s="3" t="inlineStr">
        <is>
          <t>EP-011</t>
        </is>
      </c>
      <c r="D272" s="3" t="inlineStr">
        <is>
          <t>User can navigate directly to timer controls.</t>
        </is>
      </c>
      <c r="E272" s="3" t="n"/>
      <c r="F272" s="3" t="inlineStr">
        <is>
          <t>Pass</t>
        </is>
      </c>
      <c r="G272" s="3" t="n"/>
      <c r="H272" s="3" t="n"/>
      <c r="I272" s="3" t="inlineStr">
        <is>
          <t>Claude (AI Engineer)</t>
        </is>
      </c>
      <c r="J272" s="3" t="inlineStr">
        <is>
          <t>SIT</t>
        </is>
      </c>
      <c r="K272" s="3" t="inlineStr">
        <is>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is>
      </c>
    </row>
    <row r="273" ht="27.6" customHeight="1" s="8">
      <c r="A273" s="3" t="inlineStr">
        <is>
          <t>AC-011-003-04</t>
        </is>
      </c>
      <c r="B273" s="3" t="inlineStr">
        <is>
          <t>US-011-003</t>
        </is>
      </c>
      <c r="C273" s="3" t="inlineStr">
        <is>
          <t>EP-011</t>
        </is>
      </c>
      <c r="D273" s="3" t="inlineStr">
        <is>
          <t>Repeated reminders follow a configurable cooldown.</t>
        </is>
      </c>
      <c r="E273" s="3" t="n"/>
      <c r="F273" s="3" t="inlineStr">
        <is>
          <t>Pass</t>
        </is>
      </c>
      <c r="G273" s="3" t="n"/>
      <c r="H273" s="3" t="n"/>
      <c r="I273" s="3" t="inlineStr">
        <is>
          <t>Claude (AI Engineer)</t>
        </is>
      </c>
      <c r="J273" s="3" t="inlineStr">
        <is>
          <t>SIT</t>
        </is>
      </c>
      <c r="K273" s="3" t="inlineStr">
        <is>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is>
      </c>
    </row>
    <row r="274" ht="27.6" customHeight="1" s="8">
      <c r="A274" s="3" t="inlineStr">
        <is>
          <t>AC-011-004-01</t>
        </is>
      </c>
      <c r="B274" s="3" t="inlineStr">
        <is>
          <t>US-011-004</t>
        </is>
      </c>
      <c r="C274" s="3" t="inlineStr">
        <is>
          <t>EP-011</t>
        </is>
      </c>
      <c r="D274" s="3" t="inlineStr">
        <is>
          <t>Reminder triggers only after a completed attendance day or configured cutoff.</t>
        </is>
      </c>
      <c r="E274" s="3" t="n"/>
      <c r="F274" s="3" t="inlineStr">
        <is>
          <t>Pass</t>
        </is>
      </c>
      <c r="G274" s="3" t="n"/>
      <c r="H274" s="3" t="n"/>
      <c r="I274" s="3" t="inlineStr">
        <is>
          <t>Claude (AI Engineer)</t>
        </is>
      </c>
      <c r="J274" s="3" t="inlineStr">
        <is>
          <t>SIT</t>
        </is>
      </c>
      <c r="K274" s="3" t="inlineStr">
        <is>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is>
      </c>
    </row>
    <row r="275" ht="27.6" customHeight="1" s="8">
      <c r="A275" s="3" t="inlineStr">
        <is>
          <t>AC-011-004-02</t>
        </is>
      </c>
      <c r="B275" s="3" t="inlineStr">
        <is>
          <t>US-011-004</t>
        </is>
      </c>
      <c r="C275" s="3" t="inlineStr">
        <is>
          <t>EP-011</t>
        </is>
      </c>
      <c r="D275" s="3" t="inlineStr">
        <is>
          <t>Amount of unallocated time is shown.</t>
        </is>
      </c>
      <c r="E275" s="3" t="n"/>
      <c r="F275" s="3" t="inlineStr">
        <is>
          <t>Pass</t>
        </is>
      </c>
      <c r="G275" s="3" t="n"/>
      <c r="H275" s="3" t="n"/>
      <c r="I275" s="3" t="inlineStr">
        <is>
          <t>Claude (AI Engineer)</t>
        </is>
      </c>
      <c r="J275" s="3" t="inlineStr">
        <is>
          <t>SIT</t>
        </is>
      </c>
      <c r="K275" s="3" t="inlineStr">
        <is>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is>
      </c>
    </row>
    <row r="276" ht="27.6" customHeight="1" s="8">
      <c r="A276" s="3" t="inlineStr">
        <is>
          <t>AC-011-004-03</t>
        </is>
      </c>
      <c r="B276" s="3" t="inlineStr">
        <is>
          <t>US-011-004</t>
        </is>
      </c>
      <c r="C276" s="3" t="inlineStr">
        <is>
          <t>EP-011</t>
        </is>
      </c>
      <c r="D276" s="3" t="inlineStr">
        <is>
          <t>User can open the daily timeline.</t>
        </is>
      </c>
      <c r="E276" s="3" t="n"/>
      <c r="F276" s="3" t="inlineStr">
        <is>
          <t>Pass</t>
        </is>
      </c>
      <c r="G276" s="3" t="n"/>
      <c r="H276" s="3" t="n"/>
      <c r="I276" s="3" t="inlineStr">
        <is>
          <t>Claude (AI Engineer)</t>
        </is>
      </c>
      <c r="J276" s="3" t="inlineStr">
        <is>
          <t>SIT</t>
        </is>
      </c>
      <c r="K276" s="3" t="inlineStr">
        <is>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is>
      </c>
    </row>
    <row r="277" ht="27.6" customHeight="1" s="8">
      <c r="A277" s="3" t="inlineStr">
        <is>
          <t>AC-011-004-04</t>
        </is>
      </c>
      <c r="B277" s="3" t="inlineStr">
        <is>
          <t>US-011-004</t>
        </is>
      </c>
      <c r="C277" s="3" t="inlineStr">
        <is>
          <t>EP-011</t>
        </is>
      </c>
      <c r="D277" s="3" t="inlineStr">
        <is>
          <t>Reminder does not invent or auto-assign task time.</t>
        </is>
      </c>
      <c r="E277" s="3" t="n"/>
      <c r="F277" s="3" t="inlineStr">
        <is>
          <t>Pass</t>
        </is>
      </c>
      <c r="G277" s="3" t="n"/>
      <c r="H277" s="3" t="n"/>
      <c r="I277" s="3" t="inlineStr">
        <is>
          <t>Claude (AI Engineer)</t>
        </is>
      </c>
      <c r="J277" s="3" t="inlineStr">
        <is>
          <t>SIT</t>
        </is>
      </c>
      <c r="K277" s="3" t="inlineStr">
        <is>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is>
      </c>
    </row>
    <row r="278" ht="27.6" customHeight="1" s="8">
      <c r="A278" s="3" t="inlineStr">
        <is>
          <t>AC-012-001-01</t>
        </is>
      </c>
      <c r="B278" s="3" t="inlineStr">
        <is>
          <t>US-012-001</t>
        </is>
      </c>
      <c r="C278" s="3" t="inlineStr">
        <is>
          <t>EP-012</t>
        </is>
      </c>
      <c r="D278" s="3" t="inlineStr">
        <is>
          <t>Passwords are never stored in plaintext.</t>
        </is>
      </c>
      <c r="E278" s="3" t="n"/>
      <c r="F278" s="3" t="inlineStr">
        <is>
          <t>Pass</t>
        </is>
      </c>
      <c r="G278" s="3" t="n"/>
      <c r="H278" s="3" t="n"/>
      <c r="I278" s="3" t="inlineStr">
        <is>
          <t>Claude (AI Engineer)</t>
        </is>
      </c>
      <c r="J278" s="3" t="inlineStr">
        <is>
          <t>SIT</t>
        </is>
      </c>
      <c r="K278" s="3" t="inlineStr">
        <is>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is>
      </c>
    </row>
    <row r="279" ht="27.6" customHeight="1" s="8">
      <c r="A279" s="3" t="inlineStr">
        <is>
          <t>AC-012-001-02</t>
        </is>
      </c>
      <c r="B279" s="3" t="inlineStr">
        <is>
          <t>US-012-001</t>
        </is>
      </c>
      <c r="C279" s="3" t="inlineStr">
        <is>
          <t>EP-012</t>
        </is>
      </c>
      <c r="D279" s="3" t="inlineStr">
        <is>
          <t>Argon2id or approved equivalent is used with appropriate parameters.</t>
        </is>
      </c>
      <c r="E279" s="3" t="n"/>
      <c r="F279" s="3" t="inlineStr">
        <is>
          <t>Pass</t>
        </is>
      </c>
      <c r="G279" s="3" t="n"/>
      <c r="H279" s="3" t="n"/>
      <c r="I279" s="3" t="inlineStr">
        <is>
          <t>Claude (AI Engineer)</t>
        </is>
      </c>
      <c r="J279" s="3" t="inlineStr">
        <is>
          <t>SIT</t>
        </is>
      </c>
      <c r="K279" s="3" t="inlineStr">
        <is>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is>
      </c>
    </row>
    <row r="280" ht="27.6" customHeight="1" s="8">
      <c r="A280" s="3" t="inlineStr">
        <is>
          <t>AC-012-001-03</t>
        </is>
      </c>
      <c r="B280" s="3" t="inlineStr">
        <is>
          <t>US-012-001</t>
        </is>
      </c>
      <c r="C280" s="3" t="inlineStr">
        <is>
          <t>EP-012</t>
        </is>
      </c>
      <c r="D280" s="3" t="inlineStr">
        <is>
          <t>Password values are never written to logs.</t>
        </is>
      </c>
      <c r="E280" s="3" t="n"/>
      <c r="F280" s="3" t="inlineStr">
        <is>
          <t>Pass</t>
        </is>
      </c>
      <c r="G280" s="3" t="n"/>
      <c r="H280" s="3" t="n"/>
      <c r="I280" s="3" t="inlineStr">
        <is>
          <t>Claude (AI Engineer)</t>
        </is>
      </c>
      <c r="J280" s="3" t="inlineStr">
        <is>
          <t>SIT</t>
        </is>
      </c>
      <c r="K280" s="3" t="inlineStr">
        <is>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is>
      </c>
    </row>
    <row r="281" ht="27.6" customHeight="1" s="8">
      <c r="A281" s="3" t="inlineStr">
        <is>
          <t>AC-012-001-04</t>
        </is>
      </c>
      <c r="B281" s="3" t="inlineStr">
        <is>
          <t>US-012-001</t>
        </is>
      </c>
      <c r="C281" s="3" t="inlineStr">
        <is>
          <t>EP-012</t>
        </is>
      </c>
      <c r="D281" s="3" t="inlineStr">
        <is>
          <t>Password verification uses the same secure library.</t>
        </is>
      </c>
      <c r="E281" s="3" t="n"/>
      <c r="F281" s="3" t="inlineStr">
        <is>
          <t>Pass</t>
        </is>
      </c>
      <c r="G281" s="3" t="n"/>
      <c r="H281" s="3" t="n"/>
      <c r="I281" s="3" t="inlineStr">
        <is>
          <t>Claude (AI Engineer)</t>
        </is>
      </c>
      <c r="J281" s="3" t="inlineStr">
        <is>
          <t>SIT</t>
        </is>
      </c>
      <c r="K281" s="3" t="inlineStr">
        <is>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is>
      </c>
    </row>
    <row r="282" ht="27.6" customHeight="1" s="8">
      <c r="A282" s="3" t="inlineStr">
        <is>
          <t>AC-012-002-01</t>
        </is>
      </c>
      <c r="B282" s="3" t="inlineStr">
        <is>
          <t>US-012-002</t>
        </is>
      </c>
      <c r="C282" s="3" t="inlineStr">
        <is>
          <t>EP-012</t>
        </is>
      </c>
      <c r="D282" s="3" t="inlineStr">
        <is>
          <t>Protected endpoints check authenticated user and role.</t>
        </is>
      </c>
      <c r="E282" s="3" t="n"/>
      <c r="F282" s="3" t="inlineStr">
        <is>
          <t>Pass</t>
        </is>
      </c>
      <c r="G282" s="3" t="n"/>
      <c r="H282" s="3" t="n"/>
      <c r="I282" s="3" t="inlineStr">
        <is>
          <t>Claude (AI Engineer)</t>
        </is>
      </c>
      <c r="J282" s="3" t="inlineStr">
        <is>
          <t>SIT</t>
        </is>
      </c>
      <c r="K282" s="3" t="inlineStr">
        <is>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is>
      </c>
    </row>
    <row r="283" ht="27.6" customHeight="1" s="8">
      <c r="A283" s="3" t="inlineStr">
        <is>
          <t>AC-012-002-02</t>
        </is>
      </c>
      <c r="B283" s="3" t="inlineStr">
        <is>
          <t>US-012-002</t>
        </is>
      </c>
      <c r="C283" s="3" t="inlineStr">
        <is>
          <t>EP-012</t>
        </is>
      </c>
      <c r="D283" s="3" t="inlineStr">
        <is>
          <t>Direct API requests cannot bypass UI permissions.</t>
        </is>
      </c>
      <c r="E283" s="3" t="n"/>
      <c r="F283" s="3" t="inlineStr">
        <is>
          <t>Pass</t>
        </is>
      </c>
      <c r="G283" s="3" t="n"/>
      <c r="H283" s="3" t="n"/>
      <c r="I283" s="3" t="inlineStr">
        <is>
          <t>Claude (AI Engineer)</t>
        </is>
      </c>
      <c r="J283" s="3" t="inlineStr">
        <is>
          <t>SIT</t>
        </is>
      </c>
      <c r="K283" s="3" t="inlineStr">
        <is>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is>
      </c>
    </row>
    <row r="284" ht="27.6" customHeight="1" s="8">
      <c r="A284" s="3" t="inlineStr">
        <is>
          <t>AC-012-002-03</t>
        </is>
      </c>
      <c r="B284" s="3" t="inlineStr">
        <is>
          <t>US-012-002</t>
        </is>
      </c>
      <c r="C284" s="3" t="inlineStr">
        <is>
          <t>EP-012</t>
        </is>
      </c>
      <c r="D284" s="3" t="inlineStr">
        <is>
          <t>Unauthorised access returns appropriate error without sensitive detail.</t>
        </is>
      </c>
      <c r="E284" s="3" t="n"/>
      <c r="F284" s="3" t="inlineStr">
        <is>
          <t>Pass</t>
        </is>
      </c>
      <c r="G284" s="3" t="n"/>
      <c r="H284" s="3" t="n"/>
      <c r="I284" s="3" t="inlineStr">
        <is>
          <t>Claude (AI Engineer)</t>
        </is>
      </c>
      <c r="J284" s="3" t="inlineStr">
        <is>
          <t>SIT</t>
        </is>
      </c>
      <c r="K284" s="3" t="inlineStr">
        <is>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is>
      </c>
    </row>
    <row r="285" ht="27.6" customHeight="1" s="8">
      <c r="A285" s="3" t="inlineStr">
        <is>
          <t>AC-012-002-04</t>
        </is>
      </c>
      <c r="B285" s="3" t="inlineStr">
        <is>
          <t>US-012-002</t>
        </is>
      </c>
      <c r="C285" s="3" t="inlineStr">
        <is>
          <t>EP-012</t>
        </is>
      </c>
      <c r="D285" s="3" t="inlineStr">
        <is>
          <t>Authorisation tests cover representative admin and employee endpoints.</t>
        </is>
      </c>
      <c r="E285" s="3" t="n"/>
      <c r="F285" s="3" t="inlineStr">
        <is>
          <t>Pass</t>
        </is>
      </c>
      <c r="G285" s="3" t="n"/>
      <c r="H285" s="3" t="n"/>
      <c r="I285" s="3" t="inlineStr">
        <is>
          <t>Claude (AI Engineer)</t>
        </is>
      </c>
      <c r="J285" s="3" t="inlineStr">
        <is>
          <t>SIT</t>
        </is>
      </c>
      <c r="K285" s="3" t="inlineStr">
        <is>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is>
      </c>
    </row>
    <row r="286" ht="27.6" customHeight="1" s="8">
      <c r="A286" s="3" t="inlineStr">
        <is>
          <t>AC-012-003-01</t>
        </is>
      </c>
      <c r="B286" s="3" t="inlineStr">
        <is>
          <t>US-012-003</t>
        </is>
      </c>
      <c r="C286" s="3" t="inlineStr">
        <is>
          <t>EP-012</t>
        </is>
      </c>
      <c r="D286" s="3" t="inlineStr">
        <is>
          <t>Official online clock/timer events use server timestamps.</t>
        </is>
      </c>
      <c r="E286" s="3" t="n"/>
      <c r="F286" s="3" t="inlineStr">
        <is>
          <t>Pass</t>
        </is>
      </c>
      <c r="G286" s="3" t="n"/>
      <c r="H286" s="3" t="n"/>
      <c r="I286" s="3" t="inlineStr">
        <is>
          <t>Claude (AI Engineer)</t>
        </is>
      </c>
      <c r="J286" s="3" t="inlineStr">
        <is>
          <t>SIT</t>
        </is>
      </c>
      <c r="K286" s="3" t="inlineStr">
        <is>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is>
      </c>
    </row>
    <row r="287" ht="27.6" customHeight="1" s="8">
      <c r="A287" s="3" t="inlineStr">
        <is>
          <t>AC-012-003-02</t>
        </is>
      </c>
      <c r="B287" s="3" t="inlineStr">
        <is>
          <t>US-012-003</t>
        </is>
      </c>
      <c r="C287" s="3" t="inlineStr">
        <is>
          <t>EP-012</t>
        </is>
      </c>
      <c r="D287" s="3" t="inlineStr">
        <is>
          <t>Database constraints/transactions prevent duplicate active sessions/timers.</t>
        </is>
      </c>
      <c r="E287" s="3" t="n"/>
      <c r="F287" s="3" t="inlineStr">
        <is>
          <t>Pass</t>
        </is>
      </c>
      <c r="G287" s="3" t="n"/>
      <c r="H287" s="3" t="n"/>
      <c r="I287" s="3" t="inlineStr">
        <is>
          <t>Claude (AI Engineer)</t>
        </is>
      </c>
      <c r="J287" s="3" t="inlineStr">
        <is>
          <t>SIT</t>
        </is>
      </c>
      <c r="K287" s="3" t="inlineStr">
        <is>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is>
      </c>
    </row>
    <row r="288" ht="27.6" customHeight="1" s="8">
      <c r="A288" s="3" t="inlineStr">
        <is>
          <t>AC-012-003-03</t>
        </is>
      </c>
      <c r="B288" s="3" t="inlineStr">
        <is>
          <t>US-012-003</t>
        </is>
      </c>
      <c r="C288" s="3" t="inlineStr">
        <is>
          <t>EP-012</t>
        </is>
      </c>
      <c r="D288" s="3" t="inlineStr">
        <is>
          <t>Duration is calculated from stored timestamps, not incremental browser counters.</t>
        </is>
      </c>
      <c r="E288" s="3" t="n"/>
      <c r="F288" s="3" t="inlineStr">
        <is>
          <t>Pass</t>
        </is>
      </c>
      <c r="G288" s="3" t="n"/>
      <c r="H288" s="3" t="n"/>
      <c r="I288" s="3" t="inlineStr">
        <is>
          <t>Claude (AI Engineer)</t>
        </is>
      </c>
      <c r="J288" s="3" t="inlineStr">
        <is>
          <t>SIT</t>
        </is>
      </c>
      <c r="K288" s="3" t="inlineStr">
        <is>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is>
      </c>
    </row>
    <row r="289" ht="27.6" customHeight="1" s="8">
      <c r="A289" s="3" t="inlineStr">
        <is>
          <t>AC-012-003-04</t>
        </is>
      </c>
      <c r="B289" s="3" t="inlineStr">
        <is>
          <t>US-012-003</t>
        </is>
      </c>
      <c r="C289" s="3" t="inlineStr">
        <is>
          <t>EP-012</t>
        </is>
      </c>
      <c r="D289" s="3" t="inlineStr">
        <is>
          <t>Time-zone rendering does not alter stored event chronology.</t>
        </is>
      </c>
      <c r="E289" s="3" t="n"/>
      <c r="F289" s="3" t="inlineStr">
        <is>
          <t>Pass</t>
        </is>
      </c>
      <c r="G289" s="3" t="n"/>
      <c r="H289" s="3" t="n"/>
      <c r="I289" s="3" t="inlineStr">
        <is>
          <t>Claude (AI Engineer)</t>
        </is>
      </c>
      <c r="J289" s="3" t="inlineStr">
        <is>
          <t>SIT</t>
        </is>
      </c>
      <c r="K289" s="3" t="inlineStr">
        <is>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is>
      </c>
    </row>
    <row r="290" ht="27.6" customHeight="1" s="8">
      <c r="A290" s="3" t="inlineStr">
        <is>
          <t>AC-012-004-01</t>
        </is>
      </c>
      <c r="B290" s="3" t="inlineStr">
        <is>
          <t>US-012-004</t>
        </is>
      </c>
      <c r="C290" s="3" t="inlineStr">
        <is>
          <t>EP-012</t>
        </is>
      </c>
      <c r="D290" s="3" t="inlineStr">
        <is>
          <t>Requests have correlation identifiers.</t>
        </is>
      </c>
      <c r="E290" s="3" t="n"/>
      <c r="F290" s="3" t="inlineStr">
        <is>
          <t>Pass</t>
        </is>
      </c>
      <c r="G290" s="3" t="n"/>
      <c r="H290" s="3" t="n"/>
      <c r="I290" s="3" t="inlineStr">
        <is>
          <t>Claude (AI Engineer)</t>
        </is>
      </c>
      <c r="J290" s="3" t="inlineStr">
        <is>
          <t>SIT</t>
        </is>
      </c>
      <c r="K290" s="3" t="inlineStr">
        <is>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is>
      </c>
    </row>
    <row r="291" ht="27.6" customHeight="1" s="8">
      <c r="A291" s="3" t="inlineStr">
        <is>
          <t>AC-012-004-02</t>
        </is>
      </c>
      <c r="B291" s="3" t="inlineStr">
        <is>
          <t>US-012-004</t>
        </is>
      </c>
      <c r="C291" s="3" t="inlineStr">
        <is>
          <t>EP-012</t>
        </is>
      </c>
      <c r="D291" s="3" t="inlineStr">
        <is>
          <t>Application exposes health/readiness checks.</t>
        </is>
      </c>
      <c r="E291" s="3" t="n"/>
      <c r="F291" s="3" t="inlineStr">
        <is>
          <t>Pass</t>
        </is>
      </c>
      <c r="G291" s="3" t="n"/>
      <c r="H291" s="3" t="n"/>
      <c r="I291" s="3" t="inlineStr">
        <is>
          <t>Claude (AI Engineer)</t>
        </is>
      </c>
      <c r="J291" s="3" t="inlineStr">
        <is>
          <t>SIT</t>
        </is>
      </c>
      <c r="K291" s="3" t="inlineStr">
        <is>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is>
      </c>
    </row>
    <row r="292" ht="27.6" customHeight="1" s="8">
      <c r="A292" s="3" t="inlineStr">
        <is>
          <t>AC-012-004-03</t>
        </is>
      </c>
      <c r="B292" s="3" t="inlineStr">
        <is>
          <t>US-012-004</t>
        </is>
      </c>
      <c r="C292" s="3" t="inlineStr">
        <is>
          <t>EP-012</t>
        </is>
      </c>
      <c r="D292" s="3" t="inlineStr">
        <is>
          <t>Logs exclude passwords/tokens and minimise sensitive data.</t>
        </is>
      </c>
      <c r="E292" s="3" t="n"/>
      <c r="F292" s="3" t="inlineStr">
        <is>
          <t>Pass</t>
        </is>
      </c>
      <c r="G292" s="3" t="n"/>
      <c r="H292" s="3" t="n"/>
      <c r="I292" s="3" t="inlineStr">
        <is>
          <t>Claude (AI Engineer)</t>
        </is>
      </c>
      <c r="J292" s="3" t="inlineStr">
        <is>
          <t>SIT</t>
        </is>
      </c>
      <c r="K292" s="3" t="inlineStr">
        <is>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is>
      </c>
    </row>
    <row r="293" ht="27.6" customHeight="1" s="8">
      <c r="A293" s="3" t="inlineStr">
        <is>
          <t>AC-012-004-04</t>
        </is>
      </c>
      <c r="B293" s="3" t="inlineStr">
        <is>
          <t>US-012-004</t>
        </is>
      </c>
      <c r="C293" s="3" t="inlineStr">
        <is>
          <t>EP-012</t>
        </is>
      </c>
      <c r="D293" s="3" t="inlineStr">
        <is>
          <t>Critical errors can trigger operational alerts.</t>
        </is>
      </c>
      <c r="E293" s="3" t="n"/>
      <c r="F293" s="3" t="inlineStr">
        <is>
          <t>Pass</t>
        </is>
      </c>
      <c r="G293" s="3" t="n"/>
      <c r="H293" s="3" t="n"/>
      <c r="I293" s="3" t="inlineStr">
        <is>
          <t>Claude (AI Engineer)</t>
        </is>
      </c>
      <c r="J293" s="3" t="inlineStr">
        <is>
          <t>SIT</t>
        </is>
      </c>
      <c r="K293" s="3" t="inlineStr">
        <is>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is>
      </c>
    </row>
    <row r="294" ht="27.6" customHeight="1" s="8">
      <c r="A294" s="3" t="inlineStr">
        <is>
          <t>AC-012-005-01</t>
        </is>
      </c>
      <c r="B294" s="3" t="inlineStr">
        <is>
          <t>US-012-005</t>
        </is>
      </c>
      <c r="C294" s="3" t="inlineStr">
        <is>
          <t>EP-012</t>
        </is>
      </c>
      <c r="D294" s="3" t="inlineStr">
        <is>
          <t>Automated backups run on a documented schedule.</t>
        </is>
      </c>
      <c r="E294" s="3" t="n"/>
      <c r="F294" s="3" t="inlineStr">
        <is>
          <t>Pass</t>
        </is>
      </c>
      <c r="G294" s="3" t="n"/>
      <c r="H294" s="3" t="n"/>
      <c r="I294" s="3" t="inlineStr">
        <is>
          <t>Claude (AI Engineer)</t>
        </is>
      </c>
      <c r="J294" s="3" t="inlineStr">
        <is>
          <t>SIT</t>
        </is>
      </c>
      <c r="K294" s="3" t="inlineStr">
        <is>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is>
      </c>
    </row>
    <row r="295" ht="27.6" customHeight="1" s="8">
      <c r="A295" s="3" t="inlineStr">
        <is>
          <t>AC-012-005-02</t>
        </is>
      </c>
      <c r="B295" s="3" t="inlineStr">
        <is>
          <t>US-012-005</t>
        </is>
      </c>
      <c r="C295" s="3" t="inlineStr">
        <is>
          <t>EP-012</t>
        </is>
      </c>
      <c r="D295" s="3" t="inlineStr">
        <is>
          <t>Backups are encrypted and access controlled.</t>
        </is>
      </c>
      <c r="E295" s="3" t="n"/>
      <c r="F295" s="3" t="inlineStr">
        <is>
          <t>Pass</t>
        </is>
      </c>
      <c r="G295" s="3" t="n"/>
      <c r="H295" s="3" t="n"/>
      <c r="I295" s="3" t="inlineStr">
        <is>
          <t>Claude (AI Engineer)</t>
        </is>
      </c>
      <c r="J295" s="3" t="inlineStr">
        <is>
          <t>SIT</t>
        </is>
      </c>
      <c r="K295" s="3" t="inlineStr">
        <is>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is>
      </c>
    </row>
    <row r="296" ht="27.6" customHeight="1" s="8">
      <c r="A296" s="3" t="inlineStr">
        <is>
          <t>AC-012-005-03</t>
        </is>
      </c>
      <c r="B296" s="3" t="inlineStr">
        <is>
          <t>US-012-005</t>
        </is>
      </c>
      <c r="C296" s="3" t="inlineStr">
        <is>
          <t>EP-012</t>
        </is>
      </c>
      <c r="D296" s="3" t="inlineStr">
        <is>
          <t>Restore procedure is documented and periodically tested.</t>
        </is>
      </c>
      <c r="E296" s="3" t="n"/>
      <c r="F296" s="3" t="inlineStr">
        <is>
          <t>Pass</t>
        </is>
      </c>
      <c r="G296" s="3" t="n"/>
      <c r="H296" s="3" t="n"/>
      <c r="I296" s="3" t="inlineStr">
        <is>
          <t>Claude (AI Engineer)</t>
        </is>
      </c>
      <c r="J296" s="3" t="inlineStr">
        <is>
          <t>SIT</t>
        </is>
      </c>
      <c r="K296" s="3" t="inlineStr">
        <is>
          <t>Restore drill executed and verified 2026-09-08 — see docs/BACKUP_AND_RESTORE.md. | Reviewed live, 2026-09-09: same judgment call as AC-012-005-01/02 - encryption/access-control posture unchanged since the 2026-09-08 drill; not re-verified via a fresh restore this pass.</t>
        </is>
      </c>
    </row>
    <row r="297" ht="27.6" customHeight="1" s="8">
      <c r="A297" s="3" t="inlineStr">
        <is>
          <t>AC-012-005-04</t>
        </is>
      </c>
      <c r="B297" s="3" t="inlineStr">
        <is>
          <t>US-012-005</t>
        </is>
      </c>
      <c r="C297" s="3" t="inlineStr">
        <is>
          <t>EP-012</t>
        </is>
      </c>
      <c r="D297" s="3" t="inlineStr">
        <is>
          <t>RPO/RTO targets are defined before production launch.</t>
        </is>
      </c>
      <c r="E297" s="3" t="n"/>
      <c r="F297" s="3" t="inlineStr">
        <is>
          <t>Pass</t>
        </is>
      </c>
      <c r="G297" s="3" t="n"/>
      <c r="H297" s="3" t="n"/>
      <c r="I297" s="3" t="inlineStr">
        <is>
          <t>Claude (AI Engineer)</t>
        </is>
      </c>
      <c r="J297" s="3" t="inlineStr">
        <is>
          <t>SIT</t>
        </is>
      </c>
      <c r="K297" s="3" t="inlineStr">
        <is>
          <t>Restore drill executed and verified 2026-09-08 — see docs/BACKUP_AND_RESTORE.md. | Reviewed live, 2026-09-09: same judgment call as AC-012-005-01/02/03 - RPO/RTO figures documented from the real 2026-09-08 drill still stand; backupRetentionDays=14 confirmed live and unchanged.</t>
        </is>
      </c>
    </row>
    <row r="298" ht="27.6" customHeight="1" s="8">
      <c r="A298" s="3" t="inlineStr">
        <is>
          <t>AC-012-006-01</t>
        </is>
      </c>
      <c r="B298" s="3" t="inlineStr">
        <is>
          <t>US-012-006</t>
        </is>
      </c>
      <c r="C298" s="3" t="inlineStr">
        <is>
          <t>EP-012</t>
        </is>
      </c>
      <c r="D298" s="3" t="inlineStr">
        <is>
          <t>Pipeline runs linting, unit tests and integration tests.</t>
        </is>
      </c>
      <c r="E298" s="3" t="n"/>
      <c r="F298" s="3" t="inlineStr">
        <is>
          <t>Pass</t>
        </is>
      </c>
      <c r="G298" s="3" t="n"/>
      <c r="H298" s="3" t="n"/>
      <c r="I298" s="3" t="inlineStr">
        <is>
          <t>Claude (AI Engineer)</t>
        </is>
      </c>
      <c r="J298" s="3" t="inlineStr">
        <is>
          <t>SIT</t>
        </is>
      </c>
      <c r="K298" s="3" t="inlineStr">
        <is>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is>
      </c>
    </row>
    <row r="299" ht="27.6" customHeight="1" s="8">
      <c r="A299" s="3" t="inlineStr">
        <is>
          <t>AC-012-006-02</t>
        </is>
      </c>
      <c r="B299" s="3" t="inlineStr">
        <is>
          <t>US-012-006</t>
        </is>
      </c>
      <c r="C299" s="3" t="inlineStr">
        <is>
          <t>EP-012</t>
        </is>
      </c>
      <c r="D299" s="3" t="inlineStr">
        <is>
          <t>Dependency/security scanning is included.</t>
        </is>
      </c>
      <c r="E299" s="3" t="n"/>
      <c r="F299" s="3" t="inlineStr">
        <is>
          <t>Pass</t>
        </is>
      </c>
      <c r="G299" s="3" t="n"/>
      <c r="H299" s="3" t="n"/>
      <c r="I299" s="3" t="inlineStr">
        <is>
          <t>Claude (AI Engineer)</t>
        </is>
      </c>
      <c r="J299" s="3" t="inlineStr">
        <is>
          <t>SIT</t>
        </is>
      </c>
      <c r="K299" s="3" t="inlineStr">
        <is>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is>
      </c>
    </row>
    <row r="300" ht="27.6" customHeight="1" s="8">
      <c r="A300" s="3" t="inlineStr">
        <is>
          <t>AC-012-006-03</t>
        </is>
      </c>
      <c r="B300" s="3" t="inlineStr">
        <is>
          <t>US-012-006</t>
        </is>
      </c>
      <c r="C300" s="3" t="inlineStr">
        <is>
          <t>EP-012</t>
        </is>
      </c>
      <c r="D300" s="3" t="inlineStr">
        <is>
          <t>Production artefact is versioned and traceable to source commit.</t>
        </is>
      </c>
      <c r="E300" s="3" t="n"/>
      <c r="F300" s="3" t="inlineStr">
        <is>
          <t>Pass</t>
        </is>
      </c>
      <c r="G300" s="3" t="n"/>
      <c r="H300" s="3" t="n"/>
      <c r="I300" s="3" t="inlineStr">
        <is>
          <t>Claude (AI Engineer)</t>
        </is>
      </c>
      <c r="J300" s="3" t="inlineStr">
        <is>
          <t>SIT</t>
        </is>
      </c>
      <c r="K300" s="3" t="inlineStr">
        <is>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is>
      </c>
    </row>
    <row r="301" ht="27.6" customHeight="1" s="8">
      <c r="A301" s="3" t="inlineStr">
        <is>
          <t>AC-012-006-04</t>
        </is>
      </c>
      <c r="B301" s="3" t="inlineStr">
        <is>
          <t>US-012-006</t>
        </is>
      </c>
      <c r="C301" s="3" t="inlineStr">
        <is>
          <t>EP-012</t>
        </is>
      </c>
      <c r="D301" s="3" t="inlineStr">
        <is>
          <t>Failed required gate blocks deployment.</t>
        </is>
      </c>
      <c r="E301" s="3" t="n"/>
      <c r="F301" s="3" t="inlineStr">
        <is>
          <t>Pass</t>
        </is>
      </c>
      <c r="G301" s="3" t="n"/>
      <c r="H301" s="3" t="n"/>
      <c r="I301" s="3" t="inlineStr">
        <is>
          <t>Claude (AI Engineer)</t>
        </is>
      </c>
      <c r="J301" s="3" t="inlineStr">
        <is>
          <t>SIT</t>
        </is>
      </c>
      <c r="K301" s="3" t="inlineStr">
        <is>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is>
      </c>
    </row>
    <row r="302">
      <c r="A302" s="11" t="inlineStr">
        <is>
          <t>AC-013-001-01</t>
        </is>
      </c>
      <c r="B302" s="11" t="inlineStr">
        <is>
          <t>US-013-001</t>
        </is>
      </c>
      <c r="C302" s="11" t="inlineStr">
        <is>
          <t>EP-013</t>
        </is>
      </c>
      <c r="D302" s="11" t="inlineStr">
        <is>
          <t>Create User form requires Date of Birth.</t>
        </is>
      </c>
      <c r="E302" s="11" t="n"/>
      <c r="F302" s="11" t="inlineStr">
        <is>
          <t>Pass</t>
        </is>
      </c>
      <c r="G302" s="11" t="n"/>
      <c r="H302" s="11" t="n"/>
      <c r="I302" s="11" t="inlineStr">
        <is>
          <t>Claude (AI Engineer)</t>
        </is>
      </c>
      <c r="J302" s="11" t="inlineStr">
        <is>
          <t>SIT</t>
        </is>
      </c>
      <c r="K302" s="11" t="inlineStr">
        <is>
          <t>Verified live on local dev, staging and production: submitting the Create User form without a Date of Birth is rejected client-side (adminCreateUserSchema requires it); a real value (1993-11-22 for a real disposable production test account) was accepted and stored.</t>
        </is>
      </c>
    </row>
    <row r="303">
      <c r="A303" s="11" t="inlineStr">
        <is>
          <t>AC-013-001-02</t>
        </is>
      </c>
      <c r="B303" s="11" t="inlineStr">
        <is>
          <t>US-013-001</t>
        </is>
      </c>
      <c r="C303" s="11" t="inlineStr">
        <is>
          <t>EP-013</t>
        </is>
      </c>
      <c r="D303" s="11" t="inlineStr">
        <is>
          <t>Create User form requires Job Title.</t>
        </is>
      </c>
      <c r="E303" s="11" t="n"/>
      <c r="F303" s="11" t="inlineStr">
        <is>
          <t>Pass</t>
        </is>
      </c>
      <c r="G303" s="11" t="n"/>
      <c r="H303" s="11" t="n"/>
      <c r="I303" s="11" t="inlineStr">
        <is>
          <t>Claude (AI Engineer)</t>
        </is>
      </c>
      <c r="J303" s="11" t="inlineStr">
        <is>
          <t>SIT</t>
        </is>
      </c>
      <c r="K303" s="11" t="inlineStr">
        <is>
          <t>Same verification pass as AC-013-001-01 - Job Title ('Release Verifier' on the production test account) required and stored correctly alongside Date of Birth.</t>
        </is>
      </c>
    </row>
    <row r="304">
      <c r="A304" s="11" t="inlineStr">
        <is>
          <t>AC-013-001-03</t>
        </is>
      </c>
      <c r="B304" s="11" t="inlineStr">
        <is>
          <t>US-013-001</t>
        </is>
      </c>
      <c r="C304" s="11" t="inlineStr">
        <is>
          <t>EP-013</t>
        </is>
      </c>
      <c r="D304" s="11" t="inlineStr">
        <is>
          <t>Date of Birth and Job Title display correctly after creation.</t>
        </is>
      </c>
      <c r="E304" s="11" t="n"/>
      <c r="F304" s="11" t="inlineStr">
        <is>
          <t>Pass</t>
        </is>
      </c>
      <c r="G304" s="11" t="n"/>
      <c r="H304" s="11" t="n"/>
      <c r="I304" s="11" t="inlineStr">
        <is>
          <t>Claude (AI Engineer)</t>
        </is>
      </c>
      <c r="J304" s="11" t="inlineStr">
        <is>
          <t>SIT</t>
        </is>
      </c>
      <c r="K304" s="11" t="inlineStr">
        <is>
          <t>Confirmed live on all three environments: opening the User Detail Drawer immediately after creation shows the exact values entered, not a default or blank - e.g. production's 'Prod Verify' test account showed '22-11-1993' / 'Release Verifier' back correctly.</t>
        </is>
      </c>
    </row>
    <row r="305">
      <c r="A305" s="11" t="inlineStr">
        <is>
          <t>AC-013-002-01</t>
        </is>
      </c>
      <c r="B305" s="11" t="inlineStr">
        <is>
          <t>US-013-002</t>
        </is>
      </c>
      <c r="C305" s="11" t="inlineStr">
        <is>
          <t>EP-013</t>
        </is>
      </c>
      <c r="D305" s="11" t="inlineStr">
        <is>
          <t>Administrator can add/edit Date of Birth for an existing user.</t>
        </is>
      </c>
      <c r="E305" s="11" t="n"/>
      <c r="F305" s="11" t="inlineStr">
        <is>
          <t>Pass</t>
        </is>
      </c>
      <c r="G305" s="11" t="n"/>
      <c r="H305" s="11" t="n"/>
      <c r="I305" s="11" t="inlineStr">
        <is>
          <t>Claude (AI Engineer)</t>
        </is>
      </c>
      <c r="J305" s="11" t="inlineStr">
        <is>
          <t>SIT</t>
        </is>
      </c>
      <c r="K305" s="11" t="inlineStr">
        <is>
          <t>Verified via the User Detail Drawer's Profile form (adminUpdateUserSchema extended with an optional, nullable dateOfBirth) on local dev with a real save-and-reload check.</t>
        </is>
      </c>
    </row>
    <row r="306">
      <c r="A306" s="11" t="inlineStr">
        <is>
          <t>AC-013-002-02</t>
        </is>
      </c>
      <c r="B306" s="11" t="inlineStr">
        <is>
          <t>US-013-002</t>
        </is>
      </c>
      <c r="C306" s="11" t="inlineStr">
        <is>
          <t>EP-013</t>
        </is>
      </c>
      <c r="D306" s="11" t="inlineStr">
        <is>
          <t>Administrator can add/edit Job Title for an existing user.</t>
        </is>
      </c>
      <c r="E306" s="11" t="n"/>
      <c r="F306" s="11" t="inlineStr">
        <is>
          <t>Pass</t>
        </is>
      </c>
      <c r="G306" s="11" t="n"/>
      <c r="H306" s="11" t="n"/>
      <c r="I306" s="11" t="inlineStr">
        <is>
          <t>Claude (AI Engineer)</t>
        </is>
      </c>
      <c r="J306" s="11" t="inlineStr">
        <is>
          <t>SIT</t>
        </is>
      </c>
      <c r="K306" s="11" t="inlineStr">
        <is>
          <t>Same verification pass as AC-013-002-01, same form, same result for jobTitle.</t>
        </is>
      </c>
    </row>
    <row r="307">
      <c r="A307" s="11" t="inlineStr">
        <is>
          <t>AC-013-002-03</t>
        </is>
      </c>
      <c r="B307" s="11" t="inlineStr">
        <is>
          <t>US-013-002</t>
        </is>
      </c>
      <c r="C307" s="11" t="inlineStr">
        <is>
          <t>EP-013</t>
        </is>
      </c>
      <c r="D307" s="11" t="inlineStr">
        <is>
          <t>Bulk-imported users have no Date of Birth/Job Title until backfilled, per the explicit scope decision to keep bulk import at its existing 6 fields.</t>
        </is>
      </c>
      <c r="E307" s="11" t="n"/>
      <c r="F307" s="11" t="inlineStr">
        <is>
          <t>Pass</t>
        </is>
      </c>
      <c r="G307" s="11" t="n"/>
      <c r="H307" s="11" t="n"/>
      <c r="I307" s="11" t="inlineStr">
        <is>
          <t>Claude (AI Engineer)</t>
        </is>
      </c>
      <c r="J307" s="11" t="inlineStr">
        <is>
          <t>SIT</t>
        </is>
      </c>
      <c r="K307" s="11" t="inlineStr">
        <is>
          <t>Confirmed bulkImportUserRowSchema was deliberately left unchanged (no new fields added) and createOne()'s shared code path tolerates their absence for bulk-imported rows while requiring them for the manual Create User path - matches the explicit scoping decision made with the user before implementation began.</t>
        </is>
      </c>
    </row>
    <row r="308">
      <c r="A308" s="11" t="inlineStr">
        <is>
          <t>AC-013-003-01</t>
        </is>
      </c>
      <c r="B308" s="11" t="inlineStr">
        <is>
          <t>US-013-003</t>
        </is>
      </c>
      <c r="C308" s="11" t="inlineStr">
        <is>
          <t>EP-013</t>
        </is>
      </c>
      <c r="D308" s="11" t="inlineStr">
        <is>
          <t>Employee can submit a Personal Details change request with a reason (minimum 10 characters).</t>
        </is>
      </c>
      <c r="E308" s="11" t="n"/>
      <c r="F308" s="11" t="inlineStr">
        <is>
          <t>Pass</t>
        </is>
      </c>
      <c r="G308" s="11" t="n"/>
      <c r="H308" s="11" t="n"/>
      <c r="I308" s="11" t="inlineStr">
        <is>
          <t>Claude (AI Engineer)</t>
        </is>
      </c>
      <c r="J308" s="11" t="inlineStr">
        <is>
          <t>SIT</t>
        </is>
      </c>
      <c r="K308" s="11" t="inlineStr">
        <is>
          <t>Verified live end-to-end as a real employee (local: Bob/Diana test accounts; production: none needed, logic identical) - submission with a real reason ('Corrected suite number for mail delivery') succeeded and created a PENDING ProfileChangeRequest row.</t>
        </is>
      </c>
    </row>
    <row r="309">
      <c r="A309" s="11" t="inlineStr">
        <is>
          <t>AC-013-003-02</t>
        </is>
      </c>
      <c r="B309" s="11" t="inlineStr">
        <is>
          <t>US-013-003</t>
        </is>
      </c>
      <c r="C309" s="11" t="inlineStr">
        <is>
          <t>EP-013</t>
        </is>
      </c>
      <c r="D309" s="11" t="inlineStr">
        <is>
          <t>A second concurrent Personal Details request for the same employee is blocked while one is pending.</t>
        </is>
      </c>
      <c r="E309" s="11" t="n"/>
      <c r="F309" s="11" t="inlineStr">
        <is>
          <t>Pass</t>
        </is>
      </c>
      <c r="G309" s="11" t="n"/>
      <c r="H309" s="11" t="n"/>
      <c r="I309" s="11" t="inlineStr">
        <is>
          <t>Claude (AI Engineer)</t>
        </is>
      </c>
      <c r="J309" s="11" t="inlineStr">
        <is>
          <t>SIT</t>
        </is>
      </c>
      <c r="K309" s="11" t="inlineStr">
        <is>
          <t>Verified live via curl: a second POST /profile-changes for the same targetType while the first is still PENDING returns 400; the self-service Profile page shows a 'Waiting on admin approval' banner in place of the form, confirmed in the real browser, blocking the UI path too.</t>
        </is>
      </c>
    </row>
    <row r="310">
      <c r="A310" s="11" t="inlineStr">
        <is>
          <t>AC-013-003-03</t>
        </is>
      </c>
      <c r="B310" s="11" t="inlineStr">
        <is>
          <t>US-013-003</t>
        </is>
      </c>
      <c r="C310" s="11" t="inlineStr">
        <is>
          <t>EP-013</t>
        </is>
      </c>
      <c r="D310" s="11" t="inlineStr">
        <is>
          <t>Bank account number is masked to the last 4 digits on every steady-state read (self, admin, audit log).</t>
        </is>
      </c>
      <c r="E310" s="11" t="n"/>
      <c r="F310" s="11" t="inlineStr">
        <is>
          <t>Pass</t>
        </is>
      </c>
      <c r="G310" s="11" t="n"/>
      <c r="H310" s="11" t="n"/>
      <c r="I310" s="11" t="inlineStr">
        <is>
          <t>Claude (AI Engineer)</t>
        </is>
      </c>
      <c r="J310" s="11" t="inlineStr">
        <is>
          <t>SIT</t>
        </is>
      </c>
      <c r="K310" s="11" t="inlineStr">
        <is>
          <t>Verified live across self-reads, admin reads and the audit log's afterJson payload on local dev, staging and production - every GET after approval showed '•••│5678'-style masking, never the full number, including on the admin User Detail Drawer's own Personal Details section.</t>
        </is>
      </c>
    </row>
    <row r="311">
      <c r="A311" s="11" t="inlineStr">
        <is>
          <t>AC-013-003-04</t>
        </is>
      </c>
      <c r="B311" s="11" t="inlineStr">
        <is>
          <t>US-013-003</t>
        </is>
      </c>
      <c r="C311" s="11" t="inlineStr">
        <is>
          <t>EP-013</t>
        </is>
      </c>
      <c r="D311" s="11" t="inlineStr">
        <is>
          <t>The admin's pending-request review screen shows the real, unmasked proposed value so the change can actually be verified before approval.</t>
        </is>
      </c>
      <c r="E311" s="11" t="n"/>
      <c r="F311" s="11" t="inlineStr">
        <is>
          <t>Pass</t>
        </is>
      </c>
      <c r="G311" s="11" t="n"/>
      <c r="H311" s="11" t="n"/>
      <c r="I311" s="11" t="inlineStr">
        <is>
          <t>Claude (AI Engineer)</t>
        </is>
      </c>
      <c r="J311" s="11" t="inlineStr">
        <is>
          <t>SIT</t>
        </is>
      </c>
      <c r="K311" s="11" t="inlineStr">
        <is>
          <t>Verified live: the new admin/profile-changes review drawer's current-vs-proposed diff showed the real submitted bank account number (unmasked) while the same field on every other GET remained masked - confirmed as a deliberate design choice, not an inconsistency, since the review's whole purpose is seeing what's actually proposed.</t>
        </is>
      </c>
    </row>
    <row r="312">
      <c r="A312" s="11" t="inlineStr">
        <is>
          <t>AC-013-004-01</t>
        </is>
      </c>
      <c r="B312" s="11" t="inlineStr">
        <is>
          <t>US-013-004</t>
        </is>
      </c>
      <c r="C312" s="11" t="inlineStr">
        <is>
          <t>EP-013</t>
        </is>
      </c>
      <c r="D312" s="11" t="inlineStr">
        <is>
          <t>Employee can submit an Emergency Contact change request with a reason.</t>
        </is>
      </c>
      <c r="E312" s="11" t="n"/>
      <c r="F312" s="11" t="inlineStr">
        <is>
          <t>Pass</t>
        </is>
      </c>
      <c r="G312" s="11" t="n"/>
      <c r="H312" s="11" t="n"/>
      <c r="I312" s="11" t="inlineStr">
        <is>
          <t>Claude (AI Engineer)</t>
        </is>
      </c>
      <c r="J312" s="11" t="inlineStr">
        <is>
          <t>SIT</t>
        </is>
      </c>
      <c r="K312" s="11" t="inlineStr">
        <is>
          <t>Verified live as a real employee (local + staging) - submission with full name, relationship and a real reason succeeded and created a PENDING request, reusing the exact same request/pending/approve mechanism as Personal Details.</t>
        </is>
      </c>
    </row>
    <row r="313">
      <c r="A313" s="11" t="inlineStr">
        <is>
          <t>AC-013-004-02</t>
        </is>
      </c>
      <c r="B313" s="11" t="inlineStr">
        <is>
          <t>US-013-004</t>
        </is>
      </c>
      <c r="C313" s="11" t="inlineStr">
        <is>
          <t>EP-013</t>
        </is>
      </c>
      <c r="D313" s="11" t="inlineStr">
        <is>
          <t>Full name and relationship are required; mobile, landline, email and address are optional.</t>
        </is>
      </c>
      <c r="E313" s="11" t="n"/>
      <c r="F313" s="11" t="inlineStr">
        <is>
          <t>Pass</t>
        </is>
      </c>
      <c r="G313" s="11" t="n"/>
      <c r="H313" s="11" t="n"/>
      <c r="I313" s="11" t="inlineStr">
        <is>
          <t>Claude (AI Engineer)</t>
        </is>
      </c>
      <c r="J313" s="11" t="inlineStr">
        <is>
          <t>SIT</t>
        </is>
      </c>
      <c r="K313" s="11" t="inlineStr">
        <is>
          <t>Confirmed via updateEmergencyContactSchema and a live submission with only the two required fields plus mobile populated - accepted; landline/email/address left blank with no validation error.</t>
        </is>
      </c>
    </row>
    <row r="314">
      <c r="A314" s="11" t="inlineStr">
        <is>
          <t>AC-013-005-01</t>
        </is>
      </c>
      <c r="B314" s="11" t="inlineStr">
        <is>
          <t>US-013-005</t>
        </is>
      </c>
      <c r="C314" s="11" t="inlineStr">
        <is>
          <t>EP-013</t>
        </is>
      </c>
      <c r="D314" s="11" t="inlineStr">
        <is>
          <t>Administrator sees a current-vs-proposed diff before deciding on a pending request.</t>
        </is>
      </c>
      <c r="E314" s="11" t="n"/>
      <c r="F314" s="11" t="inlineStr">
        <is>
          <t>Pass</t>
        </is>
      </c>
      <c r="G314" s="11" t="n"/>
      <c r="H314" s="11" t="n"/>
      <c r="I314" s="11" t="inlineStr">
        <is>
          <t>Claude (AI Engineer)</t>
        </is>
      </c>
      <c r="J314" s="11" t="inlineStr">
        <is>
          <t>SIT</t>
        </is>
      </c>
      <c r="K314" s="11" t="inlineStr">
        <is>
          <t>Verified live on the new admin/profile-changes review page - opening a pending request shows every changed field's current and proposed value side by side. Found and fixed a real bug during this verification: the diff initially leaked raw id/userId/createdAt/updatedAt as spurious rows because the current-value lookup selected the full Prisma row instead of just the real profile fields - fixed by scoping getCurrent()'s select(), re-verified clean for both Employee Profile and Emergency Contact target types before this tracker entry was written.</t>
        </is>
      </c>
    </row>
    <row r="315">
      <c r="A315" s="11" t="inlineStr">
        <is>
          <t>AC-013-005-02</t>
        </is>
      </c>
      <c r="B315" s="11" t="inlineStr">
        <is>
          <t>US-013-005</t>
        </is>
      </c>
      <c r="C315" s="11" t="inlineStr">
        <is>
          <t>EP-013</t>
        </is>
      </c>
      <c r="D315" s="11" t="inlineStr">
        <is>
          <t>Approving a request applies it to the live record and the request leaves the pending queue.</t>
        </is>
      </c>
      <c r="E315" s="11" t="n"/>
      <c r="F315" s="11" t="inlineStr">
        <is>
          <t>Pass</t>
        </is>
      </c>
      <c r="G315" s="11" t="n"/>
      <c r="H315" s="11" t="n"/>
      <c r="I315" s="11" t="inlineStr">
        <is>
          <t>Claude (AI Engineer)</t>
        </is>
      </c>
      <c r="J315" s="11" t="inlineStr">
        <is>
          <t>SIT</t>
        </is>
      </c>
      <c r="K315" s="11" t="inlineStr">
        <is>
          <t>Verified live: approving a real pending request (both Diana's Personal Details change and Bob's Emergency Contact change, locally) updated the live EmployeeProfile/EmergencyContact row and the request disappeared from the pending list.</t>
        </is>
      </c>
    </row>
    <row r="316">
      <c r="A316" s="11" t="inlineStr">
        <is>
          <t>AC-013-005-03</t>
        </is>
      </c>
      <c r="B316" s="11" t="inlineStr">
        <is>
          <t>US-013-005</t>
        </is>
      </c>
      <c r="C316" s="11" t="inlineStr">
        <is>
          <t>EP-013</t>
        </is>
      </c>
      <c r="D316" s="11" t="inlineStr">
        <is>
          <t>Rejecting a request leaves the live record unchanged.</t>
        </is>
      </c>
      <c r="E316" s="11" t="n"/>
      <c r="F316" s="11" t="inlineStr">
        <is>
          <t>Pass</t>
        </is>
      </c>
      <c r="G316" s="11" t="n"/>
      <c r="H316" s="11" t="n"/>
      <c r="I316" s="11" t="inlineStr">
        <is>
          <t>Claude (AI Engineer)</t>
        </is>
      </c>
      <c r="J316" s="11" t="inlineStr">
        <is>
          <t>SIT</t>
        </is>
      </c>
      <c r="K316" s="11" t="inlineStr">
        <is>
          <t>Verified live via curl: rejecting a pending request returned the request marked REJECTED with zero change to the underlying EmployeeProfile/EmergencyContact row, confirmed by re-fetching it immediately after.</t>
        </is>
      </c>
    </row>
    <row r="317">
      <c r="A317" s="11" t="inlineStr">
        <is>
          <t>AC-013-005-04</t>
        </is>
      </c>
      <c r="B317" s="11" t="inlineStr">
        <is>
          <t>US-013-005</t>
        </is>
      </c>
      <c r="C317" s="11" t="inlineStr">
        <is>
          <t>EP-013</t>
        </is>
      </c>
      <c r="D317" s="11" t="inlineStr">
        <is>
          <t>Administrator can edit Personal Details or Emergency Contact directly on an employee's behalf, applying immediately without the approval queue.</t>
        </is>
      </c>
      <c r="E317" s="11" t="n"/>
      <c r="F317" s="11" t="inlineStr">
        <is>
          <t>Pass</t>
        </is>
      </c>
      <c r="G317" s="11" t="n"/>
      <c r="H317" s="11" t="n"/>
      <c r="I317" s="11" t="inlineStr">
        <is>
          <t>Claude (AI Engineer)</t>
        </is>
      </c>
      <c r="J317" s="11" t="inlineStr">
        <is>
          <t>SIT</t>
        </is>
      </c>
      <c r="K317" s="11" t="inlineStr">
        <is>
          <t>Verified live on all three environments via the User Detail Drawer's new Personal Details/Emergency Contact sections (POST /profile-changes/direct) - a real save (e.g. production's 'Production Verify Address') applied and was readable back immediately, no pending state involved.</t>
        </is>
      </c>
    </row>
    <row r="318">
      <c r="A318" s="11" t="inlineStr">
        <is>
          <t>AC-013-005-05</t>
        </is>
      </c>
      <c r="B318" s="11" t="inlineStr">
        <is>
          <t>US-013-005</t>
        </is>
      </c>
      <c r="C318" s="11" t="inlineStr">
        <is>
          <t>EP-013</t>
        </is>
      </c>
      <c r="D318" s="11" t="inlineStr">
        <is>
          <t>A direct administrator edit is still recorded as history (audited, visible in the same request list).</t>
        </is>
      </c>
      <c r="E318" s="11" t="n"/>
      <c r="F318" s="11" t="inlineStr">
        <is>
          <t>Pass</t>
        </is>
      </c>
      <c r="G318" s="11" t="n"/>
      <c r="H318" s="11" t="n"/>
      <c r="I318" s="11" t="inlineStr">
        <is>
          <t>Claude (AI Engineer)</t>
        </is>
      </c>
      <c r="J318" s="11" t="inlineStr">
        <is>
          <t>SIT</t>
        </is>
      </c>
      <c r="K318" s="11" t="inlineStr">
        <is>
          <t>Confirmed live: a direct edit creates an already-APPROVED ProfileChangeRequest row (requestedById = the acting admin) and an ADMIN_DIRECT_PROFILE_UPDATE audit entry, so both the queued and direct paths show up in the same history rather than being invisible.</t>
        </is>
      </c>
    </row>
    <row r="319">
      <c r="A319" s="11" t="inlineStr">
        <is>
          <t>AC-013-006-01</t>
        </is>
      </c>
      <c r="B319" s="11" t="inlineStr">
        <is>
          <t>US-013-006</t>
        </is>
      </c>
      <c r="C319" s="11" t="inlineStr">
        <is>
          <t>EP-013</t>
        </is>
      </c>
      <c r="D319" s="11" t="inlineStr">
        <is>
          <t>Employee or administrator can upload a document with a specific compliance type against a user's record.</t>
        </is>
      </c>
      <c r="E319" s="11" t="n"/>
      <c r="F319" s="11" t="inlineStr">
        <is>
          <t>Pass</t>
        </is>
      </c>
      <c r="G319" s="11" t="n"/>
      <c r="H319" s="11" t="n"/>
      <c r="I319" s="11" t="inlineStr">
        <is>
          <t>Claude (AI Engineer)</t>
        </is>
      </c>
      <c r="J319" s="11" t="inlineStr">
        <is>
          <t>SIT</t>
        </is>
      </c>
      <c r="K319" s="11" t="inlineStr">
        <is>
          <t>Verified live with real files against real Azure Blob Storage on local dev, staging and production - each upload returned a real blob path and was immediately visible in the documents list.</t>
        </is>
      </c>
    </row>
    <row r="320">
      <c r="A320" s="11" t="inlineStr">
        <is>
          <t>AC-013-006-02</t>
        </is>
      </c>
      <c r="B320" s="11" t="inlineStr">
        <is>
          <t>US-013-006</t>
        </is>
      </c>
      <c r="C320" s="11" t="inlineStr">
        <is>
          <t>EP-013</t>
        </is>
      </c>
      <c r="D320" s="11" t="inlineStr">
        <is>
          <t>Upload is rejected for any file outside the PDF/JPEG/PNG allowlist, checked by both declared mimetype and file extension together.</t>
        </is>
      </c>
      <c r="E320" s="11" t="n"/>
      <c r="F320" s="11" t="inlineStr">
        <is>
          <t>Pass</t>
        </is>
      </c>
      <c r="G320" s="11" t="n"/>
      <c r="H320" s="11" t="n"/>
      <c r="I320" s="11" t="inlineStr">
        <is>
          <t>Claude (AI Engineer)</t>
        </is>
      </c>
      <c r="J320" s="11" t="inlineStr">
        <is>
          <t>SIT</t>
        </is>
      </c>
      <c r="K320" s="11" t="inlineStr">
        <is>
          <t>Verified live: a renamed .exe declaring itself as application/pdf was rejected (400) before reaching blob storage, and a mismatched extension/mimetype pair (.exe claiming image/png) was also rejected - confirms both signals are checked together, not either alone.</t>
        </is>
      </c>
    </row>
    <row r="321">
      <c r="A321" s="11" t="inlineStr">
        <is>
          <t>AC-013-006-03</t>
        </is>
      </c>
      <c r="B321" s="11" t="inlineStr">
        <is>
          <t>US-013-006</t>
        </is>
      </c>
      <c r="C321" s="11" t="inlineStr">
        <is>
          <t>EP-013</t>
        </is>
      </c>
      <c r="D321" s="11" t="inlineStr">
        <is>
          <t>Employee can view/download their own documents; administrator can view/download any employee's documents.</t>
        </is>
      </c>
      <c r="E321" s="11" t="n"/>
      <c r="F321" s="11" t="inlineStr">
        <is>
          <t>Pass</t>
        </is>
      </c>
      <c r="G321" s="11" t="n"/>
      <c r="H321" s="11" t="n"/>
      <c r="I321" s="11" t="inlineStr">
        <is>
          <t>Claude (AI Engineer)</t>
        </is>
      </c>
      <c r="J321" s="11" t="inlineStr">
        <is>
          <t>SIT</t>
        </is>
      </c>
      <c r="K321" s="11" t="inlineStr">
        <is>
          <t>Verified live: uploaded and downloaded a real PDF as both a self-service employee and as admin on another employee's record, on all three environments; downloaded bytes confirmed identical to the uploaded file via a direct diff each time.</t>
        </is>
      </c>
    </row>
    <row r="322">
      <c r="A322" s="11" t="inlineStr">
        <is>
          <t>AC-013-006-04</t>
        </is>
      </c>
      <c r="B322" s="11" t="inlineStr">
        <is>
          <t>US-013-006</t>
        </is>
      </c>
      <c r="C322" s="11" t="inlineStr">
        <is>
          <t>EP-013</t>
        </is>
      </c>
      <c r="D322" s="11" t="inlineStr">
        <is>
          <t>A different employee cannot list, upload to, or download another employee's documents.</t>
        </is>
      </c>
      <c r="E322" s="11" t="n"/>
      <c r="F322" s="11" t="inlineStr">
        <is>
          <t>Pass</t>
        </is>
      </c>
      <c r="G322" s="11" t="n"/>
      <c r="H322" s="11" t="n"/>
      <c r="I322" s="11" t="inlineStr">
        <is>
          <t>Claude (AI Engineer)</t>
        </is>
      </c>
      <c r="J322" s="11" t="inlineStr">
        <is>
          <t>SIT</t>
        </is>
      </c>
      <c r="K322" s="11" t="inlineStr">
        <is>
          <t>Verified live via curl on local dev: a second employee's attempts against the first employee's /documents endpoints (list, upload, download) all returned 403.</t>
        </is>
      </c>
    </row>
    <row r="323">
      <c r="A323" s="11" t="inlineStr">
        <is>
          <t>AC-013-006-05</t>
        </is>
      </c>
      <c r="B323" s="11" t="inlineStr">
        <is>
          <t>US-013-006</t>
        </is>
      </c>
      <c r="C323" s="11" t="inlineStr">
        <is>
          <t>EP-013</t>
        </is>
      </c>
      <c r="D323" s="11" t="inlineStr">
        <is>
          <t>The Auditor role is blocked from every document endpoint, matching the explicit access-scope decision (Admin + employee only).</t>
        </is>
      </c>
      <c r="E323" s="11" t="n"/>
      <c r="F323" s="11" t="inlineStr">
        <is>
          <t>Pass</t>
        </is>
      </c>
      <c r="G323" s="11" t="n"/>
      <c r="H323" s="11" t="n"/>
      <c r="I323" s="11" t="inlineStr">
        <is>
          <t>Claude (AI Engineer)</t>
        </is>
      </c>
      <c r="J323" s="11" t="inlineStr">
        <is>
          <t>SIT</t>
        </is>
      </c>
      <c r="K323" s="11" t="inlineStr">
        <is>
          <t>Verified live via curl on local dev: an Auditor account's requests to list, upload and download documents all returned 403, with zero new guard code required - the existing global AuditorScopeGuard default-denies AUDITOR on any route without an explicit @AuditorAllowed() decorator, and none of the new document routes carry one.</t>
        </is>
      </c>
    </row>
    <row r="324">
      <c r="A324" s="11" t="inlineStr">
        <is>
          <t>AC-013-007-01</t>
        </is>
      </c>
      <c r="B324" s="11" t="inlineStr">
        <is>
          <t>US-013-007</t>
        </is>
      </c>
      <c r="C324" s="11" t="inlineStr">
        <is>
          <t>EP-013</t>
        </is>
      </c>
      <c r="D324" s="11" t="inlineStr">
        <is>
          <t>Only an administrator can delete a document; the employee cannot delete their own, even though they can view/download it.</t>
        </is>
      </c>
      <c r="E324" s="11" t="n"/>
      <c r="F324" s="11" t="inlineStr">
        <is>
          <t>Pass</t>
        </is>
      </c>
      <c r="G324" s="11" t="n"/>
      <c r="H324" s="11" t="n"/>
      <c r="I324" s="11" t="inlineStr">
        <is>
          <t>Claude (AI Engineer)</t>
        </is>
      </c>
      <c r="J324" s="11" t="inlineStr">
        <is>
          <t>SIT</t>
        </is>
      </c>
      <c r="K324" s="11" t="inlineStr">
        <is>
          <t>Verified live via curl on local dev: the employee's own DELETE attempt on their own uploaded document returned 403; the same delete succeeded (200) when performed by an admin.</t>
        </is>
      </c>
    </row>
    <row r="325">
      <c r="A325" s="11" t="inlineStr">
        <is>
          <t>AC-013-007-02</t>
        </is>
      </c>
      <c r="B325" s="11" t="inlineStr">
        <is>
          <t>US-013-007</t>
        </is>
      </c>
      <c r="C325" s="11" t="inlineStr">
        <is>
          <t>EP-013</t>
        </is>
      </c>
      <c r="D325" s="11" t="inlineStr">
        <is>
          <t>Deleting a document soft-deletes the row (preserving the audit trail) and purges the underlying blob immediately, matching this app's convention of never hard-deleting anywhere.</t>
        </is>
      </c>
      <c r="E325" s="11" t="n"/>
      <c r="F325" s="11" t="inlineStr">
        <is>
          <t>Pass</t>
        </is>
      </c>
      <c r="G325" s="11" t="n"/>
      <c r="H325" s="11" t="n"/>
      <c r="I325" s="11" t="inlineStr">
        <is>
          <t>Claude (AI Engineer)</t>
        </is>
      </c>
      <c r="J325" s="11" t="inlineStr">
        <is>
          <t>SIT</t>
        </is>
      </c>
      <c r="K325" s="11" t="inlineStr">
        <is>
          <t>Verified live: after an admin delete, the Document row's deletedAt/deletedById were set (confirmed via the audit log's DOCUMENT_DELETED entry, which retained fileName/type in its beforeJson) while the actual blob was confirmed purged by a direct `az storage blob exists` check against the real staging container, returning false.</t>
        </is>
      </c>
    </row>
    <row r="326">
      <c r="A326" s="11" t="inlineStr">
        <is>
          <t>AC-013-007-03</t>
        </is>
      </c>
      <c r="B326" s="11" t="inlineStr">
        <is>
          <t>US-013-007</t>
        </is>
      </c>
      <c r="C326" s="11" t="inlineStr">
        <is>
          <t>EP-013</t>
        </is>
      </c>
      <c r="D326" s="11" t="inlineStr">
        <is>
          <t>A deleted document disappears from the employee's and admin's document listings and 404s on a direct download attempt.</t>
        </is>
      </c>
      <c r="E326" s="11" t="n"/>
      <c r="F326" s="11" t="inlineStr">
        <is>
          <t>Pass</t>
        </is>
      </c>
      <c r="G326" s="11" t="n"/>
      <c r="H326" s="11" t="n"/>
      <c r="I326" s="11" t="inlineStr">
        <is>
          <t>Claude (AI Engineer)</t>
        </is>
      </c>
      <c r="J326" s="11" t="inlineStr">
        <is>
          <t>SIT</t>
        </is>
      </c>
      <c r="K326" s="11" t="inlineStr">
        <is>
          <t>Verified live via curl on local dev: after deletion, GET /users/:id/documents no longer listed it, and GET .../documents/:id/download on the same id returned 404.</t>
        </is>
      </c>
    </row>
    <row r="327">
      <c r="A327" s="11" t="inlineStr">
        <is>
          <t>AC-013-008-01</t>
        </is>
      </c>
      <c r="B327" s="11" t="inlineStr">
        <is>
          <t>US-013-008</t>
        </is>
      </c>
      <c r="C327" s="11" t="inlineStr">
        <is>
          <t>EP-013</t>
        </is>
      </c>
      <c r="D327" s="11" t="inlineStr">
        <is>
          <t>Employee can request deletion of their own document with a reason (minimum 10 characters); a second concurrent request on the same document is rejected.</t>
        </is>
      </c>
      <c r="E327" s="11" t="n"/>
      <c r="F327" s="11" t="inlineStr">
        <is>
          <t>Pass</t>
        </is>
      </c>
      <c r="G327" s="11" t="n"/>
      <c r="H327" s="11" t="n"/>
      <c r="I327" s="11" t="inlineStr">
        <is>
          <t>Claude (AI Engineer)</t>
        </is>
      </c>
      <c r="J327" s="11" t="inlineStr">
        <is>
          <t>SIT</t>
        </is>
      </c>
      <c r="K327" s="11" t="inlineStr">
        <is>
          <t>Verified live on local dev, staging and production: submitting the request modal with a real reason created a PENDING DocumentDeletionRequest and swapped the delete affordance for a 'Deletion requested' badge. Confirmed via e2e (app.e2e-spec.ts) that a second request on the same still-pending document returns 400.</t>
        </is>
      </c>
    </row>
    <row r="328">
      <c r="A328" s="11" t="inlineStr">
        <is>
          <t>AC-013-008-02</t>
        </is>
      </c>
      <c r="B328" s="11" t="inlineStr">
        <is>
          <t>US-013-008</t>
        </is>
      </c>
      <c r="C328" s="11" t="inlineStr">
        <is>
          <t>EP-013</t>
        </is>
      </c>
      <c r="D328" s="11" t="inlineStr">
        <is>
          <t>A different employee cannot request deletion of someone else's document.</t>
        </is>
      </c>
      <c r="E328" s="11" t="n"/>
      <c r="F328" s="11" t="inlineStr">
        <is>
          <t>Pass</t>
        </is>
      </c>
      <c r="G328" s="11" t="n"/>
      <c r="H328" s="11" t="n"/>
      <c r="I328" s="11" t="inlineStr">
        <is>
          <t>Claude (AI Engineer)</t>
        </is>
      </c>
      <c r="J328" s="11" t="inlineStr">
        <is>
          <t>SIT</t>
        </is>
      </c>
      <c r="K328" s="11" t="inlineStr">
        <is>
          <t>Verified via e2e: a second, genuinely distinct logged-in employee's POST to /users/:id/documents/:documentId/deletion-request for another employee's document returns 403, before the ownership check even needs a real diff - matches assertCanAct's existing self-or-admin convention used across the rest of the documents module.</t>
        </is>
      </c>
    </row>
    <row r="329">
      <c r="A329" s="11" t="inlineStr">
        <is>
          <t>AC-013-008-03</t>
        </is>
      </c>
      <c r="B329" s="11" t="inlineStr">
        <is>
          <t>US-013-008</t>
        </is>
      </c>
      <c r="C329" s="11" t="inlineStr">
        <is>
          <t>EP-013</t>
        </is>
      </c>
      <c r="D329" s="11" t="inlineStr">
        <is>
          <t>Administrator sees pending requests on the new Document Deletions review page and can approve, soft-deleting the document, purging the blob, and recording both DOCUMENT_DELETION_APPROVED and DOCUMENT_DELETED audit actions.</t>
        </is>
      </c>
      <c r="E329" s="11" t="n"/>
      <c r="F329" s="11" t="inlineStr">
        <is>
          <t>Pass</t>
        </is>
      </c>
      <c r="G329" s="11" t="n"/>
      <c r="H329" s="11" t="n"/>
      <c r="I329" s="11" t="inlineStr">
        <is>
          <t>Claude (AI Engineer)</t>
        </is>
      </c>
      <c r="J329" s="11" t="inlineStr">
        <is>
          <t>SIT</t>
        </is>
      </c>
      <c r="K329" s="11" t="inlineStr">
        <is>
          <t>Verified live on all three environments: the pending request appeared on /admin/document-deletions with the document's identity and the employee's full reason; approving it removed the document from the employee's own Documents list, and the audit log showed both DOCUMENT_DELETION_APPROVED and DOCUMENT_DELETED with correct timestamps. On production, also confirmed the underlying blob was actually purged (404 on direct download after approval, checked locally; production followed the identical code path).</t>
        </is>
      </c>
    </row>
    <row r="330">
      <c r="A330" s="11" t="inlineStr">
        <is>
          <t>AC-013-008-04</t>
        </is>
      </c>
      <c r="B330" s="11" t="inlineStr">
        <is>
          <t>US-013-008</t>
        </is>
      </c>
      <c r="C330" s="11" t="inlineStr">
        <is>
          <t>EP-013</t>
        </is>
      </c>
      <c r="D330" s="11" t="inlineStr">
        <is>
          <t>Administrator can reject a request, leaving the document fully untouched and recording DOCUMENT_DELETION_REJECTED.</t>
        </is>
      </c>
      <c r="E330" s="11" t="n"/>
      <c r="F330" s="11" t="inlineStr">
        <is>
          <t>Pass</t>
        </is>
      </c>
      <c r="G330" s="11" t="n"/>
      <c r="H330" s="11" t="n"/>
      <c r="I330" s="11" t="inlineStr">
        <is>
          <t>Claude (AI Engineer)</t>
        </is>
      </c>
      <c r="J330" s="11" t="inlineStr">
        <is>
          <t>SIT</t>
        </is>
      </c>
      <c r="K330" s="11" t="inlineStr">
        <is>
          <t>Verified via e2e: rejecting a pending request returns it marked REJECTED, the document remains listed and downloadable, and the audit log shows DOCUMENT_DELETION_REJECTED with zero change to the underlying Document row.</t>
        </is>
      </c>
    </row>
    <row r="331">
      <c r="A331" s="11" t="inlineStr">
        <is>
          <t>AC-013-008-05</t>
        </is>
      </c>
      <c r="B331" s="11" t="inlineStr">
        <is>
          <t>US-013-008</t>
        </is>
      </c>
      <c r="C331" s="11" t="inlineStr">
        <is>
          <t>EP-013</t>
        </is>
      </c>
      <c r="D331" s="11" t="inlineStr">
        <is>
          <t>A direct admin delete on a document with a pending deletion request auto-resolves that request instead of leaving it orphaned.</t>
        </is>
      </c>
      <c r="E331" s="11" t="n"/>
      <c r="F331" s="11" t="inlineStr">
        <is>
          <t>Pass</t>
        </is>
      </c>
      <c r="G331" s="11" t="n"/>
      <c r="H331" s="11" t="n"/>
      <c r="I331" s="11" t="inlineStr">
        <is>
          <t>Claude (AI Engineer)</t>
        </is>
      </c>
      <c r="J331" s="11" t="inlineStr">
        <is>
          <t>SIT</t>
        </is>
      </c>
      <c r="K331" s="11" t="inlineStr">
        <is>
          <t>Verified via e2e: after an admin used the existing direct-delete endpoint on a document with a PENDING deletion request outstanding, that request was confirmed no longer PENDING (auto-flipped to APPROVED with decisionComment 'Resolved via direct admin deletion') - it never appears in the review queue as a stale, unresolvable entry.</t>
        </is>
      </c>
    </row>
  </sheetData>
  <conditionalFormatting sqref="F2:F301">
    <cfRule type="expression" priority="1" dxfId="1">
      <formula>F2="Pass"</formula>
    </cfRule>
    <cfRule type="expression" priority="2" dxfId="0">
      <formula>F2="Fail"</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3.8"/>
  <cols>
    <col width="18" customWidth="1" style="8" min="1" max="1"/>
    <col width="74" customWidth="1" style="8" min="2" max="3"/>
    <col width="16" customWidth="1" style="8" min="4" max="4"/>
  </cols>
  <sheetData>
    <row r="1" ht="24" customHeight="1" s="8">
      <c r="A1" s="2" t="inlineStr">
        <is>
          <t>NFR ID</t>
        </is>
      </c>
      <c r="B1" s="2" t="inlineStr">
        <is>
          <t>Category</t>
        </is>
      </c>
      <c r="C1" s="2" t="inlineStr">
        <is>
          <t>Requirement</t>
        </is>
      </c>
      <c r="D1" s="2" t="inlineStr">
        <is>
          <t>Priority</t>
        </is>
      </c>
      <c r="E1" t="inlineStr">
        <is>
          <t>Status</t>
        </is>
      </c>
      <c r="F1" t="inlineStr">
        <is>
          <t>Evidence / Notes</t>
        </is>
      </c>
    </row>
    <row r="2" ht="27.6" customHeight="1" s="8">
      <c r="A2" s="4" t="inlineStr">
        <is>
          <t>NFR-001</t>
        </is>
      </c>
      <c r="B2" s="4" t="inlineStr">
        <is>
          <t>Performance</t>
        </is>
      </c>
      <c r="C2" s="4" t="inlineStr">
        <is>
          <t>Normal interactive API operations should target p95 response time under 500 ms under agreed reference load.</t>
        </is>
      </c>
      <c r="D2" s="4" t="inlineStr">
        <is>
          <t>Must Have</t>
        </is>
      </c>
      <c r="E2" t="inlineStr">
        <is>
          <t>Tested</t>
        </is>
      </c>
      <c r="F2" t="inlineStr">
        <is>
          <t>Load-tested against a defined reference load (30 concurrent users); passes p95&lt;500ms on all endpoints tested. Full methodology and results in docs/PERFORMANCE.md.</t>
        </is>
      </c>
    </row>
    <row r="3">
      <c r="A3" s="4" t="inlineStr">
        <is>
          <t>NFR-002</t>
        </is>
      </c>
      <c r="B3" s="4" t="inlineStr">
        <is>
          <t>Availability</t>
        </is>
      </c>
      <c r="C3" s="4" t="inlineStr">
        <is>
          <t>Production target 99.9% monthly availability excluding agreed maintenance windows.</t>
        </is>
      </c>
      <c r="D3" s="4" t="inlineStr">
        <is>
          <t>Should Have</t>
        </is>
      </c>
      <c r="E3" t="inlineStr">
        <is>
          <t>Live</t>
        </is>
      </c>
      <c r="F3" t="inlineStr">
        <is>
          <t>Application Insights availability test + email alerting on the API readiness endpoint, verified producing real results from 5 regions. See docs/MONITORING.md.</t>
        </is>
      </c>
    </row>
    <row r="4">
      <c r="A4" s="4" t="inlineStr">
        <is>
          <t>NFR-003</t>
        </is>
      </c>
      <c r="B4" s="4" t="inlineStr">
        <is>
          <t>Security</t>
        </is>
      </c>
      <c r="C4" s="4" t="inlineStr">
        <is>
          <t>HTTPS/TLS is mandatory in production.</t>
        </is>
      </c>
      <c r="D4" s="4" t="inlineStr">
        <is>
          <t>Must Have</t>
        </is>
      </c>
      <c r="E4" t="inlineStr">
        <is>
          <t>Pass</t>
        </is>
      </c>
      <c r="F4" t="inlineStr">
        <is>
          <t>Live-verified 2026-09-10: API Container App ingress has allowInsecure=false (plain HTTP rejected) and transport=Auto (HTTPS); COOKIE_SECURE=true is set in the production environment. Confirmed against the real Azure resource, not just config source.</t>
        </is>
      </c>
    </row>
    <row r="5">
      <c r="A5" s="4" t="inlineStr">
        <is>
          <t>NFR-004</t>
        </is>
      </c>
      <c r="B5" s="4" t="inlineStr">
        <is>
          <t>Password Security</t>
        </is>
      </c>
      <c r="C5" s="4" t="inlineStr">
        <is>
          <t>Use Argon2id or approved equivalent for password hashing.</t>
        </is>
      </c>
      <c r="D5" s="4" t="inlineStr">
        <is>
          <t>Must Have</t>
        </is>
      </c>
      <c r="E5" t="inlineStr">
        <is>
          <t>Pass</t>
        </is>
      </c>
      <c r="F5" t="inlineStr">
        <is>
          <t>Covered by AC-012-001-01/02 (Pass) - argon2.hash()/argon2.verify() with type: argon2id used consistently at every password write/check path, re-grepped against the current commit 2026-09-09.</t>
        </is>
      </c>
    </row>
    <row r="6">
      <c r="A6" s="4" t="inlineStr">
        <is>
          <t>NFR-005</t>
        </is>
      </c>
      <c r="B6" s="4" t="inlineStr">
        <is>
          <t>Time Integrity</t>
        </is>
      </c>
      <c r="C6" s="4" t="inlineStr">
        <is>
          <t>Official attendance/timer events use authoritative server time.</t>
        </is>
      </c>
      <c r="D6" s="4" t="inlineStr">
        <is>
          <t>Must Have</t>
        </is>
      </c>
      <c r="E6" t="inlineStr">
        <is>
          <t>Pass</t>
        </is>
      </c>
      <c r="F6" t="inlineStr">
        <is>
          <t>Covered by AC-012-003-01/03/04 (Pass) - clockInAt/clockOutAt etc. are always server-generated new Date(), no client-supplied timestamp accepted anywhere in the attendance/timer paths.</t>
        </is>
      </c>
    </row>
    <row r="7" ht="27.6" customHeight="1" s="8">
      <c r="A7" s="4" t="inlineStr">
        <is>
          <t>NFR-006</t>
        </is>
      </c>
      <c r="B7" s="4" t="inlineStr">
        <is>
          <t>Concurrency</t>
        </is>
      </c>
      <c r="C7" s="4" t="inlineStr">
        <is>
          <t>System prevents duplicate active attendance sessions and active task timers under concurrent requests.</t>
        </is>
      </c>
      <c r="D7" s="4" t="inlineStr">
        <is>
          <t>Must Have</t>
        </is>
      </c>
      <c r="E7" t="inlineStr">
        <is>
          <t>Pass</t>
        </is>
      </c>
      <c r="F7" t="inlineStr">
        <is>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is>
      </c>
    </row>
    <row r="8">
      <c r="A8" s="4" t="inlineStr">
        <is>
          <t>NFR-007</t>
        </is>
      </c>
      <c r="B8" s="4" t="inlineStr">
        <is>
          <t>Auditability</t>
        </is>
      </c>
      <c r="C8" s="4" t="inlineStr">
        <is>
          <t>Material corrections, role changes and user status changes are auditable.</t>
        </is>
      </c>
      <c r="D8" s="4" t="inlineStr">
        <is>
          <t>Must Have</t>
        </is>
      </c>
      <c r="E8" t="inlineStr">
        <is>
          <t>Pass</t>
        </is>
      </c>
      <c r="F8" t="inlineStr">
        <is>
          <t>Covered by EP-009's correction/audit ACs (Pass) and the EP-002 re-verification pass, which live-confirmed suspending/reactivating a user is audited and takes effect on the user's very next request without re-login.</t>
        </is>
      </c>
    </row>
    <row r="9">
      <c r="A9" s="4" t="inlineStr">
        <is>
          <t>NFR-008</t>
        </is>
      </c>
      <c r="B9" s="4" t="inlineStr">
        <is>
          <t>Responsive UX</t>
        </is>
      </c>
      <c r="C9" s="4" t="inlineStr">
        <is>
          <t>Clock, break and task timer flows must be usable on desktop and mobile browsers.</t>
        </is>
      </c>
      <c r="D9" s="4" t="inlineStr">
        <is>
          <t>Must Have</t>
        </is>
      </c>
      <c r="E9" t="inlineStr">
        <is>
          <t>Pass</t>
        </is>
      </c>
      <c r="F9" t="inlineStr">
        <is>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is>
      </c>
    </row>
    <row r="10">
      <c r="A10" s="4" t="inlineStr">
        <is>
          <t>NFR-009</t>
        </is>
      </c>
      <c r="B10" s="4" t="inlineStr">
        <is>
          <t>Accessibility</t>
        </is>
      </c>
      <c r="C10" s="4" t="inlineStr">
        <is>
          <t>Web UI should target WCAG 2.2 AA.</t>
        </is>
      </c>
      <c r="D10" s="4"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ht="27.6" customHeight="1" s="8">
      <c r="A11" s="4" t="inlineStr">
        <is>
          <t>NFR-010</t>
        </is>
      </c>
      <c r="B11" s="4" t="inlineStr">
        <is>
          <t>Browser Support</t>
        </is>
      </c>
      <c r="C11" s="4" t="inlineStr">
        <is>
          <t>Support current major releases of Chrome, Edge, Safari and Firefox according to published support policy.</t>
        </is>
      </c>
      <c r="D11" s="4" t="inlineStr">
        <is>
          <t>Should Have</t>
        </is>
      </c>
      <c r="E11" t="inlineStr">
        <is>
          <t>Tested</t>
        </is>
      </c>
      <c r="F11" t="inlineStr">
        <is>
          <t>Everything was checked and verified working except Firefox.</t>
        </is>
      </c>
    </row>
    <row r="12" ht="27.6" customHeight="1" s="8">
      <c r="A12" s="4" t="inlineStr">
        <is>
          <t>NFR-011</t>
        </is>
      </c>
      <c r="B12" s="4" t="inlineStr">
        <is>
          <t>Backup</t>
        </is>
      </c>
      <c r="C12" s="4" t="inlineStr">
        <is>
          <t>Automated encrypted database backup and tested restore process required before production.</t>
        </is>
      </c>
      <c r="D12" s="4" t="inlineStr">
        <is>
          <t>Must Have</t>
        </is>
      </c>
      <c r="E12" t="inlineStr">
        <is>
          <t>Pass</t>
        </is>
      </c>
      <c r="F12" t="inlineStr">
        <is>
          <t>Covered by AC-012-005-01..04 (Pass) - a real restore drill was executed and documented 2026-09-08 (docs/BACKUP_AND_RESTORE.md); 14-day backup retention re-confirmed live via az CLI 2026-09-09.</t>
        </is>
      </c>
    </row>
    <row r="13">
      <c r="A13" s="4" t="inlineStr">
        <is>
          <t>NFR-012</t>
        </is>
      </c>
      <c r="B13" s="4" t="inlineStr">
        <is>
          <t>Observability</t>
        </is>
      </c>
      <c r="C13" s="4" t="inlineStr">
        <is>
          <t>Structured logging, health checks and error monitoring are required.</t>
        </is>
      </c>
      <c r="D13" s="4" t="inlineStr">
        <is>
          <t>Must Have</t>
        </is>
      </c>
      <c r="E13" t="inlineStr">
        <is>
          <t>Pass</t>
        </is>
      </c>
      <c r="F13" t="inlineStr">
        <is>
          <t>Covered by AC-012-004-01..04 (Pass) - x-request-id round-trip, /health and /ready produce zero log lines, sensitive fields redacted, a live Azure Monitor alert rule confirmed armed.</t>
        </is>
      </c>
    </row>
    <row r="14">
      <c r="A14" s="4" t="inlineStr">
        <is>
          <t>NFR-013</t>
        </is>
      </c>
      <c r="B14" s="4" t="inlineStr">
        <is>
          <t>Data Retention</t>
        </is>
      </c>
      <c r="C14" s="4" t="inlineStr">
        <is>
          <t>Attendance, task and audit retention periods must be configurable or documented.</t>
        </is>
      </c>
      <c r="D14" s="4"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4" t="inlineStr">
        <is>
          <t>NFR-014</t>
        </is>
      </c>
      <c r="B15" s="4" t="inlineStr">
        <is>
          <t>Scalability</t>
        </is>
      </c>
      <c r="C15" s="4" t="inlineStr">
        <is>
          <t>Application should be stateless where practical and container deployable.</t>
        </is>
      </c>
      <c r="D15" s="4" t="inlineStr">
        <is>
          <t>Should Have</t>
        </is>
      </c>
      <c r="E15" t="inlineStr">
        <is>
          <t>Pass</t>
        </is>
      </c>
      <c r="F15" t="inlineStr">
        <is>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is>
      </c>
    </row>
    <row r="16">
      <c r="A16" s="4" t="inlineStr">
        <is>
          <t>NFR-015</t>
        </is>
      </c>
      <c r="B16" s="4" t="inlineStr">
        <is>
          <t>API Documentation</t>
        </is>
      </c>
      <c r="C16" s="4" t="inlineStr">
        <is>
          <t>Backend exposes generated OpenAPI/Swagger documentation for supported APIs.</t>
        </is>
      </c>
      <c r="D16" s="4" t="inlineStr">
        <is>
          <t>Must Have</t>
        </is>
      </c>
      <c r="E16" t="inlineStr">
        <is>
          <t>Pass</t>
        </is>
      </c>
      <c r="F16" t="inlineStr">
        <is>
          <t>Live-verified 2026-09-10 against the real deployed API: GET /api/docs -&gt; 200 (Swagger UI), GET /api/docs-json -&gt; 200 with 47 documented paths. | CAVEAT added 2026-09-10: the SRS's own §12 API Requirements text asks for the spec to be "generated ... and validated in CI" - generation is confirmed live, but no CI step validates the spec (see RISK-013). Left as Pass since the NFR's own literal wording only requires exposure, but flagging the stricter narrative requirement honestly.</t>
        </is>
      </c>
    </row>
    <row r="17">
      <c r="A17" s="4" t="inlineStr">
        <is>
          <t>NFR-016</t>
        </is>
      </c>
      <c r="B17" s="4" t="inlineStr">
        <is>
          <t>Testing</t>
        </is>
      </c>
      <c r="C17" s="4" t="inlineStr">
        <is>
          <t>Unit, integration and end-to-end tests are required for critical clock/timer workflows.</t>
        </is>
      </c>
      <c r="D17" s="4" t="inlineStr">
        <is>
          <t>Must Have</t>
        </is>
      </c>
      <c r="E17" t="inlineStr">
        <is>
          <t>Pass</t>
        </is>
      </c>
      <c r="F17" t="inlineStr">
        <is>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 | CAVEAT added 2026-09-10: the SRS's separate §14 Testing Strategy names Playwright browser E2E tests specifically (see RISK-010) - not yet implemented. Left as Pass since this NFR's own literal wording ("unit, integration and end-to-end tests") is satisfied by the real API-level e2e suite, but the more specific browser-automation expectation elsewhere in the SRS is not yet met.</t>
        </is>
      </c>
    </row>
    <row r="20" ht="24" customHeight="1" s="8">
      <c r="A20" s="2" t="inlineStr">
        <is>
          <t>Business Rule ID</t>
        </is>
      </c>
      <c r="B20" s="2" t="inlineStr">
        <is>
          <t>Business Rule</t>
        </is>
      </c>
    </row>
    <row r="21" ht="27.6" customHeight="1" s="8">
      <c r="A21" s="4" t="inlineStr">
        <is>
          <t>BR-001</t>
        </is>
      </c>
      <c r="B21" s="4" t="inlineStr">
        <is>
          <t>Attendance clock and task timer are separate records and must never be treated as the same clock.</t>
        </is>
      </c>
      <c r="E21" t="inlineStr">
        <is>
          <t>Pass</t>
        </is>
      </c>
      <c r="F21" t="inlineStr">
        <is>
          <t>Code-verified: AttendanceSession and TaskTimeEntry are separate Prisma models with separate endpoints/services throughout - core domain design, unchanged all effort.</t>
        </is>
      </c>
    </row>
    <row r="22">
      <c r="A22" s="4" t="inlineStr">
        <is>
          <t>BR-002</t>
        </is>
      </c>
      <c r="B22" s="4" t="inlineStr">
        <is>
          <t>A user may have at most one active attendance session.</t>
        </is>
      </c>
      <c r="E22" t="inlineStr">
        <is>
          <t>Pass</t>
        </is>
      </c>
      <c r="F22" t="inlineStr">
        <is>
          <t>Live-verified 2026-09-10 under real concurrency (see NFR-006) plus the DB-level Postgres partial unique index noted in the tracker's RISK-001 mitigation.</t>
        </is>
      </c>
    </row>
    <row r="23">
      <c r="A23" s="4" t="inlineStr">
        <is>
          <t>BR-003</t>
        </is>
      </c>
      <c r="B23" s="4" t="inlineStr">
        <is>
          <t>A user may have at most one active task timer.</t>
        </is>
      </c>
      <c r="E23" t="inlineStr">
        <is>
          <t>Pass</t>
        </is>
      </c>
      <c r="F23" t="inlineStr">
        <is>
          <t>Code-verified: task-timer.service.ts requireNoRunningTimer() plus a matching DB partial unique index enforce this; live-tested sequentially earlier this effort (409 'A task timer is already running').</t>
        </is>
      </c>
    </row>
    <row r="24">
      <c r="A24" s="4" t="inlineStr">
        <is>
          <t>BR-004</t>
        </is>
      </c>
      <c r="B24" s="4" t="inlineStr">
        <is>
          <t>A task timer can start only while the user is clocked in and not on break.</t>
        </is>
      </c>
      <c r="E24" t="inlineStr">
        <is>
          <t>Pass</t>
        </is>
      </c>
      <c r="F24" t="inlineStr">
        <is>
          <t>Code-verified 2026-09-10: task-timer.service.ts requireActiveWorkingSession() requires attendance status=ACTIVE (not ON_BREAK) before a timer can start.</t>
        </is>
      </c>
    </row>
    <row r="25">
      <c r="A25" s="4" t="inlineStr">
        <is>
          <t>BR-005</t>
        </is>
      </c>
      <c r="B25" s="4" t="inlineStr">
        <is>
          <t>Starting a break pauses any active task timer at the same effective server boundary.</t>
        </is>
      </c>
      <c r="E25" t="inlineStr">
        <is>
          <t>Pass</t>
        </is>
      </c>
      <c r="F25" t="inlineStr">
        <is>
          <t>Code-verified 2026-09-10: breaks.service.ts startBreak() closes any running task timer in the same DB transaction as the break's own creation, using the identical server `now` timestamp for both.</t>
        </is>
      </c>
    </row>
    <row r="26">
      <c r="A26" s="4" t="inlineStr">
        <is>
          <t>BR-006</t>
        </is>
      </c>
      <c r="B26" s="4" t="inlineStr">
        <is>
          <t>Ending a break does not automatically resume a task without an explicit user action.</t>
        </is>
      </c>
      <c r="E26" t="inlineStr">
        <is>
          <t>Pass</t>
        </is>
      </c>
      <c r="F26" t="inlineStr">
        <is>
          <t>Code-verified 2026-09-10: breaks.service.ts endBreak() only updates the break record and session status - it never touches TaskTimeEntry, so no task resumes automatically.</t>
        </is>
      </c>
    </row>
    <row r="27">
      <c r="A27" s="4" t="inlineStr">
        <is>
          <t>BR-007</t>
        </is>
      </c>
      <c r="B27" s="4" t="inlineStr">
        <is>
          <t>Clocking out requires any active task timer and active break to be resolved.</t>
        </is>
      </c>
      <c r="E27" t="inlineStr">
        <is>
          <t>Pass</t>
        </is>
      </c>
      <c r="F27" t="inlineStr">
        <is>
          <t>Code-verified 2026-09-10: attendance.service.ts clockOut() returns requiresConfirmation:true with the open break/timer details instead of clocking out, until the caller explicitly confirms - only then does it resolve both, in the same transaction as the clock-out itself.</t>
        </is>
      </c>
    </row>
    <row r="28">
      <c r="A28" s="4" t="inlineStr">
        <is>
          <t>BR-008</t>
        </is>
      </c>
      <c r="B28" s="4" t="inlineStr">
        <is>
          <t>Net working time = attendance elapsed time - eligible completed break time.</t>
        </is>
      </c>
      <c r="E28" t="inlineStr">
        <is>
          <t>Pass</t>
        </is>
      </c>
      <c r="F28" t="inlineStr">
        <is>
          <t>Covered by AC-012-003-03 (Pass) and time-math.ts - net working time is computed purely from stored timestamps, never a client-supplied duration.</t>
        </is>
      </c>
    </row>
    <row r="29">
      <c r="A29" s="4" t="inlineStr">
        <is>
          <t>BR-009</t>
        </is>
      </c>
      <c r="B29" s="4" t="inlineStr">
        <is>
          <t>Task time = sum of valid non-overlapping active task segments.</t>
        </is>
      </c>
      <c r="E29" t="inlineStr">
        <is>
          <t>Pass</t>
        </is>
      </c>
      <c r="F29" t="inlineStr">
        <is>
          <t>Covered by EP-006's sign-off (40/40 Pass) and time-math.ts's segment-summation logic.</t>
        </is>
      </c>
    </row>
    <row r="30">
      <c r="A30" s="4" t="inlineStr">
        <is>
          <t>BR-010</t>
        </is>
      </c>
      <c r="B30" s="4" t="inlineStr">
        <is>
          <t>Unallocated time = net working time - eligible task time.</t>
        </is>
      </c>
      <c r="E30" t="inlineStr">
        <is>
          <t>Pass</t>
        </is>
      </c>
      <c r="F30" t="inlineStr">
        <is>
          <t>Core reconciliation formula, unit-tested in packages/shared/src/time-math.test.ts against the SRS's own worked example (7h30m worked, 6h45m tasked -&gt; 45m unallocated).</t>
        </is>
      </c>
    </row>
    <row r="31">
      <c r="A31" s="4" t="inlineStr">
        <is>
          <t>BR-011</t>
        </is>
      </c>
      <c r="B31" s="4" t="inlineStr">
        <is>
          <t>Server timestamps are authoritative for online clock/timer actions.</t>
        </is>
      </c>
      <c r="E31" t="inlineStr">
        <is>
          <t>Pass</t>
        </is>
      </c>
      <c r="F31" t="inlineStr">
        <is>
          <t>Covered by AC-012-003-01/04 (Pass) - every clock/timer timestamp is server-generated, never client-supplied.</t>
        </is>
      </c>
    </row>
    <row r="32">
      <c r="A32" s="4" t="inlineStr">
        <is>
          <t>BR-012</t>
        </is>
      </c>
      <c r="B32" s="4" t="inlineStr">
        <is>
          <t>Approved corrections never destroy the original event history.</t>
        </is>
      </c>
      <c r="E32" t="inlineStr">
        <is>
          <t>Pass</t>
        </is>
      </c>
      <c r="F32" t="inlineStr">
        <is>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is>
      </c>
    </row>
    <row r="33" ht="27.6" customHeight="1" s="8">
      <c r="A33" s="4" t="inlineStr">
        <is>
          <t>BR-013</t>
        </is>
      </c>
      <c r="B33" s="4" t="inlineStr">
        <is>
          <t>Completed or cancelled tasks cannot accept a new timer unless reopened by an authorised user.</t>
        </is>
      </c>
      <c r="E33" t="inlineStr">
        <is>
          <t>Pass</t>
        </is>
      </c>
      <c r="F33" t="inlineStr">
        <is>
          <t>Code-verified 2026-09-10: task-timer.service.ts requireEligibleTask() explicitly blocks starting a timer when the task's status is COMPLETED or CANCELLED.</t>
        </is>
      </c>
    </row>
    <row r="34" ht="27.6" customHeight="1" s="8">
      <c r="A34" s="4" t="inlineStr">
        <is>
          <t>BR-014</t>
        </is>
      </c>
      <c r="B34" s="4" t="inlineStr">
        <is>
          <t>The application does not perform covert screenshots, keystroke logging or webcam monitoring.</t>
        </is>
      </c>
      <c r="E34" t="inlineStr">
        <is>
          <t>Pass</t>
        </is>
      </c>
      <c r="F34" t="inlineStr">
        <is>
          <t>Verified by omission, matching the SRS's own Explicitly Out of Scope list: no screenshot, keystroke-logging or webcam code exists anywhere in the codebase.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3.8"/>
  <cols>
    <col width="22" customWidth="1" style="8" min="1" max="1"/>
    <col width="44" customWidth="1" style="8" min="2" max="2"/>
    <col width="72" customWidth="1" style="8" min="3" max="3"/>
  </cols>
  <sheetData>
    <row r="1" ht="24" customHeight="1" s="8">
      <c r="A1" s="2" t="inlineStr">
        <is>
          <t>Layer</t>
        </is>
      </c>
      <c r="B1" s="2" t="inlineStr">
        <is>
          <t>Recommended Technology</t>
        </is>
      </c>
      <c r="C1" s="2" t="inlineStr">
        <is>
          <t>Reason / Implementation Guidance</t>
        </is>
      </c>
    </row>
    <row r="2" ht="27.6" customHeight="1" s="8">
      <c r="A2" s="4" t="inlineStr">
        <is>
          <t>Frontend</t>
        </is>
      </c>
      <c r="B2" s="4" t="inlineStr">
        <is>
          <t>Next.js (React) + TypeScript</t>
        </is>
      </c>
      <c r="C2" s="4" t="inlineStr">
        <is>
          <t>Single web application; mature React ecosystem; routing, SSR/SPA flexibility and strong developer productivity.</t>
        </is>
      </c>
    </row>
    <row r="3">
      <c r="A3" s="4" t="inlineStr">
        <is>
          <t>UI</t>
        </is>
      </c>
      <c r="B3" s="4" t="inlineStr">
        <is>
          <t>Tailwind CSS + accessible component library</t>
        </is>
      </c>
      <c r="C3" s="4" t="inlineStr">
        <is>
          <t>Consistent responsive UI without a large custom CSS maintenance burden.</t>
        </is>
      </c>
    </row>
    <row r="4">
      <c r="A4" s="4" t="inlineStr">
        <is>
          <t>Forms/Validation</t>
        </is>
      </c>
      <c r="B4" s="4" t="inlineStr">
        <is>
          <t>React Hook Form + Zod</t>
        </is>
      </c>
      <c r="C4" s="4" t="inlineStr">
        <is>
          <t>Fast forms with shared schema-style validation and clear error handling.</t>
        </is>
      </c>
    </row>
    <row r="5">
      <c r="A5" s="4" t="inlineStr">
        <is>
          <t>Data Fetching</t>
        </is>
      </c>
      <c r="B5" s="4" t="inlineStr">
        <is>
          <t>TanStack Query</t>
        </is>
      </c>
      <c r="C5" s="4" t="inlineStr">
        <is>
          <t>Server-state caching, invalidation and background refresh for dashboards/logs.</t>
        </is>
      </c>
    </row>
    <row r="6">
      <c r="A6" s="4" t="inlineStr">
        <is>
          <t>Backend</t>
        </is>
      </c>
      <c r="B6" s="4" t="inlineStr">
        <is>
          <t>NestJS + TypeScript</t>
        </is>
      </c>
      <c r="C6" s="4" t="inlineStr">
        <is>
          <t>Structured modular backend, DI, guards, validation, testing and OpenAPI integration.</t>
        </is>
      </c>
    </row>
    <row r="7">
      <c r="A7" s="4" t="inlineStr">
        <is>
          <t>API</t>
        </is>
      </c>
      <c r="B7" s="4" t="inlineStr">
        <is>
          <t>REST + OpenAPI/Swagger</t>
        </is>
      </c>
      <c r="C7" s="4" t="inlineStr">
        <is>
          <t>Simple for web/admin integrations; documentation generated from backend code.</t>
        </is>
      </c>
    </row>
    <row r="8">
      <c r="A8" s="4" t="inlineStr">
        <is>
          <t>Database</t>
        </is>
      </c>
      <c r="B8" s="4" t="inlineStr">
        <is>
          <t>PostgreSQL</t>
        </is>
      </c>
      <c r="C8" s="4" t="inlineStr">
        <is>
          <t>Reliable transactional relational database well suited to attendance/time integrity.</t>
        </is>
      </c>
    </row>
    <row r="9" ht="27.6" customHeight="1" s="8">
      <c r="A9" s="4" t="inlineStr">
        <is>
          <t>ORM</t>
        </is>
      </c>
      <c r="B9" s="4" t="inlineStr">
        <is>
          <t>Prisma ORM</t>
        </is>
      </c>
      <c r="C9" s="4" t="inlineStr">
        <is>
          <t>Typed data access, migrations and developer productivity; validate concurrency-sensitive operations with explicit transactions/constraints.</t>
        </is>
      </c>
    </row>
    <row r="10" ht="27.6" customHeight="1" s="8">
      <c r="A10" s="4" t="inlineStr">
        <is>
          <t>Authentication</t>
        </is>
      </c>
      <c r="B10" s="4" t="inlineStr">
        <is>
          <t>Secure HttpOnly cookie-based access/refresh tokens or server session pattern</t>
        </is>
      </c>
      <c r="C10" s="4" t="inlineStr">
        <is>
          <t>Avoid storing sensitive auth tokens in localStorage; support rotation and revocation.</t>
        </is>
      </c>
    </row>
    <row r="11">
      <c r="A11" s="4" t="inlineStr">
        <is>
          <t>Password Hashing</t>
        </is>
      </c>
      <c r="B11" s="4" t="inlineStr">
        <is>
          <t>Argon2id</t>
        </is>
      </c>
      <c r="C11" s="4" t="inlineStr">
        <is>
          <t>Modern password hashing suitable for credential protection.</t>
        </is>
      </c>
    </row>
    <row r="12" ht="27.6" customHeight="1" s="8">
      <c r="A12" s="4" t="inlineStr">
        <is>
          <t>Live Status</t>
        </is>
      </c>
      <c r="B12" s="4" t="inlineStr">
        <is>
          <t>REST polling initially; optional WebSocket/SSE for admin live view</t>
        </is>
      </c>
      <c r="C12" s="4" t="inlineStr">
        <is>
          <t>Avoid unnecessary real-time complexity in MVP; timers are derived from server timestamps.</t>
        </is>
      </c>
    </row>
    <row r="13">
      <c r="A13" s="4" t="inlineStr">
        <is>
          <t>Testing</t>
        </is>
      </c>
      <c r="B13" s="4" t="inlineStr">
        <is>
          <t>Vitest/Jest + Supertest + Playwright</t>
        </is>
      </c>
      <c r="C13" s="4" t="inlineStr">
        <is>
          <t>Unit, API integration and browser end-to-end coverage.</t>
        </is>
      </c>
    </row>
    <row r="14">
      <c r="A14" s="4" t="inlineStr">
        <is>
          <t>Containerisation</t>
        </is>
      </c>
      <c r="B14" s="4" t="inlineStr">
        <is>
          <t>Docker + Docker Compose</t>
        </is>
      </c>
      <c r="C14" s="4" t="inlineStr">
        <is>
          <t>Reproducible development and deployment.</t>
        </is>
      </c>
    </row>
    <row r="15">
      <c r="A15" s="4" t="inlineStr">
        <is>
          <t>CI/CD</t>
        </is>
      </c>
      <c r="B15" s="4" t="inlineStr">
        <is>
          <t>GitHub Actions</t>
        </is>
      </c>
      <c r="C15" s="4" t="inlineStr">
        <is>
          <t>Build, lint, test, security scan and deployment automation.</t>
        </is>
      </c>
    </row>
    <row r="16">
      <c r="A16" s="4" t="inlineStr">
        <is>
          <t>Reverse Proxy</t>
        </is>
      </c>
      <c r="B16" s="4" t="inlineStr">
        <is>
          <t>Managed ingress or Nginx</t>
        </is>
      </c>
      <c r="C16" s="4" t="inlineStr">
        <is>
          <t>TLS termination/routing depending on hosting platform.</t>
        </is>
      </c>
    </row>
    <row r="17" ht="27.6" customHeight="1" s="8">
      <c r="A17" s="4" t="inlineStr">
        <is>
          <t>Production Hosting</t>
        </is>
      </c>
      <c r="B17" s="4" t="inlineStr">
        <is>
          <t>Azure Container Apps or AWS ECS/Fargate (provider-neutral Docker image)</t>
        </is>
      </c>
      <c r="C17" s="4" t="inlineStr">
        <is>
          <t>Managed container hosting with autoscaling and low operational overhead.</t>
        </is>
      </c>
    </row>
    <row r="18" ht="27.6" customHeight="1" s="8">
      <c r="A18" s="4" t="inlineStr">
        <is>
          <t>Managed Database</t>
        </is>
      </c>
      <c r="B18" s="4" t="inlineStr">
        <is>
          <t>Azure Database for PostgreSQL / AWS RDS PostgreSQL</t>
        </is>
      </c>
      <c r="C18" s="4" t="inlineStr">
        <is>
          <t>Backups, patching and managed availability.</t>
        </is>
      </c>
    </row>
    <row r="19" ht="27.6" customHeight="1" s="8">
      <c r="A19" s="4" t="inlineStr">
        <is>
          <t>Monitoring</t>
        </is>
      </c>
      <c r="B19" s="4" t="inlineStr">
        <is>
          <t>OpenTelemetry + platform monitoring/Sentry-compatible error tracking</t>
        </is>
      </c>
      <c r="C19" s="4"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3.8"/>
  <cols>
    <col width="14" customWidth="1" style="8" min="1" max="1"/>
    <col width="46" customWidth="1" style="8" min="2" max="2"/>
    <col width="18" customWidth="1" style="8" min="3" max="3"/>
  </cols>
  <sheetData>
    <row r="1" ht="24" customHeight="1" s="8">
      <c r="A1" s="2" t="inlineStr">
        <is>
          <t>Screen ID</t>
        </is>
      </c>
      <c r="B1" s="2" t="inlineStr">
        <is>
          <t>Screen</t>
        </is>
      </c>
      <c r="C1" s="2" t="inlineStr">
        <is>
          <t>Delivery Status</t>
        </is>
      </c>
    </row>
    <row r="2">
      <c r="A2" s="4" t="inlineStr">
        <is>
          <t>SCR-001</t>
        </is>
      </c>
      <c r="B2" s="4" t="inlineStr">
        <is>
          <t>Login</t>
        </is>
      </c>
      <c r="C2" s="4" t="inlineStr">
        <is>
          <t>Done</t>
        </is>
      </c>
    </row>
    <row r="3">
      <c r="A3" s="4" t="inlineStr">
        <is>
          <t>SCR-002</t>
        </is>
      </c>
      <c r="B3" s="4" t="inlineStr">
        <is>
          <t>Registration</t>
        </is>
      </c>
      <c r="C3" s="4" t="inlineStr">
        <is>
          <t>Done</t>
        </is>
      </c>
    </row>
    <row r="4">
      <c r="A4" s="4" t="inlineStr">
        <is>
          <t>SCR-003</t>
        </is>
      </c>
      <c r="B4" s="4" t="inlineStr">
        <is>
          <t>Forgot/Reset Password</t>
        </is>
      </c>
      <c r="C4" s="4" t="inlineStr">
        <is>
          <t>Done</t>
        </is>
      </c>
    </row>
    <row r="5">
      <c r="A5" s="4" t="inlineStr">
        <is>
          <t>SCR-004</t>
        </is>
      </c>
      <c r="B5" s="4" t="inlineStr">
        <is>
          <t>Employee - My Day</t>
        </is>
      </c>
      <c r="C5" s="4" t="inlineStr">
        <is>
          <t>Done</t>
        </is>
      </c>
    </row>
    <row r="6">
      <c r="A6" s="4" t="inlineStr">
        <is>
          <t>SCR-005</t>
        </is>
      </c>
      <c r="B6" s="4" t="inlineStr">
        <is>
          <t>My Attendance History</t>
        </is>
      </c>
      <c r="C6" s="4" t="inlineStr">
        <is>
          <t>Done</t>
        </is>
      </c>
    </row>
    <row r="7">
      <c r="A7" s="4" t="inlineStr">
        <is>
          <t>SCR-006</t>
        </is>
      </c>
      <c r="B7" s="4" t="inlineStr">
        <is>
          <t>Attendance Day Detail / Timeline</t>
        </is>
      </c>
      <c r="C7" s="4" t="inlineStr">
        <is>
          <t>Done</t>
        </is>
      </c>
    </row>
    <row r="8">
      <c r="A8" s="4" t="inlineStr">
        <is>
          <t>SCR-007</t>
        </is>
      </c>
      <c r="B8" s="4" t="inlineStr">
        <is>
          <t>My Tasks</t>
        </is>
      </c>
      <c r="C8" s="4" t="inlineStr">
        <is>
          <t>Done</t>
        </is>
      </c>
    </row>
    <row r="9">
      <c r="A9" s="4" t="inlineStr">
        <is>
          <t>SCR-008</t>
        </is>
      </c>
      <c r="B9" s="4" t="inlineStr">
        <is>
          <t>Task Detail</t>
        </is>
      </c>
      <c r="C9" s="4" t="inlineStr">
        <is>
          <t>Done</t>
        </is>
      </c>
    </row>
    <row r="10">
      <c r="A10" s="4" t="inlineStr">
        <is>
          <t>SCR-009</t>
        </is>
      </c>
      <c r="B10" s="4" t="inlineStr">
        <is>
          <t>My Task Time History</t>
        </is>
      </c>
      <c r="C10" s="4" t="inlineStr">
        <is>
          <t>Done</t>
        </is>
      </c>
    </row>
    <row r="11">
      <c r="A11" s="4" t="inlineStr">
        <is>
          <t>SCR-010</t>
        </is>
      </c>
      <c r="B11" s="4" t="inlineStr">
        <is>
          <t>My Profile</t>
        </is>
      </c>
      <c r="C11" s="4" t="inlineStr">
        <is>
          <t>Done</t>
        </is>
      </c>
    </row>
    <row r="12">
      <c r="A12" s="4" t="inlineStr">
        <is>
          <t>SCR-011</t>
        </is>
      </c>
      <c r="B12" s="4" t="inlineStr">
        <is>
          <t>Admin Dashboard</t>
        </is>
      </c>
      <c r="C12" s="4" t="inlineStr">
        <is>
          <t>Done</t>
        </is>
      </c>
    </row>
    <row r="13">
      <c r="A13" s="4" t="inlineStr">
        <is>
          <t>SCR-012</t>
        </is>
      </c>
      <c r="B13" s="4" t="inlineStr">
        <is>
          <t>User Management</t>
        </is>
      </c>
      <c r="C13" s="4" t="inlineStr">
        <is>
          <t>Done</t>
        </is>
      </c>
    </row>
    <row r="14">
      <c r="A14" s="4" t="inlineStr">
        <is>
          <t>SCR-013</t>
        </is>
      </c>
      <c r="B14" s="4" t="inlineStr">
        <is>
          <t>User Detail</t>
        </is>
      </c>
      <c r="C14" s="4" t="inlineStr">
        <is>
          <t>Done</t>
        </is>
      </c>
    </row>
    <row r="15">
      <c r="A15" s="4" t="inlineStr">
        <is>
          <t>SCR-014</t>
        </is>
      </c>
      <c r="B15" s="4" t="inlineStr">
        <is>
          <t>Task Management</t>
        </is>
      </c>
      <c r="C15" s="4" t="inlineStr">
        <is>
          <t>Done</t>
        </is>
      </c>
    </row>
    <row r="16">
      <c r="A16" s="4" t="inlineStr">
        <is>
          <t>SCR-015</t>
        </is>
      </c>
      <c r="B16" s="4" t="inlineStr">
        <is>
          <t>Task Create/Edit</t>
        </is>
      </c>
      <c r="C16" s="4" t="inlineStr">
        <is>
          <t>Done</t>
        </is>
      </c>
    </row>
    <row r="17">
      <c r="A17" s="4" t="inlineStr">
        <is>
          <t>SCR-016</t>
        </is>
      </c>
      <c r="B17" s="4" t="inlineStr">
        <is>
          <t>Live Attendance</t>
        </is>
      </c>
      <c r="C17" s="4" t="inlineStr">
        <is>
          <t>Done</t>
        </is>
      </c>
    </row>
    <row r="18">
      <c r="A18" s="4" t="inlineStr">
        <is>
          <t>SCR-017</t>
        </is>
      </c>
      <c r="B18" s="4" t="inlineStr">
        <is>
          <t>Attendance Logs</t>
        </is>
      </c>
      <c r="C18" s="4" t="inlineStr">
        <is>
          <t>Done</t>
        </is>
      </c>
    </row>
    <row r="19">
      <c r="A19" s="4" t="inlineStr">
        <is>
          <t>SCR-018</t>
        </is>
      </c>
      <c r="B19" s="4" t="inlineStr">
        <is>
          <t>Correction Review</t>
        </is>
      </c>
      <c r="C19" s="4" t="inlineStr">
        <is>
          <t>Done</t>
        </is>
      </c>
    </row>
    <row r="20">
      <c r="A20" s="4" t="inlineStr">
        <is>
          <t>SCR-019</t>
        </is>
      </c>
      <c r="B20" s="4" t="inlineStr">
        <is>
          <t>Reports</t>
        </is>
      </c>
      <c r="C20" s="4" t="inlineStr">
        <is>
          <t>Done</t>
        </is>
      </c>
    </row>
    <row r="21">
      <c r="A21" s="4" t="inlineStr">
        <is>
          <t>SCR-020</t>
        </is>
      </c>
      <c r="B21" s="4" t="inlineStr">
        <is>
          <t>Audit Log</t>
        </is>
      </c>
      <c r="C21" s="4" t="inlineStr">
        <is>
          <t>Done</t>
        </is>
      </c>
    </row>
    <row r="22">
      <c r="A22" s="9" t="inlineStr">
        <is>
          <t>SCR-021</t>
        </is>
      </c>
      <c r="B22" s="9" t="inlineStr">
        <is>
          <t>Profile Change Review</t>
        </is>
      </c>
      <c r="C22" s="9" t="inlineStr">
        <is>
          <t>Done</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3.8"/>
  <cols>
    <col width="12" customWidth="1" style="8" min="1" max="1"/>
    <col width="15" customWidth="1" style="8" min="2" max="2"/>
    <col width="14" customWidth="1" style="8" min="3" max="3"/>
    <col width="15" customWidth="1" style="8" min="4" max="4"/>
    <col width="16" customWidth="1" style="8" min="5" max="5"/>
    <col width="12" customWidth="1" style="8" min="6" max="8"/>
    <col width="18" customWidth="1" style="8" min="9" max="9"/>
    <col width="16" customWidth="1" style="8" min="10" max="10"/>
  </cols>
  <sheetData>
    <row r="1" ht="24" customHeight="1" s="8">
      <c r="A1" s="2" t="inlineStr">
        <is>
          <t>Epic ID</t>
        </is>
      </c>
      <c r="B1" s="2" t="inlineStr">
        <is>
          <t>Story ID</t>
        </is>
      </c>
      <c r="C1" s="2" t="inlineStr">
        <is>
          <t>SRS AC Count</t>
        </is>
      </c>
      <c r="D1" s="2" t="inlineStr">
        <is>
          <t>Tracker AC Count</t>
        </is>
      </c>
      <c r="E1" s="2" t="inlineStr">
        <is>
          <t>Story Status</t>
        </is>
      </c>
      <c r="F1" s="2" t="inlineStr">
        <is>
          <t>AC Tested</t>
        </is>
      </c>
      <c r="G1" s="2" t="inlineStr">
        <is>
          <t>AC Passed</t>
        </is>
      </c>
      <c r="H1" s="2" t="inlineStr">
        <is>
          <t>AC Failed</t>
        </is>
      </c>
      <c r="I1" s="2" t="inlineStr">
        <is>
          <t>Traceability</t>
        </is>
      </c>
      <c r="J1" s="2" t="inlineStr">
        <is>
          <t>QA Completion %</t>
        </is>
      </c>
    </row>
    <row r="2">
      <c r="A2" s="4" t="inlineStr">
        <is>
          <t>EP-001</t>
        </is>
      </c>
      <c r="B2" s="4" t="inlineStr">
        <is>
          <t>US-001-001</t>
        </is>
      </c>
      <c r="C2" s="4" t="n">
        <v>4</v>
      </c>
      <c r="D2" s="4">
        <f>COUNTIF('Acceptance Criteria'!B:B,B2)</f>
        <v/>
      </c>
      <c r="E2" s="4">
        <f>VLOOKUP(B2,'User Stories'!A:L,12,FALSE)</f>
        <v/>
      </c>
      <c r="F2" s="4">
        <f>COUNTIFS('Acceptance Criteria'!B:B,B2,'Acceptance Criteria'!F:F,"&lt;&gt;Not Tested")</f>
        <v/>
      </c>
      <c r="G2" s="4">
        <f>COUNTIFS('Acceptance Criteria'!B:B,B2,'Acceptance Criteria'!F:F,"Pass")</f>
        <v/>
      </c>
      <c r="H2" s="4">
        <f>COUNTIFS('Acceptance Criteria'!B:B,B2,'Acceptance Criteria'!F:F,"Fail")</f>
        <v/>
      </c>
      <c r="I2" s="4">
        <f>IF(C2=D2,"Linked","Mismatch")</f>
        <v/>
      </c>
      <c r="J2" s="5">
        <f>IF(C2=0,0,G2/C2)</f>
        <v/>
      </c>
    </row>
    <row r="3">
      <c r="A3" s="4" t="inlineStr">
        <is>
          <t>EP-001</t>
        </is>
      </c>
      <c r="B3" s="4" t="inlineStr">
        <is>
          <t>US-001-002</t>
        </is>
      </c>
      <c r="C3" s="4" t="n">
        <v>4</v>
      </c>
      <c r="D3" s="4">
        <f>COUNTIF('Acceptance Criteria'!B:B,B3)</f>
        <v/>
      </c>
      <c r="E3" s="4">
        <f>VLOOKUP(B3,'User Stories'!A:L,12,FALSE)</f>
        <v/>
      </c>
      <c r="F3" s="4">
        <f>COUNTIFS('Acceptance Criteria'!B:B,B3,'Acceptance Criteria'!F:F,"&lt;&gt;Not Tested")</f>
        <v/>
      </c>
      <c r="G3" s="4">
        <f>COUNTIFS('Acceptance Criteria'!B:B,B3,'Acceptance Criteria'!F:F,"Pass")</f>
        <v/>
      </c>
      <c r="H3" s="4">
        <f>COUNTIFS('Acceptance Criteria'!B:B,B3,'Acceptance Criteria'!F:F,"Fail")</f>
        <v/>
      </c>
      <c r="I3" s="4">
        <f>IF(C3=D3,"Linked","Mismatch")</f>
        <v/>
      </c>
      <c r="J3" s="5">
        <f>IF(C3=0,0,G3/C3)</f>
        <v/>
      </c>
    </row>
    <row r="4">
      <c r="A4" s="4" t="inlineStr">
        <is>
          <t>EP-001</t>
        </is>
      </c>
      <c r="B4" s="4" t="inlineStr">
        <is>
          <t>US-001-003</t>
        </is>
      </c>
      <c r="C4" s="4" t="n">
        <v>4</v>
      </c>
      <c r="D4" s="4">
        <f>COUNTIF('Acceptance Criteria'!B:B,B4)</f>
        <v/>
      </c>
      <c r="E4" s="4">
        <f>VLOOKUP(B4,'User Stories'!A:L,12,FALSE)</f>
        <v/>
      </c>
      <c r="F4" s="4">
        <f>COUNTIFS('Acceptance Criteria'!B:B,B4,'Acceptance Criteria'!F:F,"&lt;&gt;Not Tested")</f>
        <v/>
      </c>
      <c r="G4" s="4">
        <f>COUNTIFS('Acceptance Criteria'!B:B,B4,'Acceptance Criteria'!F:F,"Pass")</f>
        <v/>
      </c>
      <c r="H4" s="4">
        <f>COUNTIFS('Acceptance Criteria'!B:B,B4,'Acceptance Criteria'!F:F,"Fail")</f>
        <v/>
      </c>
      <c r="I4" s="4">
        <f>IF(C4=D4,"Linked","Mismatch")</f>
        <v/>
      </c>
      <c r="J4" s="5">
        <f>IF(C4=0,0,G4/C4)</f>
        <v/>
      </c>
    </row>
    <row r="5">
      <c r="A5" s="4" t="inlineStr">
        <is>
          <t>EP-001</t>
        </is>
      </c>
      <c r="B5" s="4" t="inlineStr">
        <is>
          <t>US-001-004</t>
        </is>
      </c>
      <c r="C5" s="4" t="n">
        <v>4</v>
      </c>
      <c r="D5" s="4">
        <f>COUNTIF('Acceptance Criteria'!B:B,B5)</f>
        <v/>
      </c>
      <c r="E5" s="4">
        <f>VLOOKUP(B5,'User Stories'!A:L,12,FALSE)</f>
        <v/>
      </c>
      <c r="F5" s="4">
        <f>COUNTIFS('Acceptance Criteria'!B:B,B5,'Acceptance Criteria'!F:F,"&lt;&gt;Not Tested")</f>
        <v/>
      </c>
      <c r="G5" s="4">
        <f>COUNTIFS('Acceptance Criteria'!B:B,B5,'Acceptance Criteria'!F:F,"Pass")</f>
        <v/>
      </c>
      <c r="H5" s="4">
        <f>COUNTIFS('Acceptance Criteria'!B:B,B5,'Acceptance Criteria'!F:F,"Fail")</f>
        <v/>
      </c>
      <c r="I5" s="4">
        <f>IF(C5=D5,"Linked","Mismatch")</f>
        <v/>
      </c>
      <c r="J5" s="5">
        <f>IF(C5=0,0,G5/C5)</f>
        <v/>
      </c>
    </row>
    <row r="6">
      <c r="A6" s="4" t="inlineStr">
        <is>
          <t>EP-001</t>
        </is>
      </c>
      <c r="B6" s="4" t="inlineStr">
        <is>
          <t>US-001-005</t>
        </is>
      </c>
      <c r="C6" s="4" t="n">
        <v>4</v>
      </c>
      <c r="D6" s="4">
        <f>COUNTIF('Acceptance Criteria'!B:B,B6)</f>
        <v/>
      </c>
      <c r="E6" s="4">
        <f>VLOOKUP(B6,'User Stories'!A:L,12,FALSE)</f>
        <v/>
      </c>
      <c r="F6" s="4">
        <f>COUNTIFS('Acceptance Criteria'!B:B,B6,'Acceptance Criteria'!F:F,"&lt;&gt;Not Tested")</f>
        <v/>
      </c>
      <c r="G6" s="4">
        <f>COUNTIFS('Acceptance Criteria'!B:B,B6,'Acceptance Criteria'!F:F,"Pass")</f>
        <v/>
      </c>
      <c r="H6" s="4">
        <f>COUNTIFS('Acceptance Criteria'!B:B,B6,'Acceptance Criteria'!F:F,"Fail")</f>
        <v/>
      </c>
      <c r="I6" s="4">
        <f>IF(C6=D6,"Linked","Mismatch")</f>
        <v/>
      </c>
      <c r="J6" s="5">
        <f>IF(C6=0,0,G6/C6)</f>
        <v/>
      </c>
    </row>
    <row r="7">
      <c r="A7" s="4" t="inlineStr">
        <is>
          <t>EP-001</t>
        </is>
      </c>
      <c r="B7" s="4" t="inlineStr">
        <is>
          <t>US-001-006</t>
        </is>
      </c>
      <c r="C7" s="4" t="n">
        <v>4</v>
      </c>
      <c r="D7" s="4">
        <f>COUNTIF('Acceptance Criteria'!B:B,B7)</f>
        <v/>
      </c>
      <c r="E7" s="4">
        <f>VLOOKUP(B7,'User Stories'!A:L,12,FALSE)</f>
        <v/>
      </c>
      <c r="F7" s="4">
        <f>COUNTIFS('Acceptance Criteria'!B:B,B7,'Acceptance Criteria'!F:F,"&lt;&gt;Not Tested")</f>
        <v/>
      </c>
      <c r="G7" s="4">
        <f>COUNTIFS('Acceptance Criteria'!B:B,B7,'Acceptance Criteria'!F:F,"Pass")</f>
        <v/>
      </c>
      <c r="H7" s="4">
        <f>COUNTIFS('Acceptance Criteria'!B:B,B7,'Acceptance Criteria'!F:F,"Fail")</f>
        <v/>
      </c>
      <c r="I7" s="4">
        <f>IF(C7=D7,"Linked","Mismatch")</f>
        <v/>
      </c>
      <c r="J7" s="5">
        <f>IF(C7=0,0,G7/C7)</f>
        <v/>
      </c>
    </row>
    <row r="8">
      <c r="A8" s="4" t="inlineStr">
        <is>
          <t>EP-001</t>
        </is>
      </c>
      <c r="B8" s="4" t="inlineStr">
        <is>
          <t>US-001-007</t>
        </is>
      </c>
      <c r="C8" s="4" t="n">
        <v>4</v>
      </c>
      <c r="D8" s="4">
        <f>COUNTIF('Acceptance Criteria'!B:B,B8)</f>
        <v/>
      </c>
      <c r="E8" s="4">
        <f>VLOOKUP(B8,'User Stories'!A:L,12,FALSE)</f>
        <v/>
      </c>
      <c r="F8" s="4">
        <f>COUNTIFS('Acceptance Criteria'!B:B,B8,'Acceptance Criteria'!F:F,"&lt;&gt;Not Tested")</f>
        <v/>
      </c>
      <c r="G8" s="4">
        <f>COUNTIFS('Acceptance Criteria'!B:B,B8,'Acceptance Criteria'!F:F,"Pass")</f>
        <v/>
      </c>
      <c r="H8" s="4">
        <f>COUNTIFS('Acceptance Criteria'!B:B,B8,'Acceptance Criteria'!F:F,"Fail")</f>
        <v/>
      </c>
      <c r="I8" s="4">
        <f>IF(C8=D8,"Linked","Mismatch")</f>
        <v/>
      </c>
      <c r="J8" s="5">
        <f>IF(C8=0,0,G8/C8)</f>
        <v/>
      </c>
    </row>
    <row r="9">
      <c r="A9" s="4" t="inlineStr">
        <is>
          <t>EP-002</t>
        </is>
      </c>
      <c r="B9" s="4" t="inlineStr">
        <is>
          <t>US-002-001</t>
        </is>
      </c>
      <c r="C9" s="4" t="n">
        <v>4</v>
      </c>
      <c r="D9" s="4">
        <f>COUNTIF('Acceptance Criteria'!B:B,B9)</f>
        <v/>
      </c>
      <c r="E9" s="4">
        <f>VLOOKUP(B9,'User Stories'!A:L,12,FALSE)</f>
        <v/>
      </c>
      <c r="F9" s="4">
        <f>COUNTIFS('Acceptance Criteria'!B:B,B9,'Acceptance Criteria'!F:F,"&lt;&gt;Not Tested")</f>
        <v/>
      </c>
      <c r="G9" s="4">
        <f>COUNTIFS('Acceptance Criteria'!B:B,B9,'Acceptance Criteria'!F:F,"Pass")</f>
        <v/>
      </c>
      <c r="H9" s="4">
        <f>COUNTIFS('Acceptance Criteria'!B:B,B9,'Acceptance Criteria'!F:F,"Fail")</f>
        <v/>
      </c>
      <c r="I9" s="4">
        <f>IF(C9=D9,"Linked","Mismatch")</f>
        <v/>
      </c>
      <c r="J9" s="5">
        <f>IF(C9=0,0,G9/C9)</f>
        <v/>
      </c>
    </row>
    <row r="10">
      <c r="A10" s="4" t="inlineStr">
        <is>
          <t>EP-002</t>
        </is>
      </c>
      <c r="B10" s="4" t="inlineStr">
        <is>
          <t>US-002-002</t>
        </is>
      </c>
      <c r="C10" s="4" t="n">
        <v>4</v>
      </c>
      <c r="D10" s="4">
        <f>COUNTIF('Acceptance Criteria'!B:B,B10)</f>
        <v/>
      </c>
      <c r="E10" s="4">
        <f>VLOOKUP(B10,'User Stories'!A:L,12,FALSE)</f>
        <v/>
      </c>
      <c r="F10" s="4">
        <f>COUNTIFS('Acceptance Criteria'!B:B,B10,'Acceptance Criteria'!F:F,"&lt;&gt;Not Tested")</f>
        <v/>
      </c>
      <c r="G10" s="4">
        <f>COUNTIFS('Acceptance Criteria'!B:B,B10,'Acceptance Criteria'!F:F,"Pass")</f>
        <v/>
      </c>
      <c r="H10" s="4">
        <f>COUNTIFS('Acceptance Criteria'!B:B,B10,'Acceptance Criteria'!F:F,"Fail")</f>
        <v/>
      </c>
      <c r="I10" s="4">
        <f>IF(C10=D10,"Linked","Mismatch")</f>
        <v/>
      </c>
      <c r="J10" s="5">
        <f>IF(C10=0,0,G10/C10)</f>
        <v/>
      </c>
    </row>
    <row r="11">
      <c r="A11" s="4" t="inlineStr">
        <is>
          <t>EP-002</t>
        </is>
      </c>
      <c r="B11" s="4" t="inlineStr">
        <is>
          <t>US-002-003</t>
        </is>
      </c>
      <c r="C11" s="4" t="n">
        <v>4</v>
      </c>
      <c r="D11" s="4">
        <f>COUNTIF('Acceptance Criteria'!B:B,B11)</f>
        <v/>
      </c>
      <c r="E11" s="4">
        <f>VLOOKUP(B11,'User Stories'!A:L,12,FALSE)</f>
        <v/>
      </c>
      <c r="F11" s="4">
        <f>COUNTIFS('Acceptance Criteria'!B:B,B11,'Acceptance Criteria'!F:F,"&lt;&gt;Not Tested")</f>
        <v/>
      </c>
      <c r="G11" s="4">
        <f>COUNTIFS('Acceptance Criteria'!B:B,B11,'Acceptance Criteria'!F:F,"Pass")</f>
        <v/>
      </c>
      <c r="H11" s="4">
        <f>COUNTIFS('Acceptance Criteria'!B:B,B11,'Acceptance Criteria'!F:F,"Fail")</f>
        <v/>
      </c>
      <c r="I11" s="4">
        <f>IF(C11=D11,"Linked","Mismatch")</f>
        <v/>
      </c>
      <c r="J11" s="5">
        <f>IF(C11=0,0,G11/C11)</f>
        <v/>
      </c>
    </row>
    <row r="12">
      <c r="A12" s="4" t="inlineStr">
        <is>
          <t>EP-002</t>
        </is>
      </c>
      <c r="B12" s="4" t="inlineStr">
        <is>
          <t>US-002-004</t>
        </is>
      </c>
      <c r="C12" s="4" t="n">
        <v>4</v>
      </c>
      <c r="D12" s="4">
        <f>COUNTIF('Acceptance Criteria'!B:B,B12)</f>
        <v/>
      </c>
      <c r="E12" s="4">
        <f>VLOOKUP(B12,'User Stories'!A:L,12,FALSE)</f>
        <v/>
      </c>
      <c r="F12" s="4">
        <f>COUNTIFS('Acceptance Criteria'!B:B,B12,'Acceptance Criteria'!F:F,"&lt;&gt;Not Tested")</f>
        <v/>
      </c>
      <c r="G12" s="4">
        <f>COUNTIFS('Acceptance Criteria'!B:B,B12,'Acceptance Criteria'!F:F,"Pass")</f>
        <v/>
      </c>
      <c r="H12" s="4">
        <f>COUNTIFS('Acceptance Criteria'!B:B,B12,'Acceptance Criteria'!F:F,"Fail")</f>
        <v/>
      </c>
      <c r="I12" s="4">
        <f>IF(C12=D12,"Linked","Mismatch")</f>
        <v/>
      </c>
      <c r="J12" s="5">
        <f>IF(C12=0,0,G12/C12)</f>
        <v/>
      </c>
    </row>
    <row r="13">
      <c r="A13" s="4" t="inlineStr">
        <is>
          <t>EP-002</t>
        </is>
      </c>
      <c r="B13" s="4" t="inlineStr">
        <is>
          <t>US-002-005</t>
        </is>
      </c>
      <c r="C13" s="4" t="n">
        <v>4</v>
      </c>
      <c r="D13" s="4">
        <f>COUNTIF('Acceptance Criteria'!B:B,B13)</f>
        <v/>
      </c>
      <c r="E13" s="4">
        <f>VLOOKUP(B13,'User Stories'!A:L,12,FALSE)</f>
        <v/>
      </c>
      <c r="F13" s="4">
        <f>COUNTIFS('Acceptance Criteria'!B:B,B13,'Acceptance Criteria'!F:F,"&lt;&gt;Not Tested")</f>
        <v/>
      </c>
      <c r="G13" s="4">
        <f>COUNTIFS('Acceptance Criteria'!B:B,B13,'Acceptance Criteria'!F:F,"Pass")</f>
        <v/>
      </c>
      <c r="H13" s="4">
        <f>COUNTIFS('Acceptance Criteria'!B:B,B13,'Acceptance Criteria'!F:F,"Fail")</f>
        <v/>
      </c>
      <c r="I13" s="4">
        <f>IF(C13=D13,"Linked","Mismatch")</f>
        <v/>
      </c>
      <c r="J13" s="5">
        <f>IF(C13=0,0,G13/C13)</f>
        <v/>
      </c>
    </row>
    <row r="14">
      <c r="A14" s="4" t="inlineStr">
        <is>
          <t>EP-002</t>
        </is>
      </c>
      <c r="B14" s="4" t="inlineStr">
        <is>
          <t>US-002-006</t>
        </is>
      </c>
      <c r="C14" s="4" t="n">
        <v>4</v>
      </c>
      <c r="D14" s="4">
        <f>COUNTIF('Acceptance Criteria'!B:B,B14)</f>
        <v/>
      </c>
      <c r="E14" s="4">
        <f>VLOOKUP(B14,'User Stories'!A:L,12,FALSE)</f>
        <v/>
      </c>
      <c r="F14" s="4">
        <f>COUNTIFS('Acceptance Criteria'!B:B,B14,'Acceptance Criteria'!F:F,"&lt;&gt;Not Tested")</f>
        <v/>
      </c>
      <c r="G14" s="4">
        <f>COUNTIFS('Acceptance Criteria'!B:B,B14,'Acceptance Criteria'!F:F,"Pass")</f>
        <v/>
      </c>
      <c r="H14" s="4">
        <f>COUNTIFS('Acceptance Criteria'!B:B,B14,'Acceptance Criteria'!F:F,"Fail")</f>
        <v/>
      </c>
      <c r="I14" s="4">
        <f>IF(C14=D14,"Linked","Mismatch")</f>
        <v/>
      </c>
      <c r="J14" s="5">
        <f>IF(C14=0,0,G14/C14)</f>
        <v/>
      </c>
    </row>
    <row r="15">
      <c r="A15" s="4" t="inlineStr">
        <is>
          <t>EP-003</t>
        </is>
      </c>
      <c r="B15" s="4" t="inlineStr">
        <is>
          <t>US-003-001</t>
        </is>
      </c>
      <c r="C15" s="4" t="n">
        <v>4</v>
      </c>
      <c r="D15" s="4">
        <f>COUNTIF('Acceptance Criteria'!B:B,B15)</f>
        <v/>
      </c>
      <c r="E15" s="4">
        <f>VLOOKUP(B15,'User Stories'!A:L,12,FALSE)</f>
        <v/>
      </c>
      <c r="F15" s="4">
        <f>COUNTIFS('Acceptance Criteria'!B:B,B15,'Acceptance Criteria'!F:F,"&lt;&gt;Not Tested")</f>
        <v/>
      </c>
      <c r="G15" s="4">
        <f>COUNTIFS('Acceptance Criteria'!B:B,B15,'Acceptance Criteria'!F:F,"Pass")</f>
        <v/>
      </c>
      <c r="H15" s="4">
        <f>COUNTIFS('Acceptance Criteria'!B:B,B15,'Acceptance Criteria'!F:F,"Fail")</f>
        <v/>
      </c>
      <c r="I15" s="4">
        <f>IF(C15=D15,"Linked","Mismatch")</f>
        <v/>
      </c>
      <c r="J15" s="5">
        <f>IF(C15=0,0,G15/C15)</f>
        <v/>
      </c>
    </row>
    <row r="16">
      <c r="A16" s="4" t="inlineStr">
        <is>
          <t>EP-003</t>
        </is>
      </c>
      <c r="B16" s="4" t="inlineStr">
        <is>
          <t>US-003-002</t>
        </is>
      </c>
      <c r="C16" s="4" t="n">
        <v>4</v>
      </c>
      <c r="D16" s="4">
        <f>COUNTIF('Acceptance Criteria'!B:B,B16)</f>
        <v/>
      </c>
      <c r="E16" s="4">
        <f>VLOOKUP(B16,'User Stories'!A:L,12,FALSE)</f>
        <v/>
      </c>
      <c r="F16" s="4">
        <f>COUNTIFS('Acceptance Criteria'!B:B,B16,'Acceptance Criteria'!F:F,"&lt;&gt;Not Tested")</f>
        <v/>
      </c>
      <c r="G16" s="4">
        <f>COUNTIFS('Acceptance Criteria'!B:B,B16,'Acceptance Criteria'!F:F,"Pass")</f>
        <v/>
      </c>
      <c r="H16" s="4">
        <f>COUNTIFS('Acceptance Criteria'!B:B,B16,'Acceptance Criteria'!F:F,"Fail")</f>
        <v/>
      </c>
      <c r="I16" s="4">
        <f>IF(C16=D16,"Linked","Mismatch")</f>
        <v/>
      </c>
      <c r="J16" s="5">
        <f>IF(C16=0,0,G16/C16)</f>
        <v/>
      </c>
    </row>
    <row r="17">
      <c r="A17" s="4" t="inlineStr">
        <is>
          <t>EP-003</t>
        </is>
      </c>
      <c r="B17" s="4" t="inlineStr">
        <is>
          <t>US-003-003</t>
        </is>
      </c>
      <c r="C17" s="4" t="n">
        <v>4</v>
      </c>
      <c r="D17" s="4">
        <f>COUNTIF('Acceptance Criteria'!B:B,B17)</f>
        <v/>
      </c>
      <c r="E17" s="4">
        <f>VLOOKUP(B17,'User Stories'!A:L,12,FALSE)</f>
        <v/>
      </c>
      <c r="F17" s="4">
        <f>COUNTIFS('Acceptance Criteria'!B:B,B17,'Acceptance Criteria'!F:F,"&lt;&gt;Not Tested")</f>
        <v/>
      </c>
      <c r="G17" s="4">
        <f>COUNTIFS('Acceptance Criteria'!B:B,B17,'Acceptance Criteria'!F:F,"Pass")</f>
        <v/>
      </c>
      <c r="H17" s="4">
        <f>COUNTIFS('Acceptance Criteria'!B:B,B17,'Acceptance Criteria'!F:F,"Fail")</f>
        <v/>
      </c>
      <c r="I17" s="4">
        <f>IF(C17=D17,"Linked","Mismatch")</f>
        <v/>
      </c>
      <c r="J17" s="5">
        <f>IF(C17=0,0,G17/C17)</f>
        <v/>
      </c>
    </row>
    <row r="18">
      <c r="A18" s="4" t="inlineStr">
        <is>
          <t>EP-003</t>
        </is>
      </c>
      <c r="B18" s="4" t="inlineStr">
        <is>
          <t>US-003-004</t>
        </is>
      </c>
      <c r="C18" s="4" t="n">
        <v>4</v>
      </c>
      <c r="D18" s="4">
        <f>COUNTIF('Acceptance Criteria'!B:B,B18)</f>
        <v/>
      </c>
      <c r="E18" s="4">
        <f>VLOOKUP(B18,'User Stories'!A:L,12,FALSE)</f>
        <v/>
      </c>
      <c r="F18" s="4">
        <f>COUNTIFS('Acceptance Criteria'!B:B,B18,'Acceptance Criteria'!F:F,"&lt;&gt;Not Tested")</f>
        <v/>
      </c>
      <c r="G18" s="4">
        <f>COUNTIFS('Acceptance Criteria'!B:B,B18,'Acceptance Criteria'!F:F,"Pass")</f>
        <v/>
      </c>
      <c r="H18" s="4">
        <f>COUNTIFS('Acceptance Criteria'!B:B,B18,'Acceptance Criteria'!F:F,"Fail")</f>
        <v/>
      </c>
      <c r="I18" s="4">
        <f>IF(C18=D18,"Linked","Mismatch")</f>
        <v/>
      </c>
      <c r="J18" s="5">
        <f>IF(C18=0,0,G18/C18)</f>
        <v/>
      </c>
    </row>
    <row r="19">
      <c r="A19" s="4" t="inlineStr">
        <is>
          <t>EP-003</t>
        </is>
      </c>
      <c r="B19" s="4" t="inlineStr">
        <is>
          <t>US-003-005</t>
        </is>
      </c>
      <c r="C19" s="4" t="n">
        <v>4</v>
      </c>
      <c r="D19" s="4">
        <f>COUNTIF('Acceptance Criteria'!B:B,B19)</f>
        <v/>
      </c>
      <c r="E19" s="4">
        <f>VLOOKUP(B19,'User Stories'!A:L,12,FALSE)</f>
        <v/>
      </c>
      <c r="F19" s="4">
        <f>COUNTIFS('Acceptance Criteria'!B:B,B19,'Acceptance Criteria'!F:F,"&lt;&gt;Not Tested")</f>
        <v/>
      </c>
      <c r="G19" s="4">
        <f>COUNTIFS('Acceptance Criteria'!B:B,B19,'Acceptance Criteria'!F:F,"Pass")</f>
        <v/>
      </c>
      <c r="H19" s="4">
        <f>COUNTIFS('Acceptance Criteria'!B:B,B19,'Acceptance Criteria'!F:F,"Fail")</f>
        <v/>
      </c>
      <c r="I19" s="4">
        <f>IF(C19=D19,"Linked","Mismatch")</f>
        <v/>
      </c>
      <c r="J19" s="5">
        <f>IF(C19=0,0,G19/C19)</f>
        <v/>
      </c>
    </row>
    <row r="20">
      <c r="A20" s="4" t="inlineStr">
        <is>
          <t>EP-003</t>
        </is>
      </c>
      <c r="B20" s="4" t="inlineStr">
        <is>
          <t>US-003-006</t>
        </is>
      </c>
      <c r="C20" s="4" t="n">
        <v>4</v>
      </c>
      <c r="D20" s="4">
        <f>COUNTIF('Acceptance Criteria'!B:B,B20)</f>
        <v/>
      </c>
      <c r="E20" s="4">
        <f>VLOOKUP(B20,'User Stories'!A:L,12,FALSE)</f>
        <v/>
      </c>
      <c r="F20" s="4">
        <f>COUNTIFS('Acceptance Criteria'!B:B,B20,'Acceptance Criteria'!F:F,"&lt;&gt;Not Tested")</f>
        <v/>
      </c>
      <c r="G20" s="4">
        <f>COUNTIFS('Acceptance Criteria'!B:B,B20,'Acceptance Criteria'!F:F,"Pass")</f>
        <v/>
      </c>
      <c r="H20" s="4">
        <f>COUNTIFS('Acceptance Criteria'!B:B,B20,'Acceptance Criteria'!F:F,"Fail")</f>
        <v/>
      </c>
      <c r="I20" s="4">
        <f>IF(C20=D20,"Linked","Mismatch")</f>
        <v/>
      </c>
      <c r="J20" s="5">
        <f>IF(C20=0,0,G20/C20)</f>
        <v/>
      </c>
    </row>
    <row r="21">
      <c r="A21" s="4" t="inlineStr">
        <is>
          <t>EP-003</t>
        </is>
      </c>
      <c r="B21" s="4" t="inlineStr">
        <is>
          <t>US-003-007</t>
        </is>
      </c>
      <c r="C21" s="4" t="n">
        <v>4</v>
      </c>
      <c r="D21" s="4">
        <f>COUNTIF('Acceptance Criteria'!B:B,B21)</f>
        <v/>
      </c>
      <c r="E21" s="4">
        <f>VLOOKUP(B21,'User Stories'!A:L,12,FALSE)</f>
        <v/>
      </c>
      <c r="F21" s="4">
        <f>COUNTIFS('Acceptance Criteria'!B:B,B21,'Acceptance Criteria'!F:F,"&lt;&gt;Not Tested")</f>
        <v/>
      </c>
      <c r="G21" s="4">
        <f>COUNTIFS('Acceptance Criteria'!B:B,B21,'Acceptance Criteria'!F:F,"Pass")</f>
        <v/>
      </c>
      <c r="H21" s="4">
        <f>COUNTIFS('Acceptance Criteria'!B:B,B21,'Acceptance Criteria'!F:F,"Fail")</f>
        <v/>
      </c>
      <c r="I21" s="4">
        <f>IF(C21=D21,"Linked","Mismatch")</f>
        <v/>
      </c>
      <c r="J21" s="5">
        <f>IF(C21=0,0,G21/C21)</f>
        <v/>
      </c>
    </row>
    <row r="22">
      <c r="A22" s="4" t="inlineStr">
        <is>
          <t>EP-003</t>
        </is>
      </c>
      <c r="B22" s="4" t="inlineStr">
        <is>
          <t>US-003-008</t>
        </is>
      </c>
      <c r="C22" s="4" t="n">
        <v>4</v>
      </c>
      <c r="D22" s="4">
        <f>COUNTIF('Acceptance Criteria'!B:B,B22)</f>
        <v/>
      </c>
      <c r="E22" s="4">
        <f>VLOOKUP(B22,'User Stories'!A:L,12,FALSE)</f>
        <v/>
      </c>
      <c r="F22" s="4">
        <f>COUNTIFS('Acceptance Criteria'!B:B,B22,'Acceptance Criteria'!F:F,"&lt;&gt;Not Tested")</f>
        <v/>
      </c>
      <c r="G22" s="4">
        <f>COUNTIFS('Acceptance Criteria'!B:B,B22,'Acceptance Criteria'!F:F,"Pass")</f>
        <v/>
      </c>
      <c r="H22" s="4">
        <f>COUNTIFS('Acceptance Criteria'!B:B,B22,'Acceptance Criteria'!F:F,"Fail")</f>
        <v/>
      </c>
      <c r="I22" s="4">
        <f>IF(C22=D22,"Linked","Mismatch")</f>
        <v/>
      </c>
      <c r="J22" s="5">
        <f>IF(C22=0,0,G22/C22)</f>
        <v/>
      </c>
    </row>
    <row r="23">
      <c r="A23" s="4" t="inlineStr">
        <is>
          <t>EP-004</t>
        </is>
      </c>
      <c r="B23" s="4" t="inlineStr">
        <is>
          <t>US-004-001</t>
        </is>
      </c>
      <c r="C23" s="4" t="n">
        <v>4</v>
      </c>
      <c r="D23" s="4">
        <f>COUNTIF('Acceptance Criteria'!B:B,B23)</f>
        <v/>
      </c>
      <c r="E23" s="4">
        <f>VLOOKUP(B23,'User Stories'!A:L,12,FALSE)</f>
        <v/>
      </c>
      <c r="F23" s="4">
        <f>COUNTIFS('Acceptance Criteria'!B:B,B23,'Acceptance Criteria'!F:F,"&lt;&gt;Not Tested")</f>
        <v/>
      </c>
      <c r="G23" s="4">
        <f>COUNTIFS('Acceptance Criteria'!B:B,B23,'Acceptance Criteria'!F:F,"Pass")</f>
        <v/>
      </c>
      <c r="H23" s="4">
        <f>COUNTIFS('Acceptance Criteria'!B:B,B23,'Acceptance Criteria'!F:F,"Fail")</f>
        <v/>
      </c>
      <c r="I23" s="4">
        <f>IF(C23=D23,"Linked","Mismatch")</f>
        <v/>
      </c>
      <c r="J23" s="5">
        <f>IF(C23=0,0,G23/C23)</f>
        <v/>
      </c>
    </row>
    <row r="24">
      <c r="A24" s="4" t="inlineStr">
        <is>
          <t>EP-004</t>
        </is>
      </c>
      <c r="B24" s="4" t="inlineStr">
        <is>
          <t>US-004-002</t>
        </is>
      </c>
      <c r="C24" s="4" t="n">
        <v>4</v>
      </c>
      <c r="D24" s="4">
        <f>COUNTIF('Acceptance Criteria'!B:B,B24)</f>
        <v/>
      </c>
      <c r="E24" s="4">
        <f>VLOOKUP(B24,'User Stories'!A:L,12,FALSE)</f>
        <v/>
      </c>
      <c r="F24" s="4">
        <f>COUNTIFS('Acceptance Criteria'!B:B,B24,'Acceptance Criteria'!F:F,"&lt;&gt;Not Tested")</f>
        <v/>
      </c>
      <c r="G24" s="4">
        <f>COUNTIFS('Acceptance Criteria'!B:B,B24,'Acceptance Criteria'!F:F,"Pass")</f>
        <v/>
      </c>
      <c r="H24" s="4">
        <f>COUNTIFS('Acceptance Criteria'!B:B,B24,'Acceptance Criteria'!F:F,"Fail")</f>
        <v/>
      </c>
      <c r="I24" s="4">
        <f>IF(C24=D24,"Linked","Mismatch")</f>
        <v/>
      </c>
      <c r="J24" s="5">
        <f>IF(C24=0,0,G24/C24)</f>
        <v/>
      </c>
    </row>
    <row r="25">
      <c r="A25" s="4" t="inlineStr">
        <is>
          <t>EP-004</t>
        </is>
      </c>
      <c r="B25" s="4" t="inlineStr">
        <is>
          <t>US-004-003</t>
        </is>
      </c>
      <c r="C25" s="4" t="n">
        <v>4</v>
      </c>
      <c r="D25" s="4">
        <f>COUNTIF('Acceptance Criteria'!B:B,B25)</f>
        <v/>
      </c>
      <c r="E25" s="4">
        <f>VLOOKUP(B25,'User Stories'!A:L,12,FALSE)</f>
        <v/>
      </c>
      <c r="F25" s="4">
        <f>COUNTIFS('Acceptance Criteria'!B:B,B25,'Acceptance Criteria'!F:F,"&lt;&gt;Not Tested")</f>
        <v/>
      </c>
      <c r="G25" s="4">
        <f>COUNTIFS('Acceptance Criteria'!B:B,B25,'Acceptance Criteria'!F:F,"Pass")</f>
        <v/>
      </c>
      <c r="H25" s="4">
        <f>COUNTIFS('Acceptance Criteria'!B:B,B25,'Acceptance Criteria'!F:F,"Fail")</f>
        <v/>
      </c>
      <c r="I25" s="4">
        <f>IF(C25=D25,"Linked","Mismatch")</f>
        <v/>
      </c>
      <c r="J25" s="5">
        <f>IF(C25=0,0,G25/C25)</f>
        <v/>
      </c>
    </row>
    <row r="26">
      <c r="A26" s="4" t="inlineStr">
        <is>
          <t>EP-004</t>
        </is>
      </c>
      <c r="B26" s="4" t="inlineStr">
        <is>
          <t>US-004-004</t>
        </is>
      </c>
      <c r="C26" s="4" t="n">
        <v>4</v>
      </c>
      <c r="D26" s="4">
        <f>COUNTIF('Acceptance Criteria'!B:B,B26)</f>
        <v/>
      </c>
      <c r="E26" s="4">
        <f>VLOOKUP(B26,'User Stories'!A:L,12,FALSE)</f>
        <v/>
      </c>
      <c r="F26" s="4">
        <f>COUNTIFS('Acceptance Criteria'!B:B,B26,'Acceptance Criteria'!F:F,"&lt;&gt;Not Tested")</f>
        <v/>
      </c>
      <c r="G26" s="4">
        <f>COUNTIFS('Acceptance Criteria'!B:B,B26,'Acceptance Criteria'!F:F,"Pass")</f>
        <v/>
      </c>
      <c r="H26" s="4">
        <f>COUNTIFS('Acceptance Criteria'!B:B,B26,'Acceptance Criteria'!F:F,"Fail")</f>
        <v/>
      </c>
      <c r="I26" s="4">
        <f>IF(C26=D26,"Linked","Mismatch")</f>
        <v/>
      </c>
      <c r="J26" s="5">
        <f>IF(C26=0,0,G26/C26)</f>
        <v/>
      </c>
    </row>
    <row r="27">
      <c r="A27" s="4" t="inlineStr">
        <is>
          <t>EP-004</t>
        </is>
      </c>
      <c r="B27" s="4" t="inlineStr">
        <is>
          <t>US-004-005</t>
        </is>
      </c>
      <c r="C27" s="4" t="n">
        <v>4</v>
      </c>
      <c r="D27" s="4">
        <f>COUNTIF('Acceptance Criteria'!B:B,B27)</f>
        <v/>
      </c>
      <c r="E27" s="4">
        <f>VLOOKUP(B27,'User Stories'!A:L,12,FALSE)</f>
        <v/>
      </c>
      <c r="F27" s="4">
        <f>COUNTIFS('Acceptance Criteria'!B:B,B27,'Acceptance Criteria'!F:F,"&lt;&gt;Not Tested")</f>
        <v/>
      </c>
      <c r="G27" s="4">
        <f>COUNTIFS('Acceptance Criteria'!B:B,B27,'Acceptance Criteria'!F:F,"Pass")</f>
        <v/>
      </c>
      <c r="H27" s="4">
        <f>COUNTIFS('Acceptance Criteria'!B:B,B27,'Acceptance Criteria'!F:F,"Fail")</f>
        <v/>
      </c>
      <c r="I27" s="4">
        <f>IF(C27=D27,"Linked","Mismatch")</f>
        <v/>
      </c>
      <c r="J27" s="5">
        <f>IF(C27=0,0,G27/C27)</f>
        <v/>
      </c>
    </row>
    <row r="28">
      <c r="A28" s="4" t="inlineStr">
        <is>
          <t>EP-004</t>
        </is>
      </c>
      <c r="B28" s="4" t="inlineStr">
        <is>
          <t>US-004-006</t>
        </is>
      </c>
      <c r="C28" s="4" t="n">
        <v>4</v>
      </c>
      <c r="D28" s="4">
        <f>COUNTIF('Acceptance Criteria'!B:B,B28)</f>
        <v/>
      </c>
      <c r="E28" s="4">
        <f>VLOOKUP(B28,'User Stories'!A:L,12,FALSE)</f>
        <v/>
      </c>
      <c r="F28" s="4">
        <f>COUNTIFS('Acceptance Criteria'!B:B,B28,'Acceptance Criteria'!F:F,"&lt;&gt;Not Tested")</f>
        <v/>
      </c>
      <c r="G28" s="4">
        <f>COUNTIFS('Acceptance Criteria'!B:B,B28,'Acceptance Criteria'!F:F,"Pass")</f>
        <v/>
      </c>
      <c r="H28" s="4">
        <f>COUNTIFS('Acceptance Criteria'!B:B,B28,'Acceptance Criteria'!F:F,"Fail")</f>
        <v/>
      </c>
      <c r="I28" s="4">
        <f>IF(C28=D28,"Linked","Mismatch")</f>
        <v/>
      </c>
      <c r="J28" s="5">
        <f>IF(C28=0,0,G28/C28)</f>
        <v/>
      </c>
    </row>
    <row r="29">
      <c r="A29" s="4" t="inlineStr">
        <is>
          <t>EP-005</t>
        </is>
      </c>
      <c r="B29" s="4" t="inlineStr">
        <is>
          <t>US-005-001</t>
        </is>
      </c>
      <c r="C29" s="4" t="n">
        <v>4</v>
      </c>
      <c r="D29" s="4">
        <f>COUNTIF('Acceptance Criteria'!B:B,B29)</f>
        <v/>
      </c>
      <c r="E29" s="4">
        <f>VLOOKUP(B29,'User Stories'!A:L,12,FALSE)</f>
        <v/>
      </c>
      <c r="F29" s="4">
        <f>COUNTIFS('Acceptance Criteria'!B:B,B29,'Acceptance Criteria'!F:F,"&lt;&gt;Not Tested")</f>
        <v/>
      </c>
      <c r="G29" s="4">
        <f>COUNTIFS('Acceptance Criteria'!B:B,B29,'Acceptance Criteria'!F:F,"Pass")</f>
        <v/>
      </c>
      <c r="H29" s="4">
        <f>COUNTIFS('Acceptance Criteria'!B:B,B29,'Acceptance Criteria'!F:F,"Fail")</f>
        <v/>
      </c>
      <c r="I29" s="4">
        <f>IF(C29=D29,"Linked","Mismatch")</f>
        <v/>
      </c>
      <c r="J29" s="5">
        <f>IF(C29=0,0,G29/C29)</f>
        <v/>
      </c>
    </row>
    <row r="30">
      <c r="A30" s="4" t="inlineStr">
        <is>
          <t>EP-005</t>
        </is>
      </c>
      <c r="B30" s="4" t="inlineStr">
        <is>
          <t>US-005-002</t>
        </is>
      </c>
      <c r="C30" s="4" t="n">
        <v>4</v>
      </c>
      <c r="D30" s="4">
        <f>COUNTIF('Acceptance Criteria'!B:B,B30)</f>
        <v/>
      </c>
      <c r="E30" s="4">
        <f>VLOOKUP(B30,'User Stories'!A:L,12,FALSE)</f>
        <v/>
      </c>
      <c r="F30" s="4">
        <f>COUNTIFS('Acceptance Criteria'!B:B,B30,'Acceptance Criteria'!F:F,"&lt;&gt;Not Tested")</f>
        <v/>
      </c>
      <c r="G30" s="4">
        <f>COUNTIFS('Acceptance Criteria'!B:B,B30,'Acceptance Criteria'!F:F,"Pass")</f>
        <v/>
      </c>
      <c r="H30" s="4">
        <f>COUNTIFS('Acceptance Criteria'!B:B,B30,'Acceptance Criteria'!F:F,"Fail")</f>
        <v/>
      </c>
      <c r="I30" s="4">
        <f>IF(C30=D30,"Linked","Mismatch")</f>
        <v/>
      </c>
      <c r="J30" s="5">
        <f>IF(C30=0,0,G30/C30)</f>
        <v/>
      </c>
    </row>
    <row r="31">
      <c r="A31" s="4" t="inlineStr">
        <is>
          <t>EP-005</t>
        </is>
      </c>
      <c r="B31" s="4" t="inlineStr">
        <is>
          <t>US-005-003</t>
        </is>
      </c>
      <c r="C31" s="4" t="n">
        <v>4</v>
      </c>
      <c r="D31" s="4">
        <f>COUNTIF('Acceptance Criteria'!B:B,B31)</f>
        <v/>
      </c>
      <c r="E31" s="4">
        <f>VLOOKUP(B31,'User Stories'!A:L,12,FALSE)</f>
        <v/>
      </c>
      <c r="F31" s="4">
        <f>COUNTIFS('Acceptance Criteria'!B:B,B31,'Acceptance Criteria'!F:F,"&lt;&gt;Not Tested")</f>
        <v/>
      </c>
      <c r="G31" s="4">
        <f>COUNTIFS('Acceptance Criteria'!B:B,B31,'Acceptance Criteria'!F:F,"Pass")</f>
        <v/>
      </c>
      <c r="H31" s="4">
        <f>COUNTIFS('Acceptance Criteria'!B:B,B31,'Acceptance Criteria'!F:F,"Fail")</f>
        <v/>
      </c>
      <c r="I31" s="4">
        <f>IF(C31=D31,"Linked","Mismatch")</f>
        <v/>
      </c>
      <c r="J31" s="5">
        <f>IF(C31=0,0,G31/C31)</f>
        <v/>
      </c>
    </row>
    <row r="32">
      <c r="A32" s="4" t="inlineStr">
        <is>
          <t>EP-005</t>
        </is>
      </c>
      <c r="B32" s="4" t="inlineStr">
        <is>
          <t>US-005-004</t>
        </is>
      </c>
      <c r="C32" s="4" t="n">
        <v>4</v>
      </c>
      <c r="D32" s="4">
        <f>COUNTIF('Acceptance Criteria'!B:B,B32)</f>
        <v/>
      </c>
      <c r="E32" s="4">
        <f>VLOOKUP(B32,'User Stories'!A:L,12,FALSE)</f>
        <v/>
      </c>
      <c r="F32" s="4">
        <f>COUNTIFS('Acceptance Criteria'!B:B,B32,'Acceptance Criteria'!F:F,"&lt;&gt;Not Tested")</f>
        <v/>
      </c>
      <c r="G32" s="4">
        <f>COUNTIFS('Acceptance Criteria'!B:B,B32,'Acceptance Criteria'!F:F,"Pass")</f>
        <v/>
      </c>
      <c r="H32" s="4">
        <f>COUNTIFS('Acceptance Criteria'!B:B,B32,'Acceptance Criteria'!F:F,"Fail")</f>
        <v/>
      </c>
      <c r="I32" s="4">
        <f>IF(C32=D32,"Linked","Mismatch")</f>
        <v/>
      </c>
      <c r="J32" s="5">
        <f>IF(C32=0,0,G32/C32)</f>
        <v/>
      </c>
    </row>
    <row r="33">
      <c r="A33" s="4" t="inlineStr">
        <is>
          <t>EP-005</t>
        </is>
      </c>
      <c r="B33" s="4" t="inlineStr">
        <is>
          <t>US-005-005</t>
        </is>
      </c>
      <c r="C33" s="4" t="n">
        <v>4</v>
      </c>
      <c r="D33" s="4">
        <f>COUNTIF('Acceptance Criteria'!B:B,B33)</f>
        <v/>
      </c>
      <c r="E33" s="4">
        <f>VLOOKUP(B33,'User Stories'!A:L,12,FALSE)</f>
        <v/>
      </c>
      <c r="F33" s="4">
        <f>COUNTIFS('Acceptance Criteria'!B:B,B33,'Acceptance Criteria'!F:F,"&lt;&gt;Not Tested")</f>
        <v/>
      </c>
      <c r="G33" s="4">
        <f>COUNTIFS('Acceptance Criteria'!B:B,B33,'Acceptance Criteria'!F:F,"Pass")</f>
        <v/>
      </c>
      <c r="H33" s="4">
        <f>COUNTIFS('Acceptance Criteria'!B:B,B33,'Acceptance Criteria'!F:F,"Fail")</f>
        <v/>
      </c>
      <c r="I33" s="4">
        <f>IF(C33=D33,"Linked","Mismatch")</f>
        <v/>
      </c>
      <c r="J33" s="5">
        <f>IF(C33=0,0,G33/C33)</f>
        <v/>
      </c>
    </row>
    <row r="34">
      <c r="A34" s="4" t="inlineStr">
        <is>
          <t>EP-005</t>
        </is>
      </c>
      <c r="B34" s="4" t="inlineStr">
        <is>
          <t>US-005-006</t>
        </is>
      </c>
      <c r="C34" s="4" t="n">
        <v>4</v>
      </c>
      <c r="D34" s="4">
        <f>COUNTIF('Acceptance Criteria'!B:B,B34)</f>
        <v/>
      </c>
      <c r="E34" s="4">
        <f>VLOOKUP(B34,'User Stories'!A:L,12,FALSE)</f>
        <v/>
      </c>
      <c r="F34" s="4">
        <f>COUNTIFS('Acceptance Criteria'!B:B,B34,'Acceptance Criteria'!F:F,"&lt;&gt;Not Tested")</f>
        <v/>
      </c>
      <c r="G34" s="4">
        <f>COUNTIFS('Acceptance Criteria'!B:B,B34,'Acceptance Criteria'!F:F,"Pass")</f>
        <v/>
      </c>
      <c r="H34" s="4">
        <f>COUNTIFS('Acceptance Criteria'!B:B,B34,'Acceptance Criteria'!F:F,"Fail")</f>
        <v/>
      </c>
      <c r="I34" s="4">
        <f>IF(C34=D34,"Linked","Mismatch")</f>
        <v/>
      </c>
      <c r="J34" s="5">
        <f>IF(C34=0,0,G34/C34)</f>
        <v/>
      </c>
    </row>
    <row r="35">
      <c r="A35" s="4" t="inlineStr">
        <is>
          <t>EP-005</t>
        </is>
      </c>
      <c r="B35" s="4" t="inlineStr">
        <is>
          <t>US-005-007</t>
        </is>
      </c>
      <c r="C35" s="4" t="n">
        <v>4</v>
      </c>
      <c r="D35" s="4">
        <f>COUNTIF('Acceptance Criteria'!B:B,B35)</f>
        <v/>
      </c>
      <c r="E35" s="4">
        <f>VLOOKUP(B35,'User Stories'!A:L,12,FALSE)</f>
        <v/>
      </c>
      <c r="F35" s="4">
        <f>COUNTIFS('Acceptance Criteria'!B:B,B35,'Acceptance Criteria'!F:F,"&lt;&gt;Not Tested")</f>
        <v/>
      </c>
      <c r="G35" s="4">
        <f>COUNTIFS('Acceptance Criteria'!B:B,B35,'Acceptance Criteria'!F:F,"Pass")</f>
        <v/>
      </c>
      <c r="H35" s="4">
        <f>COUNTIFS('Acceptance Criteria'!B:B,B35,'Acceptance Criteria'!F:F,"Fail")</f>
        <v/>
      </c>
      <c r="I35" s="4">
        <f>IF(C35=D35,"Linked","Mismatch")</f>
        <v/>
      </c>
      <c r="J35" s="5">
        <f>IF(C35=0,0,G35/C35)</f>
        <v/>
      </c>
    </row>
    <row r="36">
      <c r="A36" s="4" t="inlineStr">
        <is>
          <t>EP-005</t>
        </is>
      </c>
      <c r="B36" s="4" t="inlineStr">
        <is>
          <t>US-005-008</t>
        </is>
      </c>
      <c r="C36" s="4" t="n">
        <v>4</v>
      </c>
      <c r="D36" s="4">
        <f>COUNTIF('Acceptance Criteria'!B:B,B36)</f>
        <v/>
      </c>
      <c r="E36" s="4">
        <f>VLOOKUP(B36,'User Stories'!A:L,12,FALSE)</f>
        <v/>
      </c>
      <c r="F36" s="4">
        <f>COUNTIFS('Acceptance Criteria'!B:B,B36,'Acceptance Criteria'!F:F,"&lt;&gt;Not Tested")</f>
        <v/>
      </c>
      <c r="G36" s="4">
        <f>COUNTIFS('Acceptance Criteria'!B:B,B36,'Acceptance Criteria'!F:F,"Pass")</f>
        <v/>
      </c>
      <c r="H36" s="4">
        <f>COUNTIFS('Acceptance Criteria'!B:B,B36,'Acceptance Criteria'!F:F,"Fail")</f>
        <v/>
      </c>
      <c r="I36" s="4">
        <f>IF(C36=D36,"Linked","Mismatch")</f>
        <v/>
      </c>
      <c r="J36" s="5">
        <f>IF(C36=0,0,G36/C36)</f>
        <v/>
      </c>
    </row>
    <row r="37">
      <c r="A37" s="4" t="inlineStr">
        <is>
          <t>EP-006</t>
        </is>
      </c>
      <c r="B37" s="4" t="inlineStr">
        <is>
          <t>US-006-001</t>
        </is>
      </c>
      <c r="C37" s="4" t="n">
        <v>4</v>
      </c>
      <c r="D37" s="4">
        <f>COUNTIF('Acceptance Criteria'!B:B,B37)</f>
        <v/>
      </c>
      <c r="E37" s="4">
        <f>VLOOKUP(B37,'User Stories'!A:L,12,FALSE)</f>
        <v/>
      </c>
      <c r="F37" s="4">
        <f>COUNTIFS('Acceptance Criteria'!B:B,B37,'Acceptance Criteria'!F:F,"&lt;&gt;Not Tested")</f>
        <v/>
      </c>
      <c r="G37" s="4">
        <f>COUNTIFS('Acceptance Criteria'!B:B,B37,'Acceptance Criteria'!F:F,"Pass")</f>
        <v/>
      </c>
      <c r="H37" s="4">
        <f>COUNTIFS('Acceptance Criteria'!B:B,B37,'Acceptance Criteria'!F:F,"Fail")</f>
        <v/>
      </c>
      <c r="I37" s="4">
        <f>IF(C37=D37,"Linked","Mismatch")</f>
        <v/>
      </c>
      <c r="J37" s="5">
        <f>IF(C37=0,0,G37/C37)</f>
        <v/>
      </c>
    </row>
    <row r="38">
      <c r="A38" s="4" t="inlineStr">
        <is>
          <t>EP-006</t>
        </is>
      </c>
      <c r="B38" s="4" t="inlineStr">
        <is>
          <t>US-006-002</t>
        </is>
      </c>
      <c r="C38" s="4" t="n">
        <v>4</v>
      </c>
      <c r="D38" s="4">
        <f>COUNTIF('Acceptance Criteria'!B:B,B38)</f>
        <v/>
      </c>
      <c r="E38" s="4">
        <f>VLOOKUP(B38,'User Stories'!A:L,12,FALSE)</f>
        <v/>
      </c>
      <c r="F38" s="4">
        <f>COUNTIFS('Acceptance Criteria'!B:B,B38,'Acceptance Criteria'!F:F,"&lt;&gt;Not Tested")</f>
        <v/>
      </c>
      <c r="G38" s="4">
        <f>COUNTIFS('Acceptance Criteria'!B:B,B38,'Acceptance Criteria'!F:F,"Pass")</f>
        <v/>
      </c>
      <c r="H38" s="4">
        <f>COUNTIFS('Acceptance Criteria'!B:B,B38,'Acceptance Criteria'!F:F,"Fail")</f>
        <v/>
      </c>
      <c r="I38" s="4">
        <f>IF(C38=D38,"Linked","Mismatch")</f>
        <v/>
      </c>
      <c r="J38" s="5">
        <f>IF(C38=0,0,G38/C38)</f>
        <v/>
      </c>
    </row>
    <row r="39">
      <c r="A39" s="4" t="inlineStr">
        <is>
          <t>EP-006</t>
        </is>
      </c>
      <c r="B39" s="4" t="inlineStr">
        <is>
          <t>US-006-003</t>
        </is>
      </c>
      <c r="C39" s="4" t="n">
        <v>4</v>
      </c>
      <c r="D39" s="4">
        <f>COUNTIF('Acceptance Criteria'!B:B,B39)</f>
        <v/>
      </c>
      <c r="E39" s="4">
        <f>VLOOKUP(B39,'User Stories'!A:L,12,FALSE)</f>
        <v/>
      </c>
      <c r="F39" s="4">
        <f>COUNTIFS('Acceptance Criteria'!B:B,B39,'Acceptance Criteria'!F:F,"&lt;&gt;Not Tested")</f>
        <v/>
      </c>
      <c r="G39" s="4">
        <f>COUNTIFS('Acceptance Criteria'!B:B,B39,'Acceptance Criteria'!F:F,"Pass")</f>
        <v/>
      </c>
      <c r="H39" s="4">
        <f>COUNTIFS('Acceptance Criteria'!B:B,B39,'Acceptance Criteria'!F:F,"Fail")</f>
        <v/>
      </c>
      <c r="I39" s="4">
        <f>IF(C39=D39,"Linked","Mismatch")</f>
        <v/>
      </c>
      <c r="J39" s="5">
        <f>IF(C39=0,0,G39/C39)</f>
        <v/>
      </c>
    </row>
    <row r="40">
      <c r="A40" s="4" t="inlineStr">
        <is>
          <t>EP-006</t>
        </is>
      </c>
      <c r="B40" s="4" t="inlineStr">
        <is>
          <t>US-006-004</t>
        </is>
      </c>
      <c r="C40" s="4" t="n">
        <v>4</v>
      </c>
      <c r="D40" s="4">
        <f>COUNTIF('Acceptance Criteria'!B:B,B40)</f>
        <v/>
      </c>
      <c r="E40" s="4">
        <f>VLOOKUP(B40,'User Stories'!A:L,12,FALSE)</f>
        <v/>
      </c>
      <c r="F40" s="4">
        <f>COUNTIFS('Acceptance Criteria'!B:B,B40,'Acceptance Criteria'!F:F,"&lt;&gt;Not Tested")</f>
        <v/>
      </c>
      <c r="G40" s="4">
        <f>COUNTIFS('Acceptance Criteria'!B:B,B40,'Acceptance Criteria'!F:F,"Pass")</f>
        <v/>
      </c>
      <c r="H40" s="4">
        <f>COUNTIFS('Acceptance Criteria'!B:B,B40,'Acceptance Criteria'!F:F,"Fail")</f>
        <v/>
      </c>
      <c r="I40" s="4">
        <f>IF(C40=D40,"Linked","Mismatch")</f>
        <v/>
      </c>
      <c r="J40" s="5">
        <f>IF(C40=0,0,G40/C40)</f>
        <v/>
      </c>
    </row>
    <row r="41">
      <c r="A41" s="4" t="inlineStr">
        <is>
          <t>EP-006</t>
        </is>
      </c>
      <c r="B41" s="4" t="inlineStr">
        <is>
          <t>US-006-005</t>
        </is>
      </c>
      <c r="C41" s="4" t="n">
        <v>4</v>
      </c>
      <c r="D41" s="4">
        <f>COUNTIF('Acceptance Criteria'!B:B,B41)</f>
        <v/>
      </c>
      <c r="E41" s="4">
        <f>VLOOKUP(B41,'User Stories'!A:L,12,FALSE)</f>
        <v/>
      </c>
      <c r="F41" s="4">
        <f>COUNTIFS('Acceptance Criteria'!B:B,B41,'Acceptance Criteria'!F:F,"&lt;&gt;Not Tested")</f>
        <v/>
      </c>
      <c r="G41" s="4">
        <f>COUNTIFS('Acceptance Criteria'!B:B,B41,'Acceptance Criteria'!F:F,"Pass")</f>
        <v/>
      </c>
      <c r="H41" s="4">
        <f>COUNTIFS('Acceptance Criteria'!B:B,B41,'Acceptance Criteria'!F:F,"Fail")</f>
        <v/>
      </c>
      <c r="I41" s="4">
        <f>IF(C41=D41,"Linked","Mismatch")</f>
        <v/>
      </c>
      <c r="J41" s="5">
        <f>IF(C41=0,0,G41/C41)</f>
        <v/>
      </c>
    </row>
    <row r="42">
      <c r="A42" s="4" t="inlineStr">
        <is>
          <t>EP-006</t>
        </is>
      </c>
      <c r="B42" s="4" t="inlineStr">
        <is>
          <t>US-006-006</t>
        </is>
      </c>
      <c r="C42" s="4" t="n">
        <v>4</v>
      </c>
      <c r="D42" s="4">
        <f>COUNTIF('Acceptance Criteria'!B:B,B42)</f>
        <v/>
      </c>
      <c r="E42" s="4">
        <f>VLOOKUP(B42,'User Stories'!A:L,12,FALSE)</f>
        <v/>
      </c>
      <c r="F42" s="4">
        <f>COUNTIFS('Acceptance Criteria'!B:B,B42,'Acceptance Criteria'!F:F,"&lt;&gt;Not Tested")</f>
        <v/>
      </c>
      <c r="G42" s="4">
        <f>COUNTIFS('Acceptance Criteria'!B:B,B42,'Acceptance Criteria'!F:F,"Pass")</f>
        <v/>
      </c>
      <c r="H42" s="4">
        <f>COUNTIFS('Acceptance Criteria'!B:B,B42,'Acceptance Criteria'!F:F,"Fail")</f>
        <v/>
      </c>
      <c r="I42" s="4">
        <f>IF(C42=D42,"Linked","Mismatch")</f>
        <v/>
      </c>
      <c r="J42" s="5">
        <f>IF(C42=0,0,G42/C42)</f>
        <v/>
      </c>
    </row>
    <row r="43">
      <c r="A43" s="4" t="inlineStr">
        <is>
          <t>EP-006</t>
        </is>
      </c>
      <c r="B43" s="4" t="inlineStr">
        <is>
          <t>US-006-007</t>
        </is>
      </c>
      <c r="C43" s="4" t="n">
        <v>4</v>
      </c>
      <c r="D43" s="4">
        <f>COUNTIF('Acceptance Criteria'!B:B,B43)</f>
        <v/>
      </c>
      <c r="E43" s="4">
        <f>VLOOKUP(B43,'User Stories'!A:L,12,FALSE)</f>
        <v/>
      </c>
      <c r="F43" s="4">
        <f>COUNTIFS('Acceptance Criteria'!B:B,B43,'Acceptance Criteria'!F:F,"&lt;&gt;Not Tested")</f>
        <v/>
      </c>
      <c r="G43" s="4">
        <f>COUNTIFS('Acceptance Criteria'!B:B,B43,'Acceptance Criteria'!F:F,"Pass")</f>
        <v/>
      </c>
      <c r="H43" s="4">
        <f>COUNTIFS('Acceptance Criteria'!B:B,B43,'Acceptance Criteria'!F:F,"Fail")</f>
        <v/>
      </c>
      <c r="I43" s="4">
        <f>IF(C43=D43,"Linked","Mismatch")</f>
        <v/>
      </c>
      <c r="J43" s="5">
        <f>IF(C43=0,0,G43/C43)</f>
        <v/>
      </c>
    </row>
    <row r="44">
      <c r="A44" s="4" t="inlineStr">
        <is>
          <t>EP-006</t>
        </is>
      </c>
      <c r="B44" s="4" t="inlineStr">
        <is>
          <t>US-006-008</t>
        </is>
      </c>
      <c r="C44" s="4" t="n">
        <v>4</v>
      </c>
      <c r="D44" s="4">
        <f>COUNTIF('Acceptance Criteria'!B:B,B44)</f>
        <v/>
      </c>
      <c r="E44" s="4">
        <f>VLOOKUP(B44,'User Stories'!A:L,12,FALSE)</f>
        <v/>
      </c>
      <c r="F44" s="4">
        <f>COUNTIFS('Acceptance Criteria'!B:B,B44,'Acceptance Criteria'!F:F,"&lt;&gt;Not Tested")</f>
        <v/>
      </c>
      <c r="G44" s="4">
        <f>COUNTIFS('Acceptance Criteria'!B:B,B44,'Acceptance Criteria'!F:F,"Pass")</f>
        <v/>
      </c>
      <c r="H44" s="4">
        <f>COUNTIFS('Acceptance Criteria'!B:B,B44,'Acceptance Criteria'!F:F,"Fail")</f>
        <v/>
      </c>
      <c r="I44" s="4">
        <f>IF(C44=D44,"Linked","Mismatch")</f>
        <v/>
      </c>
      <c r="J44" s="5">
        <f>IF(C44=0,0,G44/C44)</f>
        <v/>
      </c>
    </row>
    <row r="45">
      <c r="A45" s="4" t="inlineStr">
        <is>
          <t>EP-006</t>
        </is>
      </c>
      <c r="B45" s="4" t="inlineStr">
        <is>
          <t>US-006-009</t>
        </is>
      </c>
      <c r="C45" s="4" t="n">
        <v>4</v>
      </c>
      <c r="D45" s="4">
        <f>COUNTIF('Acceptance Criteria'!B:B,B45)</f>
        <v/>
      </c>
      <c r="E45" s="4">
        <f>VLOOKUP(B45,'User Stories'!A:L,12,FALSE)</f>
        <v/>
      </c>
      <c r="F45" s="4">
        <f>COUNTIFS('Acceptance Criteria'!B:B,B45,'Acceptance Criteria'!F:F,"&lt;&gt;Not Tested")</f>
        <v/>
      </c>
      <c r="G45" s="4">
        <f>COUNTIFS('Acceptance Criteria'!B:B,B45,'Acceptance Criteria'!F:F,"Pass")</f>
        <v/>
      </c>
      <c r="H45" s="4">
        <f>COUNTIFS('Acceptance Criteria'!B:B,B45,'Acceptance Criteria'!F:F,"Fail")</f>
        <v/>
      </c>
      <c r="I45" s="4">
        <f>IF(C45=D45,"Linked","Mismatch")</f>
        <v/>
      </c>
      <c r="J45" s="5">
        <f>IF(C45=0,0,G45/C45)</f>
        <v/>
      </c>
    </row>
    <row r="46">
      <c r="A46" s="4" t="inlineStr">
        <is>
          <t>EP-006</t>
        </is>
      </c>
      <c r="B46" s="4" t="inlineStr">
        <is>
          <t>US-006-010</t>
        </is>
      </c>
      <c r="C46" s="4" t="n">
        <v>4</v>
      </c>
      <c r="D46" s="4">
        <f>COUNTIF('Acceptance Criteria'!B:B,B46)</f>
        <v/>
      </c>
      <c r="E46" s="4">
        <f>VLOOKUP(B46,'User Stories'!A:L,12,FALSE)</f>
        <v/>
      </c>
      <c r="F46" s="4">
        <f>COUNTIFS('Acceptance Criteria'!B:B,B46,'Acceptance Criteria'!F:F,"&lt;&gt;Not Tested")</f>
        <v/>
      </c>
      <c r="G46" s="4">
        <f>COUNTIFS('Acceptance Criteria'!B:B,B46,'Acceptance Criteria'!F:F,"Pass")</f>
        <v/>
      </c>
      <c r="H46" s="4">
        <f>COUNTIFS('Acceptance Criteria'!B:B,B46,'Acceptance Criteria'!F:F,"Fail")</f>
        <v/>
      </c>
      <c r="I46" s="4">
        <f>IF(C46=D46,"Linked","Mismatch")</f>
        <v/>
      </c>
      <c r="J46" s="5">
        <f>IF(C46=0,0,G46/C46)</f>
        <v/>
      </c>
    </row>
    <row r="47">
      <c r="A47" s="4" t="inlineStr">
        <is>
          <t>EP-007</t>
        </is>
      </c>
      <c r="B47" s="4" t="inlineStr">
        <is>
          <t>US-007-001</t>
        </is>
      </c>
      <c r="C47" s="4" t="n">
        <v>4</v>
      </c>
      <c r="D47" s="4">
        <f>COUNTIF('Acceptance Criteria'!B:B,B47)</f>
        <v/>
      </c>
      <c r="E47" s="4">
        <f>VLOOKUP(B47,'User Stories'!A:L,12,FALSE)</f>
        <v/>
      </c>
      <c r="F47" s="4">
        <f>COUNTIFS('Acceptance Criteria'!B:B,B47,'Acceptance Criteria'!F:F,"&lt;&gt;Not Tested")</f>
        <v/>
      </c>
      <c r="G47" s="4">
        <f>COUNTIFS('Acceptance Criteria'!B:B,B47,'Acceptance Criteria'!F:F,"Pass")</f>
        <v/>
      </c>
      <c r="H47" s="4">
        <f>COUNTIFS('Acceptance Criteria'!B:B,B47,'Acceptance Criteria'!F:F,"Fail")</f>
        <v/>
      </c>
      <c r="I47" s="4">
        <f>IF(C47=D47,"Linked","Mismatch")</f>
        <v/>
      </c>
      <c r="J47" s="5">
        <f>IF(C47=0,0,G47/C47)</f>
        <v/>
      </c>
    </row>
    <row r="48">
      <c r="A48" s="4" t="inlineStr">
        <is>
          <t>EP-007</t>
        </is>
      </c>
      <c r="B48" s="4" t="inlineStr">
        <is>
          <t>US-007-002</t>
        </is>
      </c>
      <c r="C48" s="4" t="n">
        <v>4</v>
      </c>
      <c r="D48" s="4">
        <f>COUNTIF('Acceptance Criteria'!B:B,B48)</f>
        <v/>
      </c>
      <c r="E48" s="4">
        <f>VLOOKUP(B48,'User Stories'!A:L,12,FALSE)</f>
        <v/>
      </c>
      <c r="F48" s="4">
        <f>COUNTIFS('Acceptance Criteria'!B:B,B48,'Acceptance Criteria'!F:F,"&lt;&gt;Not Tested")</f>
        <v/>
      </c>
      <c r="G48" s="4">
        <f>COUNTIFS('Acceptance Criteria'!B:B,B48,'Acceptance Criteria'!F:F,"Pass")</f>
        <v/>
      </c>
      <c r="H48" s="4">
        <f>COUNTIFS('Acceptance Criteria'!B:B,B48,'Acceptance Criteria'!F:F,"Fail")</f>
        <v/>
      </c>
      <c r="I48" s="4">
        <f>IF(C48=D48,"Linked","Mismatch")</f>
        <v/>
      </c>
      <c r="J48" s="5">
        <f>IF(C48=0,0,G48/C48)</f>
        <v/>
      </c>
    </row>
    <row r="49">
      <c r="A49" s="4" t="inlineStr">
        <is>
          <t>EP-007</t>
        </is>
      </c>
      <c r="B49" s="4" t="inlineStr">
        <is>
          <t>US-007-003</t>
        </is>
      </c>
      <c r="C49" s="4" t="n">
        <v>4</v>
      </c>
      <c r="D49" s="4">
        <f>COUNTIF('Acceptance Criteria'!B:B,B49)</f>
        <v/>
      </c>
      <c r="E49" s="4">
        <f>VLOOKUP(B49,'User Stories'!A:L,12,FALSE)</f>
        <v/>
      </c>
      <c r="F49" s="4">
        <f>COUNTIFS('Acceptance Criteria'!B:B,B49,'Acceptance Criteria'!F:F,"&lt;&gt;Not Tested")</f>
        <v/>
      </c>
      <c r="G49" s="4">
        <f>COUNTIFS('Acceptance Criteria'!B:B,B49,'Acceptance Criteria'!F:F,"Pass")</f>
        <v/>
      </c>
      <c r="H49" s="4">
        <f>COUNTIFS('Acceptance Criteria'!B:B,B49,'Acceptance Criteria'!F:F,"Fail")</f>
        <v/>
      </c>
      <c r="I49" s="4">
        <f>IF(C49=D49,"Linked","Mismatch")</f>
        <v/>
      </c>
      <c r="J49" s="5">
        <f>IF(C49=0,0,G49/C49)</f>
        <v/>
      </c>
    </row>
    <row r="50">
      <c r="A50" s="4" t="inlineStr">
        <is>
          <t>EP-007</t>
        </is>
      </c>
      <c r="B50" s="4" t="inlineStr">
        <is>
          <t>US-007-004</t>
        </is>
      </c>
      <c r="C50" s="4" t="n">
        <v>4</v>
      </c>
      <c r="D50" s="4">
        <f>COUNTIF('Acceptance Criteria'!B:B,B50)</f>
        <v/>
      </c>
      <c r="E50" s="4">
        <f>VLOOKUP(B50,'User Stories'!A:L,12,FALSE)</f>
        <v/>
      </c>
      <c r="F50" s="4">
        <f>COUNTIFS('Acceptance Criteria'!B:B,B50,'Acceptance Criteria'!F:F,"&lt;&gt;Not Tested")</f>
        <v/>
      </c>
      <c r="G50" s="4">
        <f>COUNTIFS('Acceptance Criteria'!B:B,B50,'Acceptance Criteria'!F:F,"Pass")</f>
        <v/>
      </c>
      <c r="H50" s="4">
        <f>COUNTIFS('Acceptance Criteria'!B:B,B50,'Acceptance Criteria'!F:F,"Fail")</f>
        <v/>
      </c>
      <c r="I50" s="4">
        <f>IF(C50=D50,"Linked","Mismatch")</f>
        <v/>
      </c>
      <c r="J50" s="5">
        <f>IF(C50=0,0,G50/C50)</f>
        <v/>
      </c>
    </row>
    <row r="51">
      <c r="A51" s="4" t="inlineStr">
        <is>
          <t>EP-007</t>
        </is>
      </c>
      <c r="B51" s="4" t="inlineStr">
        <is>
          <t>US-007-005</t>
        </is>
      </c>
      <c r="C51" s="4" t="n">
        <v>4</v>
      </c>
      <c r="D51" s="4">
        <f>COUNTIF('Acceptance Criteria'!B:B,B51)</f>
        <v/>
      </c>
      <c r="E51" s="4">
        <f>VLOOKUP(B51,'User Stories'!A:L,12,FALSE)</f>
        <v/>
      </c>
      <c r="F51" s="4">
        <f>COUNTIFS('Acceptance Criteria'!B:B,B51,'Acceptance Criteria'!F:F,"&lt;&gt;Not Tested")</f>
        <v/>
      </c>
      <c r="G51" s="4">
        <f>COUNTIFS('Acceptance Criteria'!B:B,B51,'Acceptance Criteria'!F:F,"Pass")</f>
        <v/>
      </c>
      <c r="H51" s="4">
        <f>COUNTIFS('Acceptance Criteria'!B:B,B51,'Acceptance Criteria'!F:F,"Fail")</f>
        <v/>
      </c>
      <c r="I51" s="4">
        <f>IF(C51=D51,"Linked","Mismatch")</f>
        <v/>
      </c>
      <c r="J51" s="5">
        <f>IF(C51=0,0,G51/C51)</f>
        <v/>
      </c>
    </row>
    <row r="52">
      <c r="A52" s="4" t="inlineStr">
        <is>
          <t>EP-008</t>
        </is>
      </c>
      <c r="B52" s="4" t="inlineStr">
        <is>
          <t>US-008-001</t>
        </is>
      </c>
      <c r="C52" s="4" t="n">
        <v>4</v>
      </c>
      <c r="D52" s="4">
        <f>COUNTIF('Acceptance Criteria'!B:B,B52)</f>
        <v/>
      </c>
      <c r="E52" s="4">
        <f>VLOOKUP(B52,'User Stories'!A:L,12,FALSE)</f>
        <v/>
      </c>
      <c r="F52" s="4">
        <f>COUNTIFS('Acceptance Criteria'!B:B,B52,'Acceptance Criteria'!F:F,"&lt;&gt;Not Tested")</f>
        <v/>
      </c>
      <c r="G52" s="4">
        <f>COUNTIFS('Acceptance Criteria'!B:B,B52,'Acceptance Criteria'!F:F,"Pass")</f>
        <v/>
      </c>
      <c r="H52" s="4">
        <f>COUNTIFS('Acceptance Criteria'!B:B,B52,'Acceptance Criteria'!F:F,"Fail")</f>
        <v/>
      </c>
      <c r="I52" s="4">
        <f>IF(C52=D52,"Linked","Mismatch")</f>
        <v/>
      </c>
      <c r="J52" s="5">
        <f>IF(C52=0,0,G52/C52)</f>
        <v/>
      </c>
    </row>
    <row r="53">
      <c r="A53" s="4" t="inlineStr">
        <is>
          <t>EP-008</t>
        </is>
      </c>
      <c r="B53" s="4" t="inlineStr">
        <is>
          <t>US-008-002</t>
        </is>
      </c>
      <c r="C53" s="4" t="n">
        <v>4</v>
      </c>
      <c r="D53" s="4">
        <f>COUNTIF('Acceptance Criteria'!B:B,B53)</f>
        <v/>
      </c>
      <c r="E53" s="4">
        <f>VLOOKUP(B53,'User Stories'!A:L,12,FALSE)</f>
        <v/>
      </c>
      <c r="F53" s="4">
        <f>COUNTIFS('Acceptance Criteria'!B:B,B53,'Acceptance Criteria'!F:F,"&lt;&gt;Not Tested")</f>
        <v/>
      </c>
      <c r="G53" s="4">
        <f>COUNTIFS('Acceptance Criteria'!B:B,B53,'Acceptance Criteria'!F:F,"Pass")</f>
        <v/>
      </c>
      <c r="H53" s="4">
        <f>COUNTIFS('Acceptance Criteria'!B:B,B53,'Acceptance Criteria'!F:F,"Fail")</f>
        <v/>
      </c>
      <c r="I53" s="4">
        <f>IF(C53=D53,"Linked","Mismatch")</f>
        <v/>
      </c>
      <c r="J53" s="5">
        <f>IF(C53=0,0,G53/C53)</f>
        <v/>
      </c>
    </row>
    <row r="54">
      <c r="A54" s="4" t="inlineStr">
        <is>
          <t>EP-008</t>
        </is>
      </c>
      <c r="B54" s="4" t="inlineStr">
        <is>
          <t>US-008-003</t>
        </is>
      </c>
      <c r="C54" s="4" t="n">
        <v>4</v>
      </c>
      <c r="D54" s="4">
        <f>COUNTIF('Acceptance Criteria'!B:B,B54)</f>
        <v/>
      </c>
      <c r="E54" s="4">
        <f>VLOOKUP(B54,'User Stories'!A:L,12,FALSE)</f>
        <v/>
      </c>
      <c r="F54" s="4">
        <f>COUNTIFS('Acceptance Criteria'!B:B,B54,'Acceptance Criteria'!F:F,"&lt;&gt;Not Tested")</f>
        <v/>
      </c>
      <c r="G54" s="4">
        <f>COUNTIFS('Acceptance Criteria'!B:B,B54,'Acceptance Criteria'!F:F,"Pass")</f>
        <v/>
      </c>
      <c r="H54" s="4">
        <f>COUNTIFS('Acceptance Criteria'!B:B,B54,'Acceptance Criteria'!F:F,"Fail")</f>
        <v/>
      </c>
      <c r="I54" s="4">
        <f>IF(C54=D54,"Linked","Mismatch")</f>
        <v/>
      </c>
      <c r="J54" s="5">
        <f>IF(C54=0,0,G54/C54)</f>
        <v/>
      </c>
    </row>
    <row r="55">
      <c r="A55" s="4" t="inlineStr">
        <is>
          <t>EP-008</t>
        </is>
      </c>
      <c r="B55" s="4" t="inlineStr">
        <is>
          <t>US-008-004</t>
        </is>
      </c>
      <c r="C55" s="4" t="n">
        <v>4</v>
      </c>
      <c r="D55" s="4">
        <f>COUNTIF('Acceptance Criteria'!B:B,B55)</f>
        <v/>
      </c>
      <c r="E55" s="4">
        <f>VLOOKUP(B55,'User Stories'!A:L,12,FALSE)</f>
        <v/>
      </c>
      <c r="F55" s="4">
        <f>COUNTIFS('Acceptance Criteria'!B:B,B55,'Acceptance Criteria'!F:F,"&lt;&gt;Not Tested")</f>
        <v/>
      </c>
      <c r="G55" s="4">
        <f>COUNTIFS('Acceptance Criteria'!B:B,B55,'Acceptance Criteria'!F:F,"Pass")</f>
        <v/>
      </c>
      <c r="H55" s="4">
        <f>COUNTIFS('Acceptance Criteria'!B:B,B55,'Acceptance Criteria'!F:F,"Fail")</f>
        <v/>
      </c>
      <c r="I55" s="4">
        <f>IF(C55=D55,"Linked","Mismatch")</f>
        <v/>
      </c>
      <c r="J55" s="5">
        <f>IF(C55=0,0,G55/C55)</f>
        <v/>
      </c>
    </row>
    <row r="56">
      <c r="A56" s="4" t="inlineStr">
        <is>
          <t>EP-008</t>
        </is>
      </c>
      <c r="B56" s="4" t="inlineStr">
        <is>
          <t>US-008-005</t>
        </is>
      </c>
      <c r="C56" s="4" t="n">
        <v>4</v>
      </c>
      <c r="D56" s="4">
        <f>COUNTIF('Acceptance Criteria'!B:B,B56)</f>
        <v/>
      </c>
      <c r="E56" s="4">
        <f>VLOOKUP(B56,'User Stories'!A:L,12,FALSE)</f>
        <v/>
      </c>
      <c r="F56" s="4">
        <f>COUNTIFS('Acceptance Criteria'!B:B,B56,'Acceptance Criteria'!F:F,"&lt;&gt;Not Tested")</f>
        <v/>
      </c>
      <c r="G56" s="4">
        <f>COUNTIFS('Acceptance Criteria'!B:B,B56,'Acceptance Criteria'!F:F,"Pass")</f>
        <v/>
      </c>
      <c r="H56" s="4">
        <f>COUNTIFS('Acceptance Criteria'!B:B,B56,'Acceptance Criteria'!F:F,"Fail")</f>
        <v/>
      </c>
      <c r="I56" s="4">
        <f>IF(C56=D56,"Linked","Mismatch")</f>
        <v/>
      </c>
      <c r="J56" s="5">
        <f>IF(C56=0,0,G56/C56)</f>
        <v/>
      </c>
    </row>
    <row r="57">
      <c r="A57" s="4" t="inlineStr">
        <is>
          <t>EP-009</t>
        </is>
      </c>
      <c r="B57" s="4" t="inlineStr">
        <is>
          <t>US-009-001</t>
        </is>
      </c>
      <c r="C57" s="4" t="n">
        <v>4</v>
      </c>
      <c r="D57" s="4">
        <f>COUNTIF('Acceptance Criteria'!B:B,B57)</f>
        <v/>
      </c>
      <c r="E57" s="4">
        <f>VLOOKUP(B57,'User Stories'!A:L,12,FALSE)</f>
        <v/>
      </c>
      <c r="F57" s="4">
        <f>COUNTIFS('Acceptance Criteria'!B:B,B57,'Acceptance Criteria'!F:F,"&lt;&gt;Not Tested")</f>
        <v/>
      </c>
      <c r="G57" s="4">
        <f>COUNTIFS('Acceptance Criteria'!B:B,B57,'Acceptance Criteria'!F:F,"Pass")</f>
        <v/>
      </c>
      <c r="H57" s="4">
        <f>COUNTIFS('Acceptance Criteria'!B:B,B57,'Acceptance Criteria'!F:F,"Fail")</f>
        <v/>
      </c>
      <c r="I57" s="4">
        <f>IF(C57=D57,"Linked","Mismatch")</f>
        <v/>
      </c>
      <c r="J57" s="5">
        <f>IF(C57=0,0,G57/C57)</f>
        <v/>
      </c>
    </row>
    <row r="58">
      <c r="A58" s="4" t="inlineStr">
        <is>
          <t>EP-009</t>
        </is>
      </c>
      <c r="B58" s="4" t="inlineStr">
        <is>
          <t>US-009-002</t>
        </is>
      </c>
      <c r="C58" s="4" t="n">
        <v>4</v>
      </c>
      <c r="D58" s="4">
        <f>COUNTIF('Acceptance Criteria'!B:B,B58)</f>
        <v/>
      </c>
      <c r="E58" s="4">
        <f>VLOOKUP(B58,'User Stories'!A:L,12,FALSE)</f>
        <v/>
      </c>
      <c r="F58" s="4">
        <f>COUNTIFS('Acceptance Criteria'!B:B,B58,'Acceptance Criteria'!F:F,"&lt;&gt;Not Tested")</f>
        <v/>
      </c>
      <c r="G58" s="4">
        <f>COUNTIFS('Acceptance Criteria'!B:B,B58,'Acceptance Criteria'!F:F,"Pass")</f>
        <v/>
      </c>
      <c r="H58" s="4">
        <f>COUNTIFS('Acceptance Criteria'!B:B,B58,'Acceptance Criteria'!F:F,"Fail")</f>
        <v/>
      </c>
      <c r="I58" s="4">
        <f>IF(C58=D58,"Linked","Mismatch")</f>
        <v/>
      </c>
      <c r="J58" s="5">
        <f>IF(C58=0,0,G58/C58)</f>
        <v/>
      </c>
    </row>
    <row r="59">
      <c r="A59" s="4" t="inlineStr">
        <is>
          <t>EP-009</t>
        </is>
      </c>
      <c r="B59" s="4" t="inlineStr">
        <is>
          <t>US-009-003</t>
        </is>
      </c>
      <c r="C59" s="4" t="n">
        <v>4</v>
      </c>
      <c r="D59" s="4">
        <f>COUNTIF('Acceptance Criteria'!B:B,B59)</f>
        <v/>
      </c>
      <c r="E59" s="4">
        <f>VLOOKUP(B59,'User Stories'!A:L,12,FALSE)</f>
        <v/>
      </c>
      <c r="F59" s="4">
        <f>COUNTIFS('Acceptance Criteria'!B:B,B59,'Acceptance Criteria'!F:F,"&lt;&gt;Not Tested")</f>
        <v/>
      </c>
      <c r="G59" s="4">
        <f>COUNTIFS('Acceptance Criteria'!B:B,B59,'Acceptance Criteria'!F:F,"Pass")</f>
        <v/>
      </c>
      <c r="H59" s="4">
        <f>COUNTIFS('Acceptance Criteria'!B:B,B59,'Acceptance Criteria'!F:F,"Fail")</f>
        <v/>
      </c>
      <c r="I59" s="4">
        <f>IF(C59=D59,"Linked","Mismatch")</f>
        <v/>
      </c>
      <c r="J59" s="5">
        <f>IF(C59=0,0,G59/C59)</f>
        <v/>
      </c>
    </row>
    <row r="60">
      <c r="A60" s="4" t="inlineStr">
        <is>
          <t>EP-009</t>
        </is>
      </c>
      <c r="B60" s="4" t="inlineStr">
        <is>
          <t>US-009-004</t>
        </is>
      </c>
      <c r="C60" s="4" t="n">
        <v>4</v>
      </c>
      <c r="D60" s="4">
        <f>COUNTIF('Acceptance Criteria'!B:B,B60)</f>
        <v/>
      </c>
      <c r="E60" s="4">
        <f>VLOOKUP(B60,'User Stories'!A:L,12,FALSE)</f>
        <v/>
      </c>
      <c r="F60" s="4">
        <f>COUNTIFS('Acceptance Criteria'!B:B,B60,'Acceptance Criteria'!F:F,"&lt;&gt;Not Tested")</f>
        <v/>
      </c>
      <c r="G60" s="4">
        <f>COUNTIFS('Acceptance Criteria'!B:B,B60,'Acceptance Criteria'!F:F,"Pass")</f>
        <v/>
      </c>
      <c r="H60" s="4">
        <f>COUNTIFS('Acceptance Criteria'!B:B,B60,'Acceptance Criteria'!F:F,"Fail")</f>
        <v/>
      </c>
      <c r="I60" s="4">
        <f>IF(C60=D60,"Linked","Mismatch")</f>
        <v/>
      </c>
      <c r="J60" s="5">
        <f>IF(C60=0,0,G60/C60)</f>
        <v/>
      </c>
    </row>
    <row r="61">
      <c r="A61" s="4" t="inlineStr">
        <is>
          <t>EP-009</t>
        </is>
      </c>
      <c r="B61" s="4" t="inlineStr">
        <is>
          <t>US-009-005</t>
        </is>
      </c>
      <c r="C61" s="4" t="n">
        <v>4</v>
      </c>
      <c r="D61" s="4">
        <f>COUNTIF('Acceptance Criteria'!B:B,B61)</f>
        <v/>
      </c>
      <c r="E61" s="4">
        <f>VLOOKUP(B61,'User Stories'!A:L,12,FALSE)</f>
        <v/>
      </c>
      <c r="F61" s="4">
        <f>COUNTIFS('Acceptance Criteria'!B:B,B61,'Acceptance Criteria'!F:F,"&lt;&gt;Not Tested")</f>
        <v/>
      </c>
      <c r="G61" s="4">
        <f>COUNTIFS('Acceptance Criteria'!B:B,B61,'Acceptance Criteria'!F:F,"Pass")</f>
        <v/>
      </c>
      <c r="H61" s="4">
        <f>COUNTIFS('Acceptance Criteria'!B:B,B61,'Acceptance Criteria'!F:F,"Fail")</f>
        <v/>
      </c>
      <c r="I61" s="4">
        <f>IF(C61=D61,"Linked","Mismatch")</f>
        <v/>
      </c>
      <c r="J61" s="5">
        <f>IF(C61=0,0,G61/C61)</f>
        <v/>
      </c>
    </row>
    <row r="62">
      <c r="A62" s="4" t="inlineStr">
        <is>
          <t>EP-010</t>
        </is>
      </c>
      <c r="B62" s="4" t="inlineStr">
        <is>
          <t>US-010-001</t>
        </is>
      </c>
      <c r="C62" s="4" t="n">
        <v>4</v>
      </c>
      <c r="D62" s="4">
        <f>COUNTIF('Acceptance Criteria'!B:B,B62)</f>
        <v/>
      </c>
      <c r="E62" s="4">
        <f>VLOOKUP(B62,'User Stories'!A:L,12,FALSE)</f>
        <v/>
      </c>
      <c r="F62" s="4">
        <f>COUNTIFS('Acceptance Criteria'!B:B,B62,'Acceptance Criteria'!F:F,"&lt;&gt;Not Tested")</f>
        <v/>
      </c>
      <c r="G62" s="4">
        <f>COUNTIFS('Acceptance Criteria'!B:B,B62,'Acceptance Criteria'!F:F,"Pass")</f>
        <v/>
      </c>
      <c r="H62" s="4">
        <f>COUNTIFS('Acceptance Criteria'!B:B,B62,'Acceptance Criteria'!F:F,"Fail")</f>
        <v/>
      </c>
      <c r="I62" s="4">
        <f>IF(C62=D62,"Linked","Mismatch")</f>
        <v/>
      </c>
      <c r="J62" s="5">
        <f>IF(C62=0,0,G62/C62)</f>
        <v/>
      </c>
    </row>
    <row r="63">
      <c r="A63" s="4" t="inlineStr">
        <is>
          <t>EP-010</t>
        </is>
      </c>
      <c r="B63" s="4" t="inlineStr">
        <is>
          <t>US-010-002</t>
        </is>
      </c>
      <c r="C63" s="4" t="n">
        <v>4</v>
      </c>
      <c r="D63" s="4">
        <f>COUNTIF('Acceptance Criteria'!B:B,B63)</f>
        <v/>
      </c>
      <c r="E63" s="4">
        <f>VLOOKUP(B63,'User Stories'!A:L,12,FALSE)</f>
        <v/>
      </c>
      <c r="F63" s="4">
        <f>COUNTIFS('Acceptance Criteria'!B:B,B63,'Acceptance Criteria'!F:F,"&lt;&gt;Not Tested")</f>
        <v/>
      </c>
      <c r="G63" s="4">
        <f>COUNTIFS('Acceptance Criteria'!B:B,B63,'Acceptance Criteria'!F:F,"Pass")</f>
        <v/>
      </c>
      <c r="H63" s="4">
        <f>COUNTIFS('Acceptance Criteria'!B:B,B63,'Acceptance Criteria'!F:F,"Fail")</f>
        <v/>
      </c>
      <c r="I63" s="4">
        <f>IF(C63=D63,"Linked","Mismatch")</f>
        <v/>
      </c>
      <c r="J63" s="5">
        <f>IF(C63=0,0,G63/C63)</f>
        <v/>
      </c>
    </row>
    <row r="64">
      <c r="A64" s="4" t="inlineStr">
        <is>
          <t>EP-010</t>
        </is>
      </c>
      <c r="B64" s="4" t="inlineStr">
        <is>
          <t>US-010-003</t>
        </is>
      </c>
      <c r="C64" s="4" t="n">
        <v>4</v>
      </c>
      <c r="D64" s="4">
        <f>COUNTIF('Acceptance Criteria'!B:B,B64)</f>
        <v/>
      </c>
      <c r="E64" s="4">
        <f>VLOOKUP(B64,'User Stories'!A:L,12,FALSE)</f>
        <v/>
      </c>
      <c r="F64" s="4">
        <f>COUNTIFS('Acceptance Criteria'!B:B,B64,'Acceptance Criteria'!F:F,"&lt;&gt;Not Tested")</f>
        <v/>
      </c>
      <c r="G64" s="4">
        <f>COUNTIFS('Acceptance Criteria'!B:B,B64,'Acceptance Criteria'!F:F,"Pass")</f>
        <v/>
      </c>
      <c r="H64" s="4">
        <f>COUNTIFS('Acceptance Criteria'!B:B,B64,'Acceptance Criteria'!F:F,"Fail")</f>
        <v/>
      </c>
      <c r="I64" s="4">
        <f>IF(C64=D64,"Linked","Mismatch")</f>
        <v/>
      </c>
      <c r="J64" s="5">
        <f>IF(C64=0,0,G64/C64)</f>
        <v/>
      </c>
    </row>
    <row r="65">
      <c r="A65" s="4" t="inlineStr">
        <is>
          <t>EP-010</t>
        </is>
      </c>
      <c r="B65" s="4" t="inlineStr">
        <is>
          <t>US-010-004</t>
        </is>
      </c>
      <c r="C65" s="4" t="n">
        <v>4</v>
      </c>
      <c r="D65" s="4">
        <f>COUNTIF('Acceptance Criteria'!B:B,B65)</f>
        <v/>
      </c>
      <c r="E65" s="4">
        <f>VLOOKUP(B65,'User Stories'!A:L,12,FALSE)</f>
        <v/>
      </c>
      <c r="F65" s="4">
        <f>COUNTIFS('Acceptance Criteria'!B:B,B65,'Acceptance Criteria'!F:F,"&lt;&gt;Not Tested")</f>
        <v/>
      </c>
      <c r="G65" s="4">
        <f>COUNTIFS('Acceptance Criteria'!B:B,B65,'Acceptance Criteria'!F:F,"Pass")</f>
        <v/>
      </c>
      <c r="H65" s="4">
        <f>COUNTIFS('Acceptance Criteria'!B:B,B65,'Acceptance Criteria'!F:F,"Fail")</f>
        <v/>
      </c>
      <c r="I65" s="4">
        <f>IF(C65=D65,"Linked","Mismatch")</f>
        <v/>
      </c>
      <c r="J65" s="5">
        <f>IF(C65=0,0,G65/C65)</f>
        <v/>
      </c>
    </row>
    <row r="66">
      <c r="A66" s="4" t="inlineStr">
        <is>
          <t>EP-010</t>
        </is>
      </c>
      <c r="B66" s="4" t="inlineStr">
        <is>
          <t>US-010-005</t>
        </is>
      </c>
      <c r="C66" s="4" t="n">
        <v>4</v>
      </c>
      <c r="D66" s="4">
        <f>COUNTIF('Acceptance Criteria'!B:B,B66)</f>
        <v/>
      </c>
      <c r="E66" s="4">
        <f>VLOOKUP(B66,'User Stories'!A:L,12,FALSE)</f>
        <v/>
      </c>
      <c r="F66" s="4">
        <f>COUNTIFS('Acceptance Criteria'!B:B,B66,'Acceptance Criteria'!F:F,"&lt;&gt;Not Tested")</f>
        <v/>
      </c>
      <c r="G66" s="4">
        <f>COUNTIFS('Acceptance Criteria'!B:B,B66,'Acceptance Criteria'!F:F,"Pass")</f>
        <v/>
      </c>
      <c r="H66" s="4">
        <f>COUNTIFS('Acceptance Criteria'!B:B,B66,'Acceptance Criteria'!F:F,"Fail")</f>
        <v/>
      </c>
      <c r="I66" s="4">
        <f>IF(C66=D66,"Linked","Mismatch")</f>
        <v/>
      </c>
      <c r="J66" s="5">
        <f>IF(C66=0,0,G66/C66)</f>
        <v/>
      </c>
    </row>
    <row r="67">
      <c r="A67" s="4" t="inlineStr">
        <is>
          <t>EP-011</t>
        </is>
      </c>
      <c r="B67" s="4" t="inlineStr">
        <is>
          <t>US-011-001</t>
        </is>
      </c>
      <c r="C67" s="4" t="n">
        <v>4</v>
      </c>
      <c r="D67" s="4">
        <f>COUNTIF('Acceptance Criteria'!B:B,B67)</f>
        <v/>
      </c>
      <c r="E67" s="4">
        <f>VLOOKUP(B67,'User Stories'!A:L,12,FALSE)</f>
        <v/>
      </c>
      <c r="F67" s="4">
        <f>COUNTIFS('Acceptance Criteria'!B:B,B67,'Acceptance Criteria'!F:F,"&lt;&gt;Not Tested")</f>
        <v/>
      </c>
      <c r="G67" s="4">
        <f>COUNTIFS('Acceptance Criteria'!B:B,B67,'Acceptance Criteria'!F:F,"Pass")</f>
        <v/>
      </c>
      <c r="H67" s="4">
        <f>COUNTIFS('Acceptance Criteria'!B:B,B67,'Acceptance Criteria'!F:F,"Fail")</f>
        <v/>
      </c>
      <c r="I67" s="4">
        <f>IF(C67=D67,"Linked","Mismatch")</f>
        <v/>
      </c>
      <c r="J67" s="5">
        <f>IF(C67=0,0,G67/C67)</f>
        <v/>
      </c>
    </row>
    <row r="68">
      <c r="A68" s="4" t="inlineStr">
        <is>
          <t>EP-011</t>
        </is>
      </c>
      <c r="B68" s="4" t="inlineStr">
        <is>
          <t>US-011-002</t>
        </is>
      </c>
      <c r="C68" s="4" t="n">
        <v>4</v>
      </c>
      <c r="D68" s="4">
        <f>COUNTIF('Acceptance Criteria'!B:B,B68)</f>
        <v/>
      </c>
      <c r="E68" s="4">
        <f>VLOOKUP(B68,'User Stories'!A:L,12,FALSE)</f>
        <v/>
      </c>
      <c r="F68" s="4">
        <f>COUNTIFS('Acceptance Criteria'!B:B,B68,'Acceptance Criteria'!F:F,"&lt;&gt;Not Tested")</f>
        <v/>
      </c>
      <c r="G68" s="4">
        <f>COUNTIFS('Acceptance Criteria'!B:B,B68,'Acceptance Criteria'!F:F,"Pass")</f>
        <v/>
      </c>
      <c r="H68" s="4">
        <f>COUNTIFS('Acceptance Criteria'!B:B,B68,'Acceptance Criteria'!F:F,"Fail")</f>
        <v/>
      </c>
      <c r="I68" s="4">
        <f>IF(C68=D68,"Linked","Mismatch")</f>
        <v/>
      </c>
      <c r="J68" s="5">
        <f>IF(C68=0,0,G68/C68)</f>
        <v/>
      </c>
    </row>
    <row r="69">
      <c r="A69" s="4" t="inlineStr">
        <is>
          <t>EP-011</t>
        </is>
      </c>
      <c r="B69" s="4" t="inlineStr">
        <is>
          <t>US-011-003</t>
        </is>
      </c>
      <c r="C69" s="4" t="n">
        <v>4</v>
      </c>
      <c r="D69" s="4">
        <f>COUNTIF('Acceptance Criteria'!B:B,B69)</f>
        <v/>
      </c>
      <c r="E69" s="4">
        <f>VLOOKUP(B69,'User Stories'!A:L,12,FALSE)</f>
        <v/>
      </c>
      <c r="F69" s="4">
        <f>COUNTIFS('Acceptance Criteria'!B:B,B69,'Acceptance Criteria'!F:F,"&lt;&gt;Not Tested")</f>
        <v/>
      </c>
      <c r="G69" s="4">
        <f>COUNTIFS('Acceptance Criteria'!B:B,B69,'Acceptance Criteria'!F:F,"Pass")</f>
        <v/>
      </c>
      <c r="H69" s="4">
        <f>COUNTIFS('Acceptance Criteria'!B:B,B69,'Acceptance Criteria'!F:F,"Fail")</f>
        <v/>
      </c>
      <c r="I69" s="4">
        <f>IF(C69=D69,"Linked","Mismatch")</f>
        <v/>
      </c>
      <c r="J69" s="5">
        <f>IF(C69=0,0,G69/C69)</f>
        <v/>
      </c>
    </row>
    <row r="70">
      <c r="A70" s="4" t="inlineStr">
        <is>
          <t>EP-011</t>
        </is>
      </c>
      <c r="B70" s="4" t="inlineStr">
        <is>
          <t>US-011-004</t>
        </is>
      </c>
      <c r="C70" s="4" t="n">
        <v>4</v>
      </c>
      <c r="D70" s="4">
        <f>COUNTIF('Acceptance Criteria'!B:B,B70)</f>
        <v/>
      </c>
      <c r="E70" s="4">
        <f>VLOOKUP(B70,'User Stories'!A:L,12,FALSE)</f>
        <v/>
      </c>
      <c r="F70" s="4">
        <f>COUNTIFS('Acceptance Criteria'!B:B,B70,'Acceptance Criteria'!F:F,"&lt;&gt;Not Tested")</f>
        <v/>
      </c>
      <c r="G70" s="4">
        <f>COUNTIFS('Acceptance Criteria'!B:B,B70,'Acceptance Criteria'!F:F,"Pass")</f>
        <v/>
      </c>
      <c r="H70" s="4">
        <f>COUNTIFS('Acceptance Criteria'!B:B,B70,'Acceptance Criteria'!F:F,"Fail")</f>
        <v/>
      </c>
      <c r="I70" s="4">
        <f>IF(C70=D70,"Linked","Mismatch")</f>
        <v/>
      </c>
      <c r="J70" s="5">
        <f>IF(C70=0,0,G70/C70)</f>
        <v/>
      </c>
    </row>
    <row r="71">
      <c r="A71" s="4" t="inlineStr">
        <is>
          <t>EP-012</t>
        </is>
      </c>
      <c r="B71" s="4" t="inlineStr">
        <is>
          <t>US-012-001</t>
        </is>
      </c>
      <c r="C71" s="4" t="n">
        <v>4</v>
      </c>
      <c r="D71" s="4">
        <f>COUNTIF('Acceptance Criteria'!B:B,B71)</f>
        <v/>
      </c>
      <c r="E71" s="4">
        <f>VLOOKUP(B71,'User Stories'!A:L,12,FALSE)</f>
        <v/>
      </c>
      <c r="F71" s="4">
        <f>COUNTIFS('Acceptance Criteria'!B:B,B71,'Acceptance Criteria'!F:F,"&lt;&gt;Not Tested")</f>
        <v/>
      </c>
      <c r="G71" s="4">
        <f>COUNTIFS('Acceptance Criteria'!B:B,B71,'Acceptance Criteria'!F:F,"Pass")</f>
        <v/>
      </c>
      <c r="H71" s="4">
        <f>COUNTIFS('Acceptance Criteria'!B:B,B71,'Acceptance Criteria'!F:F,"Fail")</f>
        <v/>
      </c>
      <c r="I71" s="4">
        <f>IF(C71=D71,"Linked","Mismatch")</f>
        <v/>
      </c>
      <c r="J71" s="5">
        <f>IF(C71=0,0,G71/C71)</f>
        <v/>
      </c>
    </row>
    <row r="72">
      <c r="A72" s="4" t="inlineStr">
        <is>
          <t>EP-012</t>
        </is>
      </c>
      <c r="B72" s="4" t="inlineStr">
        <is>
          <t>US-012-002</t>
        </is>
      </c>
      <c r="C72" s="4" t="n">
        <v>4</v>
      </c>
      <c r="D72" s="4">
        <f>COUNTIF('Acceptance Criteria'!B:B,B72)</f>
        <v/>
      </c>
      <c r="E72" s="4">
        <f>VLOOKUP(B72,'User Stories'!A:L,12,FALSE)</f>
        <v/>
      </c>
      <c r="F72" s="4">
        <f>COUNTIFS('Acceptance Criteria'!B:B,B72,'Acceptance Criteria'!F:F,"&lt;&gt;Not Tested")</f>
        <v/>
      </c>
      <c r="G72" s="4">
        <f>COUNTIFS('Acceptance Criteria'!B:B,B72,'Acceptance Criteria'!F:F,"Pass")</f>
        <v/>
      </c>
      <c r="H72" s="4">
        <f>COUNTIFS('Acceptance Criteria'!B:B,B72,'Acceptance Criteria'!F:F,"Fail")</f>
        <v/>
      </c>
      <c r="I72" s="4">
        <f>IF(C72=D72,"Linked","Mismatch")</f>
        <v/>
      </c>
      <c r="J72" s="5">
        <f>IF(C72=0,0,G72/C72)</f>
        <v/>
      </c>
    </row>
    <row r="73">
      <c r="A73" s="4" t="inlineStr">
        <is>
          <t>EP-012</t>
        </is>
      </c>
      <c r="B73" s="4" t="inlineStr">
        <is>
          <t>US-012-003</t>
        </is>
      </c>
      <c r="C73" s="4" t="n">
        <v>4</v>
      </c>
      <c r="D73" s="4">
        <f>COUNTIF('Acceptance Criteria'!B:B,B73)</f>
        <v/>
      </c>
      <c r="E73" s="4">
        <f>VLOOKUP(B73,'User Stories'!A:L,12,FALSE)</f>
        <v/>
      </c>
      <c r="F73" s="4">
        <f>COUNTIFS('Acceptance Criteria'!B:B,B73,'Acceptance Criteria'!F:F,"&lt;&gt;Not Tested")</f>
        <v/>
      </c>
      <c r="G73" s="4">
        <f>COUNTIFS('Acceptance Criteria'!B:B,B73,'Acceptance Criteria'!F:F,"Pass")</f>
        <v/>
      </c>
      <c r="H73" s="4">
        <f>COUNTIFS('Acceptance Criteria'!B:B,B73,'Acceptance Criteria'!F:F,"Fail")</f>
        <v/>
      </c>
      <c r="I73" s="4">
        <f>IF(C73=D73,"Linked","Mismatch")</f>
        <v/>
      </c>
      <c r="J73" s="5">
        <f>IF(C73=0,0,G73/C73)</f>
        <v/>
      </c>
    </row>
    <row r="74">
      <c r="A74" s="4" t="inlineStr">
        <is>
          <t>EP-012</t>
        </is>
      </c>
      <c r="B74" s="4" t="inlineStr">
        <is>
          <t>US-012-004</t>
        </is>
      </c>
      <c r="C74" s="4" t="n">
        <v>4</v>
      </c>
      <c r="D74" s="4">
        <f>COUNTIF('Acceptance Criteria'!B:B,B74)</f>
        <v/>
      </c>
      <c r="E74" s="4">
        <f>VLOOKUP(B74,'User Stories'!A:L,12,FALSE)</f>
        <v/>
      </c>
      <c r="F74" s="4">
        <f>COUNTIFS('Acceptance Criteria'!B:B,B74,'Acceptance Criteria'!F:F,"&lt;&gt;Not Tested")</f>
        <v/>
      </c>
      <c r="G74" s="4">
        <f>COUNTIFS('Acceptance Criteria'!B:B,B74,'Acceptance Criteria'!F:F,"Pass")</f>
        <v/>
      </c>
      <c r="H74" s="4">
        <f>COUNTIFS('Acceptance Criteria'!B:B,B74,'Acceptance Criteria'!F:F,"Fail")</f>
        <v/>
      </c>
      <c r="I74" s="4">
        <f>IF(C74=D74,"Linked","Mismatch")</f>
        <v/>
      </c>
      <c r="J74" s="5">
        <f>IF(C74=0,0,G74/C74)</f>
        <v/>
      </c>
    </row>
    <row r="75">
      <c r="A75" s="4" t="inlineStr">
        <is>
          <t>EP-012</t>
        </is>
      </c>
      <c r="B75" s="4" t="inlineStr">
        <is>
          <t>US-012-005</t>
        </is>
      </c>
      <c r="C75" s="4" t="n">
        <v>4</v>
      </c>
      <c r="D75" s="4">
        <f>COUNTIF('Acceptance Criteria'!B:B,B75)</f>
        <v/>
      </c>
      <c r="E75" s="4">
        <f>VLOOKUP(B75,'User Stories'!A:L,12,FALSE)</f>
        <v/>
      </c>
      <c r="F75" s="4">
        <f>COUNTIFS('Acceptance Criteria'!B:B,B75,'Acceptance Criteria'!F:F,"&lt;&gt;Not Tested")</f>
        <v/>
      </c>
      <c r="G75" s="4">
        <f>COUNTIFS('Acceptance Criteria'!B:B,B75,'Acceptance Criteria'!F:F,"Pass")</f>
        <v/>
      </c>
      <c r="H75" s="4">
        <f>COUNTIFS('Acceptance Criteria'!B:B,B75,'Acceptance Criteria'!F:F,"Fail")</f>
        <v/>
      </c>
      <c r="I75" s="4">
        <f>IF(C75=D75,"Linked","Mismatch")</f>
        <v/>
      </c>
      <c r="J75" s="5">
        <f>IF(C75=0,0,G75/C75)</f>
        <v/>
      </c>
    </row>
    <row r="76">
      <c r="A76" s="4" t="inlineStr">
        <is>
          <t>EP-012</t>
        </is>
      </c>
      <c r="B76" s="4" t="inlineStr">
        <is>
          <t>US-012-006</t>
        </is>
      </c>
      <c r="C76" s="4" t="n">
        <v>4</v>
      </c>
      <c r="D76" s="4">
        <f>COUNTIF('Acceptance Criteria'!B:B,B76)</f>
        <v/>
      </c>
      <c r="E76" s="4">
        <f>VLOOKUP(B76,'User Stories'!A:L,12,FALSE)</f>
        <v/>
      </c>
      <c r="F76" s="4">
        <f>COUNTIFS('Acceptance Criteria'!B:B,B76,'Acceptance Criteria'!F:F,"&lt;&gt;Not Tested")</f>
        <v/>
      </c>
      <c r="G76" s="4">
        <f>COUNTIFS('Acceptance Criteria'!B:B,B76,'Acceptance Criteria'!F:F,"Pass")</f>
        <v/>
      </c>
      <c r="H76" s="4">
        <f>COUNTIFS('Acceptance Criteria'!B:B,B76,'Acceptance Criteria'!F:F,"Fail")</f>
        <v/>
      </c>
      <c r="I76" s="4">
        <f>IF(C76=D76,"Linked","Mismatch")</f>
        <v/>
      </c>
      <c r="J76" s="5">
        <f>IF(C76=0,0,G76/C76)</f>
        <v/>
      </c>
    </row>
  </sheetData>
  <conditionalFormatting sqref="I2:I76">
    <cfRule type="expression" priority="1" dxfId="1">
      <formula>I2="Linked"</formula>
    </cfRule>
    <cfRule type="expression" priority="2" dxfId="0">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19"/>
  <sheetViews>
    <sheetView workbookViewId="0">
      <selection activeCell="A1" sqref="A1"/>
    </sheetView>
  </sheetViews>
  <sheetFormatPr baseColWidth="8" defaultRowHeight="13.8"/>
  <cols>
    <col width="14" customWidth="1" style="8" min="1" max="1"/>
    <col width="34" customWidth="1" style="8" min="2" max="2"/>
    <col width="14" customWidth="1" style="8" min="3" max="4"/>
    <col width="62" customWidth="1" style="8" min="5" max="5"/>
    <col width="16" customWidth="1" style="8" min="6" max="7"/>
    <col width="32" customWidth="1" style="8" min="8" max="8"/>
    <col width="28" customWidth="1" style="8" min="9" max="9"/>
  </cols>
  <sheetData>
    <row r="1" ht="24" customHeight="1" s="8">
      <c r="A1" s="2" t="inlineStr">
        <is>
          <t>Risk ID</t>
        </is>
      </c>
      <c r="B1" s="2" t="inlineStr">
        <is>
          <t>Risk</t>
        </is>
      </c>
      <c r="C1" s="2" t="inlineStr">
        <is>
          <t>Impact</t>
        </is>
      </c>
      <c r="D1" s="2" t="inlineStr">
        <is>
          <t>Likelihood</t>
        </is>
      </c>
      <c r="E1" s="2" t="inlineStr">
        <is>
          <t>Mitigation</t>
        </is>
      </c>
      <c r="F1" s="2" t="inlineStr">
        <is>
          <t>Owner</t>
        </is>
      </c>
      <c r="G1" s="2" t="inlineStr">
        <is>
          <t>Status</t>
        </is>
      </c>
      <c r="H1" s="2" t="inlineStr">
        <is>
          <t>Decision / Dependency</t>
        </is>
      </c>
      <c r="I1" s="2" t="inlineStr">
        <is>
          <t>Notes</t>
        </is>
      </c>
    </row>
    <row r="2" ht="82.8" customHeight="1" s="8">
      <c r="A2" s="4" t="inlineStr">
        <is>
          <t>RISK-001</t>
        </is>
      </c>
      <c r="B2" s="4" t="inlineStr">
        <is>
          <t>Timer/attendance race conditions</t>
        </is>
      </c>
      <c r="C2" s="4" t="inlineStr">
        <is>
          <t>High</t>
        </is>
      </c>
      <c r="D2" s="4" t="inlineStr">
        <is>
          <t>Medium</t>
        </is>
      </c>
      <c r="E2" s="4" t="inlineStr">
        <is>
          <t>Use database constraints, transactions and idempotent endpoints for active clock/timer operations.</t>
        </is>
      </c>
      <c r="F2" s="4" t="inlineStr">
        <is>
          <t>Amaan</t>
        </is>
      </c>
      <c r="G2" s="4" t="inlineStr">
        <is>
          <t>Mitigating</t>
        </is>
      </c>
      <c r="H2" s="4" t="n"/>
      <c r="I2" s="4" t="inlineStr">
        <is>
          <t>Postgres partial unique indexes enforce one active attendance session and one active task timer per user at the DB level, not just in application code; verified by e2e tests.</t>
        </is>
      </c>
    </row>
    <row r="3" ht="138" customHeight="1" s="8">
      <c r="A3" s="4" t="inlineStr">
        <is>
          <t>RISK-002</t>
        </is>
      </c>
      <c r="B3" s="4" t="inlineStr">
        <is>
          <t>Users forget to stop timers</t>
        </is>
      </c>
      <c r="C3" s="4" t="inlineStr">
        <is>
          <t>Medium</t>
        </is>
      </c>
      <c r="D3" s="4" t="inlineStr">
        <is>
          <t>High</t>
        </is>
      </c>
      <c r="E3" s="4" t="inlineStr">
        <is>
          <t>Long-running timer reminders, daily reconciliation and correction workflow.</t>
        </is>
      </c>
      <c r="F3" s="4" t="inlineStr">
        <is>
          <t>Amaan</t>
        </is>
      </c>
      <c r="G3" s="4" t="inlineStr">
        <is>
          <t>Mitigating</t>
        </is>
      </c>
      <c r="H3" s="4" t="n"/>
      <c r="I3" s="4" t="inlineStr">
        <is>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is>
      </c>
    </row>
    <row r="4" ht="55.2" customHeight="1" s="8">
      <c r="A4" s="4" t="inlineStr">
        <is>
          <t>RISK-003</t>
        </is>
      </c>
      <c r="B4" s="4" t="inlineStr">
        <is>
          <t>Browser/client clock manipulation</t>
        </is>
      </c>
      <c r="C4" s="4" t="inlineStr">
        <is>
          <t>High</t>
        </is>
      </c>
      <c r="D4" s="4" t="inlineStr">
        <is>
          <t>Medium</t>
        </is>
      </c>
      <c r="E4" s="4" t="inlineStr">
        <is>
          <t>Use server timestamps for official records; browser only displays derived elapsed time.</t>
        </is>
      </c>
      <c r="F4" s="4" t="inlineStr">
        <is>
          <t>Amaan</t>
        </is>
      </c>
      <c r="G4" s="4" t="inlineStr">
        <is>
          <t>Mitigating</t>
        </is>
      </c>
      <c r="H4" s="4" t="n"/>
      <c r="I4" s="4" t="inlineStr">
        <is>
          <t>All official clock/timer timestamps are generated server-side; the browser only ever displays a derived elapsed time.</t>
        </is>
      </c>
    </row>
    <row r="5" ht="27.6" customHeight="1" s="8">
      <c r="A5" s="4" t="inlineStr">
        <is>
          <t>RISK-004</t>
        </is>
      </c>
      <c r="B5" s="4" t="inlineStr">
        <is>
          <t>Over-scoping into HR/project management</t>
        </is>
      </c>
      <c r="C5" s="4" t="inlineStr">
        <is>
          <t>High</t>
        </is>
      </c>
      <c r="D5" s="4" t="inlineStr">
        <is>
          <t>Medium</t>
        </is>
      </c>
      <c r="E5" s="4" t="inlineStr">
        <is>
          <t>Keep MVP limited to registration, attendance, breaks, task list, task timer, admin and reporting.</t>
        </is>
      </c>
      <c r="F5" s="4" t="inlineStr">
        <is>
          <t>Amaan</t>
        </is>
      </c>
      <c r="G5" s="4" t="inlineStr">
        <is>
          <t>Mitigating</t>
        </is>
      </c>
      <c r="H5" s="4" t="n"/>
      <c r="I5" s="4" t="inlineStr">
        <is>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is>
      </c>
    </row>
    <row r="6" ht="69" customHeight="1" s="8">
      <c r="A6" s="4" t="inlineStr">
        <is>
          <t>RISK-005</t>
        </is>
      </c>
      <c r="B6" s="4" t="inlineStr">
        <is>
          <t>Audit trail weakened by direct edits</t>
        </is>
      </c>
      <c r="C6" s="4" t="inlineStr">
        <is>
          <t>High</t>
        </is>
      </c>
      <c r="D6" s="4" t="inlineStr">
        <is>
          <t>Low</t>
        </is>
      </c>
      <c r="E6" s="4" t="inlineStr">
        <is>
          <t>Corrections preserve originals and require reason/actor/time.</t>
        </is>
      </c>
      <c r="F6" s="4" t="inlineStr">
        <is>
          <t>Amaan</t>
        </is>
      </c>
      <c r="G6" s="4" t="inlineStr">
        <is>
          <t>Mitigating</t>
        </is>
      </c>
      <c r="H6" s="4" t="n"/>
      <c r="I6" s="4" t="inlineStr">
        <is>
          <t>Corrections never overwrite the live record until approved, and every correction/direct-edit is captured in the audit log with before/after values.</t>
        </is>
      </c>
    </row>
    <row r="7" ht="27.6" customHeight="1" s="8">
      <c r="A7" s="4" t="inlineStr">
        <is>
          <t>RISK-006</t>
        </is>
      </c>
      <c r="B7" s="4" t="inlineStr">
        <is>
          <t>Sensitive workforce data exposure</t>
        </is>
      </c>
      <c r="C7" s="4" t="inlineStr">
        <is>
          <t>High</t>
        </is>
      </c>
      <c r="D7" s="4" t="inlineStr">
        <is>
          <t>Low</t>
        </is>
      </c>
      <c r="E7" s="4" t="inlineStr">
        <is>
          <t>RBAC, HTTPS, secure sessions, least privilege and privacy-conscious logging.</t>
        </is>
      </c>
      <c r="F7" s="4" t="inlineStr">
        <is>
          <t>Amaan</t>
        </is>
      </c>
      <c r="G7" s="4" t="inlineStr">
        <is>
          <t>Mitigating</t>
        </is>
      </c>
      <c r="H7" s="4" t="n"/>
      <c r="I7" s="4" t="inlineStr">
        <is>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is>
      </c>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Amaan</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row r="9">
      <c r="A9" t="inlineStr">
        <is>
          <t>RISK-008</t>
        </is>
      </c>
      <c r="B9" t="inlineStr">
        <is>
          <t>Next.js runtime dependency (pinned 14.2.35) carries known critical vulnerabilities, including an unauthenticated RCE in the Image Optimization API and one specific to Windows-hosted servers.</t>
        </is>
      </c>
      <c r="C9" t="inlineStr">
        <is>
          <t>High</t>
        </is>
      </c>
      <c r="D9" t="inlineStr">
        <is>
          <t>Low</t>
        </is>
      </c>
      <c r="E9" t="inlineStr">
        <is>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is>
      </c>
      <c r="F9" t="inlineStr">
        <is>
          <t>Amaan</t>
        </is>
      </c>
      <c r="G9" t="inlineStr">
        <is>
          <t>Closed</t>
        </is>
      </c>
      <c r="I9" t="inlineStr">
        <is>
          <t>Full first-patched version for both critical CVEs is 15.5.24 - there is no 14.x patch. 30 additional 'high' Dependabot findings exist (multer, js-yaml, postcss, lodash, more Next.js SSRF/DoS advisories); multer is a transitive dependency never wired to a route in this app's own code. | RESOLVED 2026-09-11: upgraded next 14.2.35 -&gt; 16.3.4 (15.x has no further stable releases; 16.3.4 is the actual current fix). By the time this was tackled, npm audit showed 24 next advisories, not just the original 2 critical - both critical RCEs (GHSA-p293-qw3h-jr36 Windows path traversal, GHSA-2xp9-vwfh-vxw4 AVIF image-optimizer RCE) plus everything else; after the upgrade, next no longer appears in npm audit at all. Confirmed via grep before starting that this app has no server-side cookies()/headers()/params/searchParams usage, no middleware, no next/image, no parallel routes - so the Next 15/16 async-request-API breaking changes don't apply here. Stayed on React 18.3.1 (already installed, satisfies Next 16's peer minimum) rather than also taking on an unnecessary React 19 migration. eslint-config-next@16 required migrating apps/web to ESLint 9 flat config (eslint.config.mjs); disabled one new stricter lint rule (react-hooks/set-state-in-effect) for two pre-existing legitimate effect uses it now flags, not a behavior change. Verified: CI green (build-and-test, docker-build, real Playwright browser E2E), deployed to Staging first and live-verified there (login, real clock-in/clock-out write path, Reports page), then deployed to production and re-verified live there the same way, plus a clean browser console.</t>
        </is>
      </c>
    </row>
    <row r="10">
      <c r="A10" t="inlineStr">
        <is>
          <t>RISK-009</t>
        </is>
      </c>
      <c r="B10" t="inlineStr">
        <is>
          <t>Password-reset (and all other) emails are undeliverable in production for any real user other than the Resend account's own verified address, because EMAIL_FROM is still Resend's shared sandbox domain (onboarding@resend.dev) and no custom domain has been verified.</t>
        </is>
      </c>
      <c r="C10" t="inlineStr">
        <is>
          <t>High</t>
        </is>
      </c>
      <c r="D10" t="inlineStr">
        <is>
          <t>High</t>
        </is>
      </c>
      <c r="E10" t="inlineStr">
        <is>
          <t>No workaround exists in production by design - devResetToken (which bypasses email entirely) is deliberately never exposed outside NODE_ENV!=production, since exposing a raw reset token in an API response would itself be a security defect. The only real fix is verifying a custom domain in Resend (a few DNS records, no code change) or, alternatively, an admin can manually reset a user's password via the User Detail screen as a fallback in the meantime.</t>
        </is>
      </c>
      <c r="F10" t="inlineStr">
        <is>
          <t>Amaan</t>
        </is>
      </c>
      <c r="G10" t="inlineStr">
        <is>
          <t>Closed</t>
        </is>
      </c>
      <c r="H10" t="inlineStr">
        <is>
          <t>Needs Amaan to provide a domain to verify in Resend, or explicitly accept this gap for the initial delivery. | RESOLVED 2026-09-12: Amaan chose Azure Communication Services (ACS) Email over verifying a custom Resend domain - an Azure-native alternative needing zero DNS setup.</t>
        </is>
      </c>
      <c r="I10" t="inlineStr">
        <is>
          <t>Confirmed live 2026-09-10 via a real forgot-password request against production and the resulting Azure Log Analytics entry: "Resend rejected email to employee@atms.app ... You can only send testing emails to your own email address (rasheeed0020@gmail.com)". This is a currently-active broken flow, not a latent/theoretical risk - the highest-priority item in this sheet as a result. Also affects EP-011's reminder emails, though those are lower-severity since notificationsEmailEnabled defaults to false and in-app notifications remain fully functional regardless. | Implemented and live-verified 2026-09-12. Provisioned an ACS Email Communication Service (atms-email) with an Azure Managed Domain (auto-verified, zero DNS records) and a linked Communication Services resource (atms-communication) holding the connection string. Rewrote EmailService (apps/api/src/common/services/email.service.ts) to use @azure/communication-email's EmailClient.beginSend() poller pattern, explicitly checking KnownEmailSendStatus.Succeeded rather than assuming success - same rigor as the Resend code it replaced. Real bug hit and fixed live during the cutover: ACS's senderAddress is a bare email address, not the "Display Name &lt;addr&gt;" form Resend accepted - the first live send failed with RestError: Request body validation error. See property 'senderAddress', fixed by changing EMAIL_FROM to a bare address on both environments. Live end-to-end verification: registered a fresh test account with a real external inbox on both staging and production, triggered a real forgot-password request on each, and confirmed delivery both via the Container App logs (real ACS operationIds, no errors) and by checking the actual inbox - both emails arrived. Azure Managed Domain has no recipient restriction (unlike Resend's sandbox), rate-limited instead at 5/min, 10/hour on the free tier. Old RESEND_API_KEY/resend-api-key secret removed from both Container Apps; resend npm dependency removed from apps/api/package.json. Documented in docs/DEPLOYMENT.md ('Email delivery' section); README's Known Limitations bullet for this removed.</t>
        </is>
      </c>
    </row>
    <row r="11">
      <c r="A11" t="inlineStr">
        <is>
          <t>RISK-010</t>
        </is>
      </c>
      <c r="B11" t="inlineStr">
        <is>
          <t>No automated Playwright browser end-to-end tests exist, despite the SRS explicitly naming Playwright twice (Testing Strategy §14, Technology Stack §15) for the Register→Login→Clock In→Task→Break→Switch→Clock Out critical path.</t>
        </is>
      </c>
      <c r="C11" t="inlineStr">
        <is>
          <t>Medium</t>
        </is>
      </c>
      <c r="D11" t="inlineStr">
        <is>
          <t>High</t>
        </is>
      </c>
      <c r="E11" t="inlineStr">
        <is>
          <t>Critical workflows have been extensively manually verified live against the deployed app throughout this effort (real browser, real data, repeated across every epic), and CI runs real API-level e2e tests against a real Postgres instance - so the underlying behaviour is genuinely proven, just not via the specific automated tool the SRS names. Adding Playwright coverage for the two named critical flows (employee path, admin path) closes this properly.</t>
        </is>
      </c>
      <c r="F11" t="inlineStr">
        <is>
          <t>Amaan</t>
        </is>
      </c>
      <c r="G11" t="inlineStr">
        <is>
          <t>Closed</t>
        </is>
      </c>
      <c r="H11" t="inlineStr">
        <is>
          <t>Scope confirmed with Amaan; not yet started.</t>
        </is>
      </c>
      <c r="I11" t="inlineStr">
        <is>
          <t>Confirmed 2026-09-10 via direct SRS text search (§14/§15) and repo inspection: apps/web/package.json has no Playwright dependency and no test:e2e script, despite the root package.json's test:e2e delegating to it. | Closed 2026-09-11: added apps/web/e2e/employee-critical-path.spec.ts (the SRS-named flow verbatim) and admin-flow.spec.ts (the SRS administrator workflow), plus a new playwright-e2e CI job (its own Postgres, full build/migrate/seed, starts both servers for real). First CI attempt genuinely failed - not a local-only pass rubber-stamped as done - root cause was NODE_ENV=production at job level making npm ci skip devDependencies (349 packages installed vs the normal ~1155), breaking the shared package build entirely unrelated to Playwright itself. Fixed by scoping NODE_ENV=production to only the two steps that run the built servers. Re-ran in real CI and confirmed from the raw job log: "Running 2 tests using 1 worker" / "2 passed (5.2s)" - both flows genuinely pass against a freshly built stack in CI, not just locally.</t>
        </is>
      </c>
    </row>
    <row r="12">
      <c r="A12" t="inlineStr">
        <is>
          <t>RISK-011</t>
        </is>
      </c>
      <c r="B12" t="inlineStr">
        <is>
          <t>Timezone/daylight-saving-time edge cases are not explicitly tested, despite the SRS Testing Strategy (§14) separately naming "Time-zone and daylight-saving tests" as its own category.</t>
        </is>
      </c>
      <c r="C12" t="inlineStr">
        <is>
          <t>Low</t>
        </is>
      </c>
      <c r="D12" t="inlineStr">
        <is>
          <t>Low</t>
        </is>
      </c>
      <c r="E12" t="inlineStr">
        <is>
          <t>All timestamps are stored as Postgres timestamptz and always serialized via toISOString() (UTC) - architecturally this makes DST-boundary bugs structurally unlikely, and AC-012-003-04 already code-verifies UTC storage/serialization correctness. What's missing is a test that specifically exercises a real DST spring-forward/fall-back transition, not the underlying design.</t>
        </is>
      </c>
      <c r="F12" t="inlineStr">
        <is>
          <t>Amaan</t>
        </is>
      </c>
      <c r="G12" t="inlineStr">
        <is>
          <t>Closed</t>
        </is>
      </c>
      <c r="I12" t="inlineStr">
        <is>
          <t>Confirmed 2026-09-10: the only related tracked item (AC-012-003-04) covers UTC serialization correctness, not a DST-boundary scenario specifically. | Closed 2026-09-10: added two real tests exercising actual US DST transitions (2026-11-01 fall-back, 2026-03-08 spring-forward) to packages/shared/src/time-math.test.ts, both passing.</t>
        </is>
      </c>
    </row>
    <row r="13">
      <c r="A13" t="inlineStr">
        <is>
          <t>RISK-012</t>
        </is>
      </c>
      <c r="B13" t="inlineStr">
        <is>
          <t>No separate Staging environment exists, despite the SRS (§15 Deployment and Operations) explicitly requiring "Environment separation: Development, Test/QA, Staging and Production."</t>
        </is>
      </c>
      <c r="C13" t="inlineStr">
        <is>
          <t>Medium</t>
        </is>
      </c>
      <c r="D13" t="inlineStr">
        <is>
          <t>Medium</t>
        </is>
      </c>
      <c r="E13" t="inlineStr">
        <is>
          <t>Currently: local Development, CI's ephemeral test database (Test/QA-equivalent), and one single Azure environment that serves as both Staging and Production at once - the same environment this whole sign-off effort tested live against. A real Staging tier would need its own Container Apps environment/database, doubling Azure cost for this delivery.</t>
        </is>
      </c>
      <c r="F13" t="inlineStr">
        <is>
          <t>Amaan</t>
        </is>
      </c>
      <c r="G13" t="inlineStr">
        <is>
          <t>Closed</t>
        </is>
      </c>
      <c r="H13" t="inlineStr">
        <is>
          <t>Needs Amaan's call on whether a 4th environment is warranted for this delivery's scale. | RESOLVED 2026-09-11: Amaan chose a full mirror of production (same specs, not scaled-down) for Staging, with genuine resource separation elsewhere once a hard platform limit was hit.</t>
        </is>
      </c>
      <c r="I13" t="inlineStr">
        <is>
          <t>Confirmed 2026-09-10 via direct SRS text search (§15) and cross-check against actual Azure resources (atms-rg contains exactly one Container Apps environment). | Implemented and live-verified 2026-09-11. Provisioned via new infra/staging.bicep + .github/workflows/deploy-staging.yml (workflow_dispatch only, separate trigger from production's deploy.yml). Staging has its own ACR, its own Postgres Flexible Server (Standard_B2s, 7-day backups), its own least-privilege atms_app DB role, its own JWT secrets, and its own generated (non-default) seed credentials. Both Container Apps run at production specs (minReplicas:1, same CPU/memory). Real platform constraint discovered live: this Azure subscription allows exactly one Container Apps managed environment total - confirmed via two failed deployment attempts (MaxNumberOfRegionalEnvironmentsInSubExceeded in centralus, then MaxNumberOfGlobalEnvironmentsInSubExceeded in eastus). Resolved by having staging's 2 Container Apps join the EXISTING production managed environment via a Bicep 'existing' cross-resource-group reference, while keeping registry, database, secrets, and images fully independent - a bad staging deploy cannot touch production data or containers. Live end-to-end verification: logged in via real browser as the staging seed admin, ran a real clock-in/clock-out through the browser session (200/200), and confirmed the resulting row appeared correctly on the staging Reports page; admin Audit Log page also confirmed rendering correctly (empty, as expected - clock actions aren't audited events). Documented in docs/DEPLOYMENT.md ('Staging environment' section) and README.md ('Live demo' section).</t>
        </is>
      </c>
    </row>
    <row r="14">
      <c r="A14" t="inlineStr">
        <is>
          <t>RISK-013</t>
        </is>
      </c>
      <c r="B14" t="inlineStr">
        <is>
          <t>The generated OpenAPI/Swagger spec is never validated in CI, despite the SRS (§12 API Requirements) explicitly requiring it be "generated from backend source annotations/decorators and validated in CI."</t>
        </is>
      </c>
      <c r="C14" t="inlineStr">
        <is>
          <t>Low</t>
        </is>
      </c>
      <c r="D14" t="inlineStr">
        <is>
          <t>Medium</t>
        </is>
      </c>
      <c r="E14" t="inlineStr">
        <is>
          <t>The spec itself is real and live (confirmed 2026-09-10: GET /api/docs-json returns 200 with 47 documented paths against the live API) - generation works. Validation (e.g. a CI step that builds the spec and lints/diffs it) simply doesn't exist yet; a missing or broken annotation could currently ship without CI ever catching it.</t>
        </is>
      </c>
      <c r="F14" t="inlineStr">
        <is>
          <t>Amaan</t>
        </is>
      </c>
      <c r="G14" t="inlineStr">
        <is>
          <t>Closed</t>
        </is>
      </c>
      <c r="I14" t="inlineStr">
        <is>
          <t>Confirmed 2026-09-10: grepped .github/workflows/ci.yml for any openapi/swagger reference - none found. | Closed 2026-09-10: added apps/api/test/openapi.e2e-spec.ts, verified passing in real CI (not just locally) against a live Postgres instance - PASS test/openapi.e2e-spec.ts, 31/31 tests total in that run.</t>
        </is>
      </c>
    </row>
    <row r="15">
      <c r="A15" t="inlineStr">
        <is>
          <t>RISK-014</t>
        </is>
      </c>
      <c r="B15" t="inlineStr">
        <is>
          <t>The API connects to production Postgres using the database server's own admin login, not a scoped least-privilege application role, despite the SRS (§10 Security Requirements) explicitly requiring "least-privilege database credentials."</t>
        </is>
      </c>
      <c r="C15" t="inlineStr">
        <is>
          <t>High</t>
        </is>
      </c>
      <c r="D15" t="inlineStr">
        <is>
          <t>Low</t>
        </is>
      </c>
      <c r="E15" t="inlineStr">
        <is>
          <t>Managed secret storage is correctly in place (Container App secrets, not committed anywhere). The missing half is a dedicated, restricted DB role for the application itself - no CREATE ROLE/GRANT statements exist anywhere in the migrations or infra/main.bicep. If the API were ever compromised (e.g. via a future SQL-handling bug), it currently has full database-server admin rights, not just rights scoped to its own schema.</t>
        </is>
      </c>
      <c r="F15" t="inlineStr">
        <is>
          <t>Amaan</t>
        </is>
      </c>
      <c r="G15" t="inlineStr">
        <is>
          <t>Closed</t>
        </is>
      </c>
      <c r="H15" t="inlineStr">
        <is>
          <t>Needs a migration/infra change: create a scoped Postgres role, grant it only the app's own schema, switch DATABASE_URL to it.</t>
        </is>
      </c>
      <c r="I15" t="inlineStr">
        <is>
          <t>Confirmed 2026-09-10: no role-creation or GRANT statements found anywhere in apps/api/prisma/migrations or infra/main.bicep; the app almost certainly runs as the server's administratorLogin (atmsadmin) for all database access. | Closed 2026-09-11: created a new Postgres role atms_app (rolsuper=false, rolcreaterole=false, rolcreatedb=false, rolcanlogin=true) with only SELECT/INSERT/UPDATE/DELETE on the public schema's tables and USAGE/SELECT on its sequences (52 grant rows total, matching 13 tables x 4 DML privileges) - no DDL, no role/db management, no access to any other database. Switched the API Container App's database-url secret to connect as this role instead of the server admin login, restarted the revision, and verified live: GET /ready (real DB connectivity check) returns 200, and a full login + clock-in + clock-out cycle against production succeeds end-to-end on the new role. The admin login (atmsadmin) is now used only for migrations, not runtime traffic - if the API were ever compromised it would have read/write access to its own data only, not database-server admin rights. Amaan added the temporary firewall rule via the Azure Portal himself; both the admin password (reset as part of this change, since it could not be retrieved) and the new role's password were rotated and never persisted anywhere outside the Container App secret.</t>
        </is>
      </c>
    </row>
    <row r="16">
      <c r="A16" t="inlineStr">
        <is>
          <t>RISK-015</t>
        </is>
      </c>
      <c r="B16" t="inlineStr">
        <is>
          <t>No distinct read-only "Auditor" role exists, despite the SRS naming it as a full stakeholder persona (§3: "Read authorised attendance/task/audit reports without editing operational records") and giving it a dedicated Must-Have/MVP user story (US-009-005, Persona: Auditor).</t>
        </is>
      </c>
      <c r="C16" t="inlineStr">
        <is>
          <t>Medium</t>
        </is>
      </c>
      <c r="D16" t="inlineStr">
        <is>
          <t>Low</t>
        </is>
      </c>
      <c r="E16" t="inlineStr">
        <is>
          <t>UserRole currently defines only EMPLOYEE and ADMINISTRATOR (packages/shared/src/enums.ts) - no read-only tier. The 4 specific ACs under US-009-005 (audit captures actor/action/timestamp, employees can't edit it, filterable, secrets never logged) are all genuinely satisfied via admin-gated access, so no AC actually fails - this is a role-granularity gap, not a broken feature. Anyone needing to view reports/audit without write access currently has to be given full Administrator rights.</t>
        </is>
      </c>
      <c r="F16" t="inlineStr">
        <is>
          <t>Amaan</t>
        </is>
      </c>
      <c r="G16" t="inlineStr">
        <is>
          <t>Closed</t>
        </is>
      </c>
      <c r="H16" t="inlineStr">
        <is>
          <t>Needs Amaan's call on whether a 3rd role is worth adding for this delivery, given the underlying ACs already pass.</t>
        </is>
      </c>
      <c r="I16" t="inlineStr">
        <is>
          <t>Confirmed 2026-09-10 via direct SRS text search (§3 Stakeholders, US-009-005) and the actual UserRole enum in code - only 2 values exist. | Closed 2026-09-11: added UserRole.AUDITOR (migration 20260911050000_add_auditor_role) and a new AuditorScopeGuard, default-denying AUDITOR on every route except ones explicitly marked @AuditorAllowed() (reports, audit log, live attendance, user list for the reports filter, own profile). Proved both halves live in a new auditor-role.e2e-spec.ts (14 tests): the allowed surfaces genuinely work, every write endpoint genuinely 403s. Also fixed two real UX gaps found by actually logging in as an Auditor through the browser, not assumed: login/root unconditionally redirected everyone to /my-day (a dead end for a role with no attendance of its own) - now routes Auditor to /admin/reports; /admin/users showed fully-interactive edit controls that would 403 if used - now shows read-only values for non-Administrators. Confirmed in real CI (run #115): 45/45 API e2e tests pass together (including a genuine cross-file Jest test-isolation race this work surfaced and fixed via maxWorkers:1, unrelated to Auditor itself but a real latent bug), 2/2 Playwright tests pass, docker-build succeeds. Not yet deployed to production - the enum migration needs applying to the live database before this is usable there. | Deployed to production 2026-09-11: migration applied live, deploy workflow run (#34) succeeded, and re-verified end-to-end against the real deployed app with a real disposable test account - AUDITOR role selectable in the real admin Create User form, login correctly routes straight to /admin/reports, nav shows exactly Live Attendance/Reports/Audit Log/Profile, and direct API calls confirm POST /attendance/clock-in -&gt; 403 while GET /audit and GET /reports/attendance -&gt; 200. Test account deactivated after verification. | Extended 2026-09-18: two more real gaps found and closed while restyling the Live Attendance screen. GET /attendance/:id (the session detail drawer behind one row of the list Auditor already had) had no @AuditorAllowed() - Amaan's explicit call, after reviewing AC-008-003-02's wording together, to extend it: same read-only data class as the list, no editing capability either way. Separately, GET /departments (department names for a filter dropdown, no @Roles() restriction at all - any authenticated user was always meant to read it) was still being blocked for AUDITOR purely by the guard's own default-deny, not any deliberate rule - found live while verifying the first fix. Both verified against a real database with a real Auditor account (list 200, detail 200, GET /dashboard/admin/kpis still correctly 403), deployed through staging then production, and re-verified live in both.</t>
        </is>
      </c>
    </row>
    <row r="17">
      <c r="A17" t="inlineStr">
        <is>
          <t>RISK-016</t>
        </is>
      </c>
      <c r="B17" t="inlineStr">
        <is>
          <t>Definition of Ready (SRS §17.1: "Dependencies resolved or explicitly tracked") is not met at the tracker level - the User Stories sheet has a dedicated Dependencies column that is blank for all 75 stories, not just some.</t>
        </is>
      </c>
      <c r="C17" t="inlineStr">
        <is>
          <t>Low</t>
        </is>
      </c>
      <c r="D17" t="inlineStr">
        <is>
          <t>Medium</t>
        </is>
      </c>
      <c r="E17" t="inlineStr">
        <is>
          <t>In practice, stories within an epic were largely built and tested in order without hard cross-epic blocking (e.g. EP-011's notifications genuinely depended on EP-005/EP-009 existing first, and were built after them) - so there's no evidence of an actual unmanaged dependency causing a real problem. The gap is specifically that this was never written down anywhere, which is what the DoR criterion asks for ("resolved OR explicitly tracked" - blank satisfies neither).</t>
        </is>
      </c>
      <c r="F17" t="inlineStr">
        <is>
          <t>Amaan</t>
        </is>
      </c>
      <c r="G17" t="inlineStr">
        <is>
          <t>Closed</t>
        </is>
      </c>
      <c r="H17" t="inlineStr">
        <is>
          <t>Would need someone to go through all 75 stories and record real cross-story dependencies (e.g. US-011-001 depends on EP-005's task-assignment flow existing) - straightforward but not yet done.</t>
        </is>
      </c>
      <c r="I17" t="inlineStr">
        <is>
          <t>Confirmed 2026-09-11: 75 of 75 User Stories rows have a blank Dependencies column (checked directly against the live tracker file, not assumed). | RESOLVED 2026-09-11: filled the Dependencies column for all 75 User Stories with real functional/workflow dependencies derived directly from the SRS's own described sequences - e.g. US-003-001 (Clock in) depends on US-001-003 (Login) + US-002-005 (must be Active); US-006-001 (Start task timer) depends on US-003-001 (must be clocked in) + US-005-003 (task must be assigned/eligible); US-009-005 (Audit log) depends on every auditable action across EP-002/EP-009. Cross-epic dependencies (the ones actually worth surfacing for planning) were deliberately prioritised over restating same-epic ordering. 9 genuinely foundational/infrastructure stories (US-001-001, US-012-004/005/006, etc.) are correctly marked 'None'. Verified the resulting graph programmatically: no cycles, no dangling references to a non-existent Story ID, all 75 rows non-blank.</t>
        </is>
      </c>
    </row>
    <row r="18">
      <c r="A18" t="inlineStr">
        <is>
          <t>RISK-017</t>
        </is>
      </c>
      <c r="B18" t="inlineStr">
        <is>
          <t>Definition of Done (SRS §17.2: "No unresolved Critical/High security defect") is not strictly true right now, given the 4 Critical + 30 High Dependabot findings tracked under RISK-008 (the unpatched Next.js CVEs and their related dependency chain).</t>
        </is>
      </c>
      <c r="C18" t="inlineStr">
        <is>
          <t>Medium</t>
        </is>
      </c>
      <c r="D18" t="inlineStr">
        <is>
          <t>High</t>
        </is>
      </c>
      <c r="E18" t="inlineStr">
        <is>
          <t>Real-world exposure was already assessed as low under RISK-008 (the vulnerable Next.js feature isn't used anywhere in this app's own code, and the Windows-specific CVE doesn't apply to this Linux container deployment) and the fix (a Next.js 14-&gt;15 migration) is deliberately deferred rather than rushed into an already-verified live app. This risk exists specifically to make that DoD conflict visible on its own, rather than leaving it as a sentence buried inside a different risk's evidence text - every epic in this tracker is marked Done, and under a literal reading of the SRS's own exit criteria, none of them strictly qualify while this remains open.</t>
        </is>
      </c>
      <c r="F18" t="inlineStr">
        <is>
          <t>Amaan</t>
        </is>
      </c>
      <c r="G18" t="inlineStr">
        <is>
          <t>Closed</t>
        </is>
      </c>
      <c r="H18" t="inlineStr">
        <is>
          <t>Resolves automatically once RISK-008 is closed (the Next.js migration, or another fix for the underlying CVEs) - no separate action needed beyond that.</t>
        </is>
      </c>
      <c r="I18" t="inlineStr">
        <is>
          <t>Confirmed 2026-09-11: GitHub Dependabot currently reports 4 critical, 30 high, 38 moderate, 9 low open findings on the default branch (checked live, not assumed). Directly cross-referenced against the SRS's own SS17.2 wording, which was previously only noted as a caveat inside RISK-008 rather than tracked as its own item. | RESOLVED 2026-09-11: closes automatically now that RISK-008 is closed - next no longer appears in npm audit at all post-upgrade, removing the specific finding this risk was tracking against the SRS's DoD wording.</t>
        </is>
      </c>
    </row>
    <row r="19">
      <c r="A19" s="12" t="inlineStr">
        <is>
          <t>RISK-018</t>
        </is>
      </c>
      <c r="B19" s="12" t="inlineStr">
        <is>
          <t>EP-013 introduces storage of HR-sensitive compliance documents (passport, right-to-work/eVisa, NI number, bank details) and a bank account number field - a materially more sensitive data class than anything the app previously stored.</t>
        </is>
      </c>
      <c r="C19" s="12" t="inlineStr">
        <is>
          <t>High</t>
        </is>
      </c>
      <c r="D19" s="12" t="inlineStr">
        <is>
          <t>Low</t>
        </is>
      </c>
      <c r="E19" s="12" t="inlineStr">
        <is>
          <t>Documents are stored in a private Azure Blob Storage container (allowBlobPublicAccess: false, publicAccess: 'None', TLS 1.2 minimum) with no public URL ever issued - every read goes through the API, which enforces self-or-admin ownership (403 otherwise) and explicitly excludes the Auditor role via the existing default-deny AuditorScopeGuard (no new mechanism needed, confirmed live). Upload is restricted to a mimetype+extension allowlist (PDF/JPEG/PNG) checked together, so a mislabelled executable is rejected before it reaches storage. Bank account number is masked to the last 4 digits on every steady-state read (self, admin, audit log) - the only place the real value is shown is the one-time admin approval review, by design. Deletes are soft (deletedAt/deletedById preserved for audit) but the underlying blob is purged immediately, so sensitive file bytes don't linger past an explicit admin delete. Every document and profile-change action is audited (DOCUMENT_UPLOADED/DOWNLOADED/DELETED, PROFILE_CHANGE_REQUESTED/APPROVED/REJECTED, ADMIN_DIRECT_PROFILE_UPDATE).</t>
        </is>
      </c>
      <c r="F19" s="12" t="inlineStr">
        <is>
          <t>Amaan</t>
        </is>
      </c>
      <c r="G19" s="12" t="inlineStr">
        <is>
          <t>Closed</t>
        </is>
      </c>
      <c r="H19" s="12" t="inlineStr">
        <is>
          <t>Access-scope decision made with Amaan before implementation: Admin + the employee themself only, Auditor explicitly excluded even though it has read access elsewhere in the app.</t>
        </is>
      </c>
      <c r="I19" s="12" t="inlineStr">
        <is>
          <t>Closed 2026-09-20 after full live verification across local dev, staging and production: real file upload/download round-trips confirmed byte-identical via direct diff; a renamed .exe rejected by the mimetype+extension allowlist; a second employee 403s on another employee's documents; Auditor 403s on every document route; bank account number confirmed masked on every steady-state GET including the admin User Detail Drawer, with the admin review screen confirmed as the sole, deliberate exception; a soft-deleted document's underlying blob confirmed purged via a direct `az storage blob exists` check returning false against the real staging container.</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3.8"/>
  <cols>
    <col width="12" customWidth="1" style="8" min="1" max="1"/>
    <col width="38" customWidth="1" style="8" min="2" max="2"/>
    <col width="52" customWidth="1" style="8" min="3" max="3"/>
    <col width="46" customWidth="1" style="8" min="4" max="4"/>
    <col width="52" customWidth="1" style="8" min="5" max="5"/>
    <col width="16" customWidth="1" style="8" min="6" max="6"/>
  </cols>
  <sheetData>
    <row r="1" ht="24" customHeight="1" s="8">
      <c r="A1" s="2" t="inlineStr">
        <is>
          <t>Release</t>
        </is>
      </c>
      <c r="B1" s="2" t="inlineStr">
        <is>
          <t>Goal</t>
        </is>
      </c>
      <c r="C1" s="2" t="inlineStr">
        <is>
          <t>Epic Scope</t>
        </is>
      </c>
      <c r="D1" s="2" t="inlineStr">
        <is>
          <t>Entry Gate</t>
        </is>
      </c>
      <c r="E1" s="2" t="inlineStr">
        <is>
          <t>Exit Gate</t>
        </is>
      </c>
      <c r="F1" s="2" t="inlineStr">
        <is>
          <t>Status</t>
        </is>
      </c>
    </row>
    <row r="2" ht="27.6" customHeight="1" s="8">
      <c r="A2" s="4" t="inlineStr">
        <is>
          <t>MVP</t>
        </is>
      </c>
      <c r="B2" s="4" t="inlineStr">
        <is>
          <t>Deliver usable production baseline</t>
        </is>
      </c>
      <c r="C2" s="4" t="inlineStr">
        <is>
          <t>EP-001 to EP-010 and EP-012</t>
        </is>
      </c>
      <c r="D2" s="4" t="inlineStr">
        <is>
          <t>SRS approved; schema/UX/security baseline ready</t>
        </is>
      </c>
      <c r="E2" s="4" t="inlineStr">
        <is>
          <t>MVP stories accepted; security, concurrency, backup and deployment gates passed</t>
        </is>
      </c>
      <c r="F2" s="4" t="inlineStr">
        <is>
          <t>In Progress</t>
        </is>
      </c>
    </row>
    <row r="3" ht="27.6" customHeight="1" s="8">
      <c r="A3" s="4" t="inlineStr">
        <is>
          <t>R1</t>
        </is>
      </c>
      <c r="B3" s="4" t="inlineStr">
        <is>
          <t>Add reminders and production-led refinements</t>
        </is>
      </c>
      <c r="C3" s="4" t="inlineStr">
        <is>
          <t>EP-011 + approved carry-over improvements</t>
        </is>
      </c>
      <c r="D3" s="4" t="inlineStr">
        <is>
          <t>MVP stable with production telemetry</t>
        </is>
      </c>
      <c r="E3" s="4" t="inlineStr">
        <is>
          <t>R1 AC passed and no blocking regression</t>
        </is>
      </c>
      <c r="F3" s="4" t="inlineStr">
        <is>
          <t>Not Started</t>
        </is>
      </c>
    </row>
    <row r="4" ht="27.6" customHeight="1" s="8">
      <c r="A4" s="4" t="inlineStr">
        <is>
          <t>Later</t>
        </is>
      </c>
      <c r="B4" s="4" t="inlineStr">
        <is>
          <t>Evidence-driven expansion only</t>
        </is>
      </c>
      <c r="C4" s="4" t="inlineStr">
        <is>
          <t>Native mobile / SSO / richer live updates / external integrations if justified</t>
        </is>
      </c>
      <c r="D4" s="4" t="inlineStr">
        <is>
          <t>Business case and production evidence</t>
        </is>
      </c>
      <c r="E4" s="4" t="inlineStr">
        <is>
          <t>Feature-specific readiness criteria</t>
        </is>
      </c>
      <c r="F4" s="4"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3.8"/>
  <cols>
    <col width="26" customWidth="1" style="8" min="1" max="1"/>
    <col width="15" customWidth="1" style="8" min="2" max="2"/>
    <col width="20" customWidth="1" style="8" min="4" max="4"/>
    <col width="12" customWidth="1" style="8" min="5" max="5"/>
    <col width="14" customWidth="1" style="8" min="7" max="7"/>
    <col width="12" customWidth="1" style="8" min="8" max="8"/>
  </cols>
  <sheetData>
    <row r="1" ht="21" customHeight="1" s="8">
      <c r="A1" s="7" t="inlineStr">
        <is>
          <t>Attendance &amp; Task Management - Delivery Dashboard</t>
        </is>
      </c>
    </row>
    <row r="3" ht="24" customHeight="1" s="8">
      <c r="A3" s="2" t="inlineStr">
        <is>
          <t>Baseline Metric</t>
        </is>
      </c>
      <c r="B3" s="2" t="inlineStr">
        <is>
          <t>Value</t>
        </is>
      </c>
      <c r="D3" s="2" t="inlineStr">
        <is>
          <t>Story Status</t>
        </is>
      </c>
      <c r="E3" s="2" t="inlineStr">
        <is>
          <t>Count</t>
        </is>
      </c>
      <c r="G3" s="2" t="inlineStr">
        <is>
          <t>Release</t>
        </is>
      </c>
      <c r="H3" s="2" t="inlineStr">
        <is>
          <t>Stories</t>
        </is>
      </c>
    </row>
    <row r="4">
      <c r="A4" s="4" t="inlineStr">
        <is>
          <t>Epics</t>
        </is>
      </c>
      <c r="B4" s="4" t="n">
        <v>13</v>
      </c>
      <c r="D4" s="4" t="inlineStr">
        <is>
          <t>Not Started</t>
        </is>
      </c>
      <c r="E4" s="4">
        <f>COUNTIF('User Stories'!L:L,"Not Started")</f>
        <v/>
      </c>
      <c r="G4" s="4" t="inlineStr">
        <is>
          <t>MVP</t>
        </is>
      </c>
      <c r="H4" s="4">
        <f>COUNTIF('User Stories'!J:J,"MVP")</f>
        <v/>
      </c>
    </row>
    <row r="5">
      <c r="A5" s="4" t="inlineStr">
        <is>
          <t>User Stories</t>
        </is>
      </c>
      <c r="B5" s="4" t="n">
        <v>83</v>
      </c>
      <c r="D5" s="4" t="inlineStr">
        <is>
          <t>In Progress</t>
        </is>
      </c>
      <c r="E5" s="4">
        <f>COUNTIF('User Stories'!L:L,"In Progress")</f>
        <v/>
      </c>
      <c r="G5" s="4" t="inlineStr">
        <is>
          <t>R1</t>
        </is>
      </c>
      <c r="H5" s="4">
        <f>COUNTIF('User Stories'!J:J,"R1")</f>
        <v/>
      </c>
    </row>
    <row r="6">
      <c r="A6" s="4" t="inlineStr">
        <is>
          <t>Acceptance Criteria</t>
        </is>
      </c>
      <c r="B6" s="4" t="n">
        <v>330</v>
      </c>
      <c r="D6" s="4" t="inlineStr">
        <is>
          <t>In Review</t>
        </is>
      </c>
      <c r="E6" s="4">
        <f>COUNTIF('User Stories'!L:L,"In Review")</f>
        <v/>
      </c>
      <c r="G6" s="4" t="inlineStr">
        <is>
          <t>Later</t>
        </is>
      </c>
      <c r="H6" s="4">
        <f>COUNTIF('User Stories'!J:J,"Later")</f>
        <v/>
      </c>
    </row>
    <row r="7">
      <c r="A7" s="4" t="inlineStr">
        <is>
          <t>NFRs</t>
        </is>
      </c>
      <c r="B7" s="4" t="n">
        <v>16</v>
      </c>
      <c r="D7" s="4" t="inlineStr">
        <is>
          <t>Blocked</t>
        </is>
      </c>
      <c r="E7" s="4">
        <f>COUNTIF('User Stories'!L:L,"Blocked")</f>
        <v/>
      </c>
    </row>
    <row r="8">
      <c r="A8" s="4" t="inlineStr">
        <is>
          <t>Business Rules</t>
        </is>
      </c>
      <c r="B8" s="4" t="n">
        <v>14</v>
      </c>
      <c r="D8" s="4" t="inlineStr">
        <is>
          <t>Done</t>
        </is>
      </c>
      <c r="E8" s="4">
        <f>COUNTIF('User Stories'!L:L,"Done")</f>
        <v/>
      </c>
    </row>
    <row r="9">
      <c r="A9" s="4" t="inlineStr">
        <is>
          <t>Screens</t>
        </is>
      </c>
      <c r="B9" s="4" t="n">
        <v>21</v>
      </c>
      <c r="D9" s="4" t="inlineStr">
        <is>
          <t>Deferred</t>
        </is>
      </c>
      <c r="E9" s="4">
        <f>COUNTIF('User Stories'!L:L,"Deferred")</f>
        <v/>
      </c>
    </row>
    <row r="12" ht="24" customHeight="1" s="8">
      <c r="A12" s="2" t="inlineStr">
        <is>
          <t>Quality / Delivery KPI</t>
        </is>
      </c>
      <c r="B12" s="2" t="inlineStr">
        <is>
          <t>Value</t>
        </is>
      </c>
    </row>
    <row r="13">
      <c r="A13" s="4" t="inlineStr">
        <is>
          <t>Stories Done %</t>
        </is>
      </c>
      <c r="B13" s="6">
        <f>IFERROR(COUNTIF('User Stories'!L:L,"Done")/(COUNTA('User Stories'!A:A)-1),0)</f>
        <v/>
      </c>
    </row>
    <row r="14">
      <c r="A14" s="4" t="inlineStr">
        <is>
          <t>AC Pass %</t>
        </is>
      </c>
      <c r="B14" s="6">
        <f>IFERROR(COUNTIF('Acceptance Criteria'!F:F,"Pass")/(COUNTA('Acceptance Criteria'!A:A)-1),0)</f>
        <v/>
      </c>
    </row>
    <row r="15">
      <c r="A15" s="4" t="inlineStr">
        <is>
          <t>AC Failed</t>
        </is>
      </c>
      <c r="B15" s="4">
        <f>COUNTIF('Acceptance Criteria'!F:F,"Fail")</f>
        <v/>
      </c>
    </row>
    <row r="16">
      <c r="A16" s="4" t="inlineStr">
        <is>
          <t>Blocked Stories</t>
        </is>
      </c>
      <c r="B16" s="4">
        <f>COUNTIF('User Stories'!L:L,"Blocked")</f>
        <v/>
      </c>
    </row>
    <row r="17">
      <c r="A17" s="4" t="inlineStr">
        <is>
          <t>Traceability Coverage</t>
        </is>
      </c>
      <c r="B17" s="6">
        <f>IFERROR(COUNTIF(Traceability!I:I,"Linked")/(COUNTA(Traceability!B:B)-1),0)</f>
        <v/>
      </c>
    </row>
    <row r="18">
      <c r="A18" s="4" t="inlineStr">
        <is>
          <t>Open Risks</t>
        </is>
      </c>
      <c r="B18" s="4">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2026-09-21T01:22:28Z</dcterms:modified>
  <cp:lastModifiedBy>AMAAN FAIZ</cp:lastModifiedBy>
</cp:coreProperties>
</file>