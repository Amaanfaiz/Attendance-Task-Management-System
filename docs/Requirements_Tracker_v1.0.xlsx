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02B96726DE925F8D1A6A3814FC49FADC8F2FCC9A"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J71" i="8"/>
  <c r="H71" i="8"/>
  <c r="G71" i="8"/>
  <c r="F71" i="8"/>
  <c r="E71" i="8"/>
  <c r="D71" i="8"/>
  <c r="I71" i="8" s="1"/>
  <c r="H70" i="8"/>
  <c r="G70" i="8"/>
  <c r="J70" i="8" s="1"/>
  <c r="F70" i="8"/>
  <c r="E70" i="8"/>
  <c r="D70" i="8"/>
  <c r="I70" i="8" s="1"/>
  <c r="J69" i="8"/>
  <c r="I69" i="8"/>
  <c r="H69" i="8"/>
  <c r="G69" i="8"/>
  <c r="F69" i="8"/>
  <c r="E69" i="8"/>
  <c r="D69" i="8"/>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J62" i="8"/>
  <c r="H62" i="8"/>
  <c r="G62" i="8"/>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J53" i="8"/>
  <c r="H53" i="8"/>
  <c r="G53" i="8"/>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J47" i="8"/>
  <c r="H47" i="8"/>
  <c r="G47" i="8"/>
  <c r="F47" i="8"/>
  <c r="E47" i="8"/>
  <c r="D47" i="8"/>
  <c r="I47" i="8" s="1"/>
  <c r="H46" i="8"/>
  <c r="G46" i="8"/>
  <c r="J46" i="8" s="1"/>
  <c r="F46" i="8"/>
  <c r="E46" i="8"/>
  <c r="D46" i="8"/>
  <c r="I46" i="8" s="1"/>
  <c r="J45" i="8"/>
  <c r="H45" i="8"/>
  <c r="G45" i="8"/>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H38" i="8"/>
  <c r="G38" i="8"/>
  <c r="J38" i="8" s="1"/>
  <c r="F38" i="8"/>
  <c r="E38" i="8"/>
  <c r="D38" i="8"/>
  <c r="I38" i="8" s="1"/>
  <c r="I37" i="8"/>
  <c r="H37" i="8"/>
  <c r="G37" i="8"/>
  <c r="J37" i="8" s="1"/>
  <c r="F37" i="8"/>
  <c r="E37" i="8"/>
  <c r="D37" i="8"/>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J31" i="8"/>
  <c r="H31" i="8"/>
  <c r="G31" i="8"/>
  <c r="F31" i="8"/>
  <c r="E31" i="8"/>
  <c r="D31" i="8"/>
  <c r="I31" i="8" s="1"/>
  <c r="H30" i="8"/>
  <c r="G30" i="8"/>
  <c r="J30" i="8" s="1"/>
  <c r="F30" i="8"/>
  <c r="E30" i="8"/>
  <c r="D30" i="8"/>
  <c r="I30" i="8" s="1"/>
  <c r="I29" i="8"/>
  <c r="H29" i="8"/>
  <c r="G29" i="8"/>
  <c r="J29" i="8" s="1"/>
  <c r="F29" i="8"/>
  <c r="E29" i="8"/>
  <c r="D29" i="8"/>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J22" i="8"/>
  <c r="H22" i="8"/>
  <c r="G22" i="8"/>
  <c r="F22" i="8"/>
  <c r="E22" i="8"/>
  <c r="D22" i="8"/>
  <c r="I22" i="8" s="1"/>
  <c r="H21" i="8"/>
  <c r="G21" i="8"/>
  <c r="J21" i="8" s="1"/>
  <c r="F21" i="8"/>
  <c r="E21" i="8"/>
  <c r="D21" i="8"/>
  <c r="I21" i="8" s="1"/>
  <c r="I20" i="8"/>
  <c r="H20" i="8"/>
  <c r="G20" i="8"/>
  <c r="J20" i="8" s="1"/>
  <c r="F20" i="8"/>
  <c r="E20" i="8"/>
  <c r="D20" i="8"/>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J14" i="8"/>
  <c r="H14" i="8"/>
  <c r="G14" i="8"/>
  <c r="F14" i="8"/>
  <c r="E14" i="8"/>
  <c r="D14" i="8"/>
  <c r="I14" i="8" s="1"/>
  <c r="H13" i="8"/>
  <c r="G13" i="8"/>
  <c r="J13" i="8" s="1"/>
  <c r="F13" i="8"/>
  <c r="E13" i="8"/>
  <c r="D13" i="8"/>
  <c r="I13" i="8" s="1"/>
  <c r="I12" i="8"/>
  <c r="H12" i="8"/>
  <c r="G12" i="8"/>
  <c r="J12" i="8" s="1"/>
  <c r="F12" i="8"/>
  <c r="E12" i="8"/>
  <c r="D12" i="8"/>
  <c r="I11" i="8"/>
  <c r="H11" i="8"/>
  <c r="G11" i="8"/>
  <c r="J11" i="8" s="1"/>
  <c r="F11" i="8"/>
  <c r="E11" i="8"/>
  <c r="D11" i="8"/>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J6" i="8"/>
  <c r="H6" i="8"/>
  <c r="G6" i="8"/>
  <c r="F6" i="8"/>
  <c r="E6" i="8"/>
  <c r="D6" i="8"/>
  <c r="I6" i="8" s="1"/>
  <c r="H5" i="8"/>
  <c r="G5" i="8"/>
  <c r="J5" i="8" s="1"/>
  <c r="F5" i="8"/>
  <c r="E5" i="8"/>
  <c r="D5" i="8"/>
  <c r="I5" i="8" s="1"/>
  <c r="I4" i="8"/>
  <c r="H4" i="8"/>
  <c r="G4" i="8"/>
  <c r="J4" i="8" s="1"/>
  <c r="F4" i="8"/>
  <c r="E4" i="8"/>
  <c r="D4" i="8"/>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<sst xmlns="http://schemas.openxmlformats.org/spreadsheetml/2006/main" count="4126" uniqueCount="1643">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</sst>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63A2-4B18-BC5F-BD4A86E8DAA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65ED-489A-8C66-EAB39F62753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6"/>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1031</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1031</v>
      </c>
      <c r="H15" t="s">
        <v>1602</v>
      </c>
      <c r="I15" t="s">
        <v>1603</v>
      </c>
    </row>
    <row r="16" spans="1:9">
      <c r="A16" t="s">
        <v>1604</v>
      </c>
      <c r="B16" t="s">
        <v>1605</v>
      </c>
      <c r="C16" t="s">
        <v>1544</v>
      </c>
      <c r="D16" t="s">
        <v>1561</v>
      </c>
      <c r="E16" t="s">
        <v>1606</v>
      </c>
      <c r="F16" t="s">
        <v>16</v>
      </c>
      <c r="G16" t="s">
        <v>1031</v>
      </c>
      <c r="H16" t="s">
        <v>1607</v>
      </c>
      <c r="I16" t="s">
        <v>1608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1609</v>
      </c>
      <c r="C1" s="2" t="s">
        <v>1610</v>
      </c>
      <c r="D1" s="2" t="s">
        <v>1611</v>
      </c>
      <c r="E1" s="2" t="s">
        <v>1612</v>
      </c>
      <c r="F1" s="2" t="s">
        <v>1052</v>
      </c>
    </row>
    <row r="2" spans="1:6" ht="27.6" customHeight="1">
      <c r="A2" s="4" t="s">
        <v>1029</v>
      </c>
      <c r="B2" s="4" t="s">
        <v>1613</v>
      </c>
      <c r="C2" s="4" t="s">
        <v>1614</v>
      </c>
      <c r="D2" s="4" t="s">
        <v>1615</v>
      </c>
      <c r="E2" s="4" t="s">
        <v>1616</v>
      </c>
      <c r="F2" s="4" t="s">
        <v>1032</v>
      </c>
    </row>
    <row r="3" spans="1:6" ht="27.6" customHeight="1">
      <c r="A3" s="4" t="s">
        <v>1034</v>
      </c>
      <c r="B3" s="4" t="s">
        <v>1617</v>
      </c>
      <c r="C3" s="4" t="s">
        <v>1618</v>
      </c>
      <c r="D3" s="4" t="s">
        <v>1619</v>
      </c>
      <c r="E3" s="4" t="s">
        <v>1620</v>
      </c>
      <c r="F3" s="4" t="s">
        <v>1027</v>
      </c>
    </row>
    <row r="4" spans="1:6" ht="27.6" customHeight="1">
      <c r="A4" s="4" t="s">
        <v>1039</v>
      </c>
      <c r="B4" s="4" t="s">
        <v>1621</v>
      </c>
      <c r="C4" s="4" t="s">
        <v>1622</v>
      </c>
      <c r="D4" s="4" t="s">
        <v>1623</v>
      </c>
      <c r="E4" s="4" t="s">
        <v>1624</v>
      </c>
      <c r="F4" s="4" t="s">
        <v>1625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1626</v>
      </c>
      <c r="B1" s="8"/>
      <c r="C1" s="8"/>
      <c r="D1" s="8"/>
      <c r="E1" s="8"/>
      <c r="F1" s="8"/>
      <c r="G1" s="8"/>
      <c r="H1" s="8"/>
    </row>
    <row r="3" spans="1:8" ht="24" customHeight="1">
      <c r="A3" s="2" t="s">
        <v>1627</v>
      </c>
      <c r="B3" s="2" t="s">
        <v>1628</v>
      </c>
      <c r="D3" s="2" t="s">
        <v>1022</v>
      </c>
      <c r="E3" s="2" t="s">
        <v>1629</v>
      </c>
      <c r="G3" s="2" t="s">
        <v>1024</v>
      </c>
      <c r="H3" s="2" t="s">
        <v>1630</v>
      </c>
    </row>
    <row r="4" spans="1:8">
      <c r="A4" s="4" t="s">
        <v>1631</v>
      </c>
      <c r="B4" s="4">
        <v>12</v>
      </c>
      <c r="D4" s="4" t="s">
        <v>1027</v>
      </c>
      <c r="E4" s="4">
        <f>COUNTIF('User Stories'!L:L,"Not Started")</f>
        <v>0</v>
      </c>
      <c r="G4" s="4" t="s">
        <v>1029</v>
      </c>
      <c r="H4" s="4">
        <f>COUNTIF('User Stories'!J:J,"MVP")</f>
        <v>71</v>
      </c>
    </row>
    <row r="5" spans="1:8">
      <c r="A5" s="4" t="s">
        <v>1632</v>
      </c>
      <c r="B5" s="4">
        <v>75</v>
      </c>
      <c r="D5" s="4" t="s">
        <v>1032</v>
      </c>
      <c r="E5" s="4">
        <f>COUNTIF('User Stories'!L:L,"In Progress")</f>
        <v>0</v>
      </c>
      <c r="G5" s="4" t="s">
        <v>1034</v>
      </c>
      <c r="H5" s="4">
        <f>COUNTIF('User Stories'!J:J,"R1")</f>
        <v>4</v>
      </c>
    </row>
    <row r="6" spans="1:8">
      <c r="A6" s="4" t="s">
        <v>1633</v>
      </c>
      <c r="B6" s="4">
        <v>300</v>
      </c>
      <c r="D6" s="4" t="s">
        <v>1043</v>
      </c>
      <c r="E6" s="4">
        <f>COUNTIF('User Stories'!L:L,"In Review")</f>
        <v>0</v>
      </c>
      <c r="G6" s="4" t="s">
        <v>1039</v>
      </c>
      <c r="H6" s="4">
        <f>COUNTIF('User Stories'!J:J,"Later")</f>
        <v>0</v>
      </c>
    </row>
    <row r="7" spans="1:8">
      <c r="A7" s="4" t="s">
        <v>1634</v>
      </c>
      <c r="B7" s="4">
        <v>16</v>
      </c>
      <c r="D7" s="4" t="s">
        <v>1037</v>
      </c>
      <c r="E7" s="4">
        <f>COUNTIF('User Stories'!L:L,"Blocked")</f>
        <v>0</v>
      </c>
    </row>
    <row r="8" spans="1:8">
      <c r="A8" s="4" t="s">
        <v>1635</v>
      </c>
      <c r="B8" s="4">
        <v>14</v>
      </c>
      <c r="D8" s="4" t="s">
        <v>1045</v>
      </c>
      <c r="E8" s="4">
        <f>COUNTIF('User Stories'!L:L,"Done")</f>
        <v>75</v>
      </c>
    </row>
    <row r="9" spans="1:8">
      <c r="A9" s="4" t="s">
        <v>1636</v>
      </c>
      <c r="B9" s="4">
        <v>20</v>
      </c>
      <c r="D9" s="4" t="s">
        <v>1047</v>
      </c>
      <c r="E9" s="4">
        <f>COUNTIF('User Stories'!L:L,"Deferred")</f>
        <v>0</v>
      </c>
    </row>
    <row r="12" spans="1:8" ht="24" customHeight="1">
      <c r="A12" s="2" t="s">
        <v>1637</v>
      </c>
      <c r="B12" s="2" t="s">
        <v>1628</v>
      </c>
    </row>
    <row r="13" spans="1:8">
      <c r="A13" s="4" t="s">
        <v>1638</v>
      </c>
      <c r="B13" s="6">
        <f>IFERROR(COUNTIF('User Stories'!L:L,"Done")/(COUNTA('User Stories'!A:A)-1),0)</f>
        <v>1</v>
      </c>
    </row>
    <row r="14" spans="1:8">
      <c r="A14" s="4" t="s">
        <v>1639</v>
      </c>
      <c r="B14" s="6">
        <f>IFERROR(COUNTIF('Acceptance Criteria'!F:F,"Pass")/(COUNTA('Acceptance Criteria'!A:A)-1),0)</f>
        <v>1</v>
      </c>
    </row>
    <row r="15" spans="1:8">
      <c r="A15" s="4" t="s">
        <v>1532</v>
      </c>
      <c r="B15" s="4">
        <f>COUNTIF('Acceptance Criteria'!F:F,"Fail")</f>
        <v>0</v>
      </c>
    </row>
    <row r="16" spans="1:8">
      <c r="A16" s="4" t="s">
        <v>1640</v>
      </c>
      <c r="B16" s="4">
        <f>COUNTIF('User Stories'!L:L,"Blocked")</f>
        <v>0</v>
      </c>
    </row>
    <row r="17" spans="1:2">
      <c r="A17" s="4" t="s">
        <v>1641</v>
      </c>
      <c r="B17" s="6">
        <f>IFERROR(COUNTIF(Traceability!I:I,"Linked")/(COUNTA(Traceability!B:B)-1),0)</f>
        <v>1</v>
      </c>
    </row>
    <row r="18" spans="1:2">
      <c r="A18" s="4" t="s">
        <v>1642</v>
      </c>
      <c r="B18" s="4">
        <f>COUNTIF('Risks &amp; Decisions'!G:G,"Open")</f>
        <v>5</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2026-09-11T02:20:58Z</dcterms:modified>
</cp:coreProperties>
</file>