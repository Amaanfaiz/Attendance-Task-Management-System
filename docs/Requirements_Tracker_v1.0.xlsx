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825860509A11518D1A6A3884DD92434BBF69F54C"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I69" i="8"/>
  <c r="H69" i="8"/>
  <c r="G69" i="8"/>
  <c r="J69" i="8" s="1"/>
  <c r="F69" i="8"/>
  <c r="E69" i="8"/>
  <c r="D69" i="8"/>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J64" i="8"/>
  <c r="H64" i="8"/>
  <c r="G64" i="8"/>
  <c r="F64" i="8"/>
  <c r="E64" i="8"/>
  <c r="D64" i="8"/>
  <c r="I64" i="8" s="1"/>
  <c r="J63" i="8"/>
  <c r="H63" i="8"/>
  <c r="G63" i="8"/>
  <c r="F63" i="8"/>
  <c r="E63" i="8"/>
  <c r="D63" i="8"/>
  <c r="I63" i="8" s="1"/>
  <c r="H62" i="8"/>
  <c r="G62" i="8"/>
  <c r="J62" i="8" s="1"/>
  <c r="F62" i="8"/>
  <c r="E62" i="8"/>
  <c r="D62" i="8"/>
  <c r="I62" i="8" s="1"/>
  <c r="H61" i="8"/>
  <c r="G61" i="8"/>
  <c r="J61" i="8" s="1"/>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I53" i="8"/>
  <c r="H53" i="8"/>
  <c r="G53" i="8"/>
  <c r="J53" i="8" s="1"/>
  <c r="F53" i="8"/>
  <c r="E53" i="8"/>
  <c r="D53" i="8"/>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J48" i="8"/>
  <c r="H48" i="8"/>
  <c r="G48" i="8"/>
  <c r="F48" i="8"/>
  <c r="E48" i="8"/>
  <c r="D48" i="8"/>
  <c r="I48" i="8" s="1"/>
  <c r="J47" i="8"/>
  <c r="I47" i="8"/>
  <c r="H47" i="8"/>
  <c r="G47" i="8"/>
  <c r="F47" i="8"/>
  <c r="E47" i="8"/>
  <c r="D47" i="8"/>
  <c r="H46" i="8"/>
  <c r="G46" i="8"/>
  <c r="J46" i="8" s="1"/>
  <c r="F46" i="8"/>
  <c r="E46" i="8"/>
  <c r="D46" i="8"/>
  <c r="I46" i="8" s="1"/>
  <c r="H45" i="8"/>
  <c r="G45" i="8"/>
  <c r="J45" i="8" s="1"/>
  <c r="F45" i="8"/>
  <c r="E45" i="8"/>
  <c r="D45" i="8"/>
  <c r="I45" i="8" s="1"/>
  <c r="H44" i="8"/>
  <c r="G44" i="8"/>
  <c r="J44" i="8" s="1"/>
  <c r="F44" i="8"/>
  <c r="E44" i="8"/>
  <c r="D44" i="8"/>
  <c r="I44" i="8" s="1"/>
  <c r="H43" i="8"/>
  <c r="G43" i="8"/>
  <c r="J43" i="8" s="1"/>
  <c r="F43" i="8"/>
  <c r="E43" i="8"/>
  <c r="D43" i="8"/>
  <c r="I43" i="8" s="1"/>
  <c r="H42" i="8"/>
  <c r="G42" i="8"/>
  <c r="J42" i="8" s="1"/>
  <c r="F42" i="8"/>
  <c r="E42" i="8"/>
  <c r="D42" i="8"/>
  <c r="I42" i="8" s="1"/>
  <c r="J41" i="8"/>
  <c r="H41" i="8"/>
  <c r="G41" i="8"/>
  <c r="F41" i="8"/>
  <c r="E41" i="8"/>
  <c r="D41" i="8"/>
  <c r="I41" i="8" s="1"/>
  <c r="H40" i="8"/>
  <c r="G40" i="8"/>
  <c r="J40" i="8" s="1"/>
  <c r="F40" i="8"/>
  <c r="E40" i="8"/>
  <c r="D40" i="8"/>
  <c r="I40" i="8" s="1"/>
  <c r="H39" i="8"/>
  <c r="G39" i="8"/>
  <c r="J39" i="8" s="1"/>
  <c r="F39" i="8"/>
  <c r="E39" i="8"/>
  <c r="D39" i="8"/>
  <c r="I39" i="8" s="1"/>
  <c r="H38" i="8"/>
  <c r="G38" i="8"/>
  <c r="J38" i="8" s="1"/>
  <c r="F38" i="8"/>
  <c r="E38" i="8"/>
  <c r="D38" i="8"/>
  <c r="I38" i="8" s="1"/>
  <c r="H37" i="8"/>
  <c r="G37" i="8"/>
  <c r="J37" i="8" s="1"/>
  <c r="F37" i="8"/>
  <c r="E37" i="8"/>
  <c r="D37" i="8"/>
  <c r="I37" i="8" s="1"/>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J32" i="8"/>
  <c r="H32" i="8"/>
  <c r="G32" i="8"/>
  <c r="F32" i="8"/>
  <c r="E32" i="8"/>
  <c r="D32" i="8"/>
  <c r="I32" i="8" s="1"/>
  <c r="I31" i="8"/>
  <c r="H31" i="8"/>
  <c r="G31" i="8"/>
  <c r="J31" i="8" s="1"/>
  <c r="F31" i="8"/>
  <c r="E31" i="8"/>
  <c r="D31" i="8"/>
  <c r="I30" i="8"/>
  <c r="H30" i="8"/>
  <c r="G30" i="8"/>
  <c r="J30" i="8" s="1"/>
  <c r="F30" i="8"/>
  <c r="E30" i="8"/>
  <c r="D30" i="8"/>
  <c r="H29" i="8"/>
  <c r="G29" i="8"/>
  <c r="J29" i="8" s="1"/>
  <c r="F29" i="8"/>
  <c r="E29" i="8"/>
  <c r="D29" i="8"/>
  <c r="I29" i="8" s="1"/>
  <c r="H28" i="8"/>
  <c r="G28" i="8"/>
  <c r="J28" i="8" s="1"/>
  <c r="F28" i="8"/>
  <c r="E28" i="8"/>
  <c r="D28" i="8"/>
  <c r="I28" i="8" s="1"/>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H23" i="8"/>
  <c r="G23" i="8"/>
  <c r="J23" i="8" s="1"/>
  <c r="F23" i="8"/>
  <c r="E23" i="8"/>
  <c r="D23" i="8"/>
  <c r="I23" i="8" s="1"/>
  <c r="H22" i="8"/>
  <c r="G22" i="8"/>
  <c r="J22" i="8" s="1"/>
  <c r="F22" i="8"/>
  <c r="E22" i="8"/>
  <c r="D22" i="8"/>
  <c r="I22" i="8" s="1"/>
  <c r="H21" i="8"/>
  <c r="G21" i="8"/>
  <c r="J21" i="8" s="1"/>
  <c r="F21" i="8"/>
  <c r="E21" i="8"/>
  <c r="D21" i="8"/>
  <c r="I21" i="8" s="1"/>
  <c r="H20" i="8"/>
  <c r="G20" i="8"/>
  <c r="J20" i="8" s="1"/>
  <c r="F20" i="8"/>
  <c r="E20" i="8"/>
  <c r="D20" i="8"/>
  <c r="I20" i="8" s="1"/>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J15" i="8"/>
  <c r="H15" i="8"/>
  <c r="G15" i="8"/>
  <c r="F15" i="8"/>
  <c r="E15" i="8"/>
  <c r="D15" i="8"/>
  <c r="I15" i="8" s="1"/>
  <c r="H14" i="8"/>
  <c r="G14" i="8"/>
  <c r="J14" i="8" s="1"/>
  <c r="F14" i="8"/>
  <c r="E14" i="8"/>
  <c r="D14" i="8"/>
  <c r="I14" i="8" s="1"/>
  <c r="H13" i="8"/>
  <c r="G13" i="8"/>
  <c r="J13" i="8" s="1"/>
  <c r="F13" i="8"/>
  <c r="E13" i="8"/>
  <c r="D13" i="8"/>
  <c r="I13" i="8" s="1"/>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J7" i="8"/>
  <c r="H7" i="8"/>
  <c r="G7" i="8"/>
  <c r="F7" i="8"/>
  <c r="E7" i="8"/>
  <c r="D7" i="8"/>
  <c r="I7" i="8" s="1"/>
  <c r="H6" i="8"/>
  <c r="G6" i="8"/>
  <c r="J6" i="8" s="1"/>
  <c r="F6" i="8"/>
  <c r="E6" i="8"/>
  <c r="D6" i="8"/>
  <c r="I6" i="8" s="1"/>
  <c r="H5" i="8"/>
  <c r="G5" i="8"/>
  <c r="J5" i="8" s="1"/>
  <c r="F5" i="8"/>
  <c r="E5" i="8"/>
  <c r="D5" i="8"/>
  <c r="I5" i="8" s="1"/>
  <c r="H4" i="8"/>
  <c r="G4" i="8"/>
  <c r="J4" i="8" s="1"/>
  <c r="F4" i="8"/>
  <c r="E4" i="8"/>
  <c r="D4" i="8"/>
  <c r="I4" i="8" s="1"/>
  <c r="J3" i="8"/>
  <c r="H3" i="8"/>
  <c r="G3" i="8"/>
  <c r="F3" i="8"/>
  <c r="E3" i="8"/>
  <c r="D3" i="8"/>
  <c r="I3" i="8" s="1"/>
  <c r="H2" i="8"/>
  <c r="G2" i="8"/>
  <c r="J2" i="8" s="1"/>
  <c r="F2" i="8"/>
  <c r="E2" i="8"/>
  <c r="D2" i="8"/>
  <c r="I2" i="8" s="1"/>
  <c r="B17" i="11" l="1"/>
</calcChain>
</file>

<file path=xl/sharedStrings.xml><?xml version="1.0" encoding="utf-8"?>
<sst xmlns="http://schemas.openxmlformats.org/spreadsheetml/2006/main" count="4219" uniqueCount="1677">
  <si>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</si>
  <si>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</si>
  <si>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</si>
  <si>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</si>
  <si>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</si>
  <si>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</si>
  <si>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</si>
  <si>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</si>
  <si>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</si>
  <si>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</si>
  <si>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</si>
  <si>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</si>
  <si>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</si>
  <si>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</si>
  <si>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</si>
  <si>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</si>
  <si>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</si>
  <si>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</si>
  <si>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</si>
  <si>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</si>
  <si>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</si>
  <si>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</si>
  <si>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</si>
  <si>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</si>
  <si>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</si>
  <si>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</si>
  <si>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</si>
  <si>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</si>
  <si>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</si>
  <si>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</si>
  <si>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</si>
  <si>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</si>
  <si>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</si>
  <si>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</si>
  <si>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</si>
  <si>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</si>
  <si>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</si>
  <si>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</si>
  <si>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</si>
  <si>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</si>
  <si>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</si>
  <si>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</si>
  <si>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</si>
  <si>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</si>
  <si>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</si>
  <si>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</si>
  <si>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</si>
  <si>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</si>
  <si>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</si>
  <si>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</si>
  <si>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</si>
  <si>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</si>
  <si>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</si>
  <si>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</si>
  <si>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</si>
  <si>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</si>
  <si>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</si>
  <si>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</si>
  <si>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</si>
  <si>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</si>
  <si>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</si>
  <si>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</si>
  <si>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</si>
  <si>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</si>
  <si>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</si>
  <si>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</si>
  <si>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</si>
  <si>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</si>
  <si>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</si>
  <si>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</si>
  <si>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</si>
  <si>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</si>
  <si>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</si>
  <si>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</si>
  <si>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</si>
  <si>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</si>
  <si>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</si>
  <si>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</si>
  <si>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</si>
  <si>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</si>
  <si>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</si>
  <si>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</si>
  <si>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</si>
  <si>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</si>
  <si>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</si>
  <si>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</si>
  <si>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</si>
  <si>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</si>
  <si>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</si>
  <si>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</si>
  <si>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</si>
  <si>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</si>
  <si>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</si>
  <si>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</si>
  <si>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</si>
  <si>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</si>
  <si>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</si>
  <si>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</si>
  <si>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</si>
  <si>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</si>
  <si>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</si>
  <si>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</si>
  <si>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</si>
  <si>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</si>
  <si>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</si>
  <si>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</si>
  <si>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</si>
  <si>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</si>
  <si>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</si>
  <si>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</si>
  <si>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</si>
  <si>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</si>
  <si>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</si>
  <si>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</si>
  <si>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</si>
  <si>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</si>
  <si>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</si>
  <si>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</si>
  <si>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</si>
  <si>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</si>
  <si>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</si>
  <si>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</si>
  <si>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</si>
  <si>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</si>
  <si>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</si>
  <si>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</si>
  <si>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</si>
  <si>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</si>
  <si>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</si>
  <si>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</si>
  <si>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</si>
  <si>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</si>
  <si>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</si>
  <si>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</si>
  <si>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</si>
  <si>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</si>
  <si>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</si>
  <si>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</si>
  <si>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</si>
  <si>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</si>
  <si>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</si>
  <si>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</si>
  <si>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</si>
  <si>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</si>
  <si>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</si>
  <si>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</si>
  <si>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</si>
  <si>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</si>
  <si>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</si>
  <si>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</si>
  <si>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</si>
  <si>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</si>
  <si>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</si>
  <si>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</si>
  <si>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</si>
  <si>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</si>
  <si>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</si>
  <si>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</si>
  <si>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</si>
  <si>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</si>
  <si>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</si>
  <si>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</si>
  <si>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</si>
  <si>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</si>
  <si>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</si>
  <si>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</si>
  <si>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</si>
  <si>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</si>
  <si>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</si>
  <si>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</si>
  <si>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</si>
  <si>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</si>
  <si>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</si>
  <si>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</si>
  <si>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</si>
  <si>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</si>
  <si>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</si>
  <si>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</si>
  <si>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</si>
  <si>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</si>
  <si>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</si>
  <si>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</si>
  <si>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</si>
  <si>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</si>
  <si>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</si>
  <si>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</si>
  <si>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</si>
  <si>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</si>
  <si>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</si>
  <si>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</si>
  <si>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</si>
  <si>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</si>
  <si>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</si>
  <si>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</si>
  <si>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</si>
  <si>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</si>
  <si>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</si>
  <si>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</si>
  <si>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</si>
  <si>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</si>
  <si>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</si>
  <si>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</si>
  <si>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</si>
  <si>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</si>
  <si>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</si>
  <si>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</si>
  <si>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</si>
  <si>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</si>
  <si>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</si>
  <si>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</si>
  <si>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</si>
  <si>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</si>
  <si>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</si>
  <si>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</si>
  <si>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</si>
  <si>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</si>
  <si>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</si>
  <si>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</si>
  <si>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</si>
  <si>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</si>
  <si>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</si>
  <si>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</si>
  <si>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</si>
  <si>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</si>
  <si>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</si>
  <si>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</si>
  <si>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</si>
  <si>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</si>
  <si>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</si>
  <si>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</si>
  <si>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</si>
  <si>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</si>
  <si>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</si>
  <si>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</si>
  <si>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</si>
  <si>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</si>
  <si>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</si>
  <si>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</si>
  <si>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</si>
  <si>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</si>
  <si>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</si>
  <si>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</si>
  <si>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</si>
  <si>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</si>
  <si>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</si>
  <si>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</si>
  <si>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</si>
  <si>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</si>
  <si>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</si>
  <si>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</si>
  <si>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</si>
  <si>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</si>
  <si>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</si>
  <si>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</si>
  <si>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</si>
  <si>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</si>
  <si>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</si>
  <si>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</si>
  <si>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</si>
  <si>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</si>
  <si>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</si>
  <si>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</si>
  <si>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</si>
  <si>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</si>
  <si>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</si>
  <si>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</si>
  <si>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</si>
  <si>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</si>
  <si>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</si>
  <si>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</si>
  <si>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</si>
  <si>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</si>
  <si>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</si>
  <si>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</si>
  <si>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</si>
  <si>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</si>
  <si>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</si>
  <si>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</si>
  <si>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</si>
  <si>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</si>
  <si>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</si>
  <si>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</si>
  <si>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</si>
  <si>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</si>
  <si>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</si>
  <si>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</si>
  <si>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</si>
  <si>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</si>
  <si>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</si>
  <si>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</si>
  <si>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</si>
  <si>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</si>
  <si>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</si>
  <si>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</si>
  <si>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</si>
  <si>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</si>
  <si>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</si>
  <si>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</si>
  <si>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</si>
  <si>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</si>
  <si>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</si>
  <si>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</si>
  <si>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</si>
  <si>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</si>
  <si>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</si>
  <si>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</si>
  <si>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</si>
  <si>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</si>
  <si>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</si>
  <si>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</si>
  <si>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</si>
  <si>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</si>
  <si>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</si>
  <si>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</si>
  <si>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</si>
  <si>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</si>
  <si>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</si>
  <si>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</si>
  <si>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</si>
  <si>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</si>
  <si>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</si>
  <si>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</si>
  <si>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</si>
  <si>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</si>
  <si>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</si>
  <si>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</si>
  <si>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</si>
  <si>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</si>
  <si>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</si>
  <si>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</si>
  <si>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</si>
  <si>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</si>
  <si>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</si>
  <si>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</si>
  <si>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</si>
  <si>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</si>
  <si>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</si>
  <si>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</si>
  <si>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</si>
  <si>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</si>
  <si>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</si>
  <si>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</si>
  <si>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</si>
  <si>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</si>
  <si>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</si>
  <si>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</si>
  <si>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</si>
  <si>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</si>
  <si>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</si>
  <si>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</si>
  <si>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</si>
  <si>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</si>
  <si>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</si>
  <si>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</si>
  <si>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</si>
  <si>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</si>
  <si>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</si>
  <si>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</si>
  <si>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</si>
  <si>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</si>
  <si>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</si>
  <si>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</si>
  <si>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</si>
  <si>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</si>
  <si>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</si>
  <si>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</si>
  <si>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</si>
  <si>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</si>
  <si>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</si>
  <si>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</si>
  <si>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</si>
  <si>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</si>
  <si>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</si>
  <si>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</si>
  <si>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</si>
  <si>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</si>
  <si>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</si>
  <si>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</si>
  <si>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</si>
  <si>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</si>
  <si>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</si>
  <si>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</si>
  <si>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</si>
  <si>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</si>
  <si>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</si>
  <si>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</si>
  <si>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</si>
  <si>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</si>
  <si>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</si>
  <si>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</si>
  <si>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</si>
  <si>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</si>
  <si>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</si>
  <si>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</si>
  <si>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</si>
  <si>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</si>
  <si>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</si>
  <si>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</si>
  <si>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</si>
  <si>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</si>
  <si>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</si>
  <si>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</si>
  <si>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</si>
  <si>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</si>
  <si>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</si>
  <si>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</si>
  <si>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</si>
  <si>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</si>
  <si>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</si>
  <si>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</si>
  <si>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</si>
  <si>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</si>
  <si>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</si>
  <si>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</si>
  <si>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</si>
  <si>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</si>
  <si>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</si>
  <si>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</si>
  <si>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</si>
  <si>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</si>
  <si>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</si>
  <si>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</si>
  <si>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</si>
  <si>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</si>
  <si>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</si>
  <si>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</si>
  <si>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</si>
  <si>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</si>
  <si>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</si>
  <si>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</si>
  <si>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</si>
  <si>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</si>
  <si>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</si>
  <si>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</si>
  <si>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</si>
  <si>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</si>
  <si>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</si>
  <si>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</si>
  <si>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</si>
  <si>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</si>
  <si>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</si>
  <si>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</si>
  <si>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</si>
  <si>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</si>
  <si>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</si>
  <si>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</si>
  <si>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</si>
  <si>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</si>
  <si>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</si>
  <si>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</si>
  <si>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</si>
  <si>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</si>
  <si>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</si>
  <si>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</si>
  <si>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</si>
  <si>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</si>
  <si>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</si>
  <si>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</si>
  <si>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</si>
  <si>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</si>
  <si>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</si>
  <si>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</si>
  <si>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</si>
  <si>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</si>
  <si>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</si>
  <si>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</si>
  <si>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</si>
  <si>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</si>
  <si>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</si>
  <si>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</si>
  <si>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</si>
  <si>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</si>
  <si>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</si>
  <si>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</si>
  <si>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</si>
  <si>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</si>
  <si>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</si>
  <si>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</si>
  <si>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</si>
  <si>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</si>
  <si>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</si>
  <si>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</si>
  <si>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</si>
  <si>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</si>
  <si>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</si>
  <si>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</si>
  <si>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</si>
  <si>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</si>
  <si>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</si>
  <si>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</si>
  <si>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</si>
  <si>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</si>
  <si>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</si>
  <si>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</si>
  <si>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</si>
  <si>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</si>
  <si>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</si>
  <si>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</si>
  <si>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</si>
  <si>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</si>
  <si>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</si>
  <si>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</si>
  <si>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</si>
  <si>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</si>
  <si>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</si>
  <si>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</si>
  <si>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</si>
  <si>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</si>
  <si>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</si>
  <si>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</si>
  <si>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</si>
  <si>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</si>
  <si>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</si>
  <si>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</si>
  <si>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</si>
  <si>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</si>
  <si>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</si>
  <si>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</si>
  <si>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</si>
  <si>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</si>
  <si>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</si>
  <si>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</si>
  <si>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</si>
  <si>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</si>
  <si>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</si>
  <si>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</si>
  <si>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</si>
  <si>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</si>
  <si>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</si>
  <si>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</si>
  <si>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</si>
  <si>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</si>
  <si>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</si>
  <si>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</si>
  <si>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</si>
  <si>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</si>
  <si>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</si>
  <si>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</si>
  <si>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</si>
  <si>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</si>
  <si>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</si>
  <si>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</si>
  <si>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</si>
  <si>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</si>
  <si>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</si>
  <si>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</si>
  <si>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</si>
  <si>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</si>
  <si>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</si>
  <si>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</si>
  <si>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</si>
  <si>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</si>
  <si>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</si>
  <si>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</si>
  <si>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</si>
  <si>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</si>
  <si>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</si>
  <si>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</si>
  <si>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</si>
  <si>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</si>
  <si>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</si>
  <si>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</si>
  <si>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</si>
  <si>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</si>
  <si>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</si>
  <si>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</si>
  <si>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</si>
  <si>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</si>
  <si>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</si>
  <si>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</si>
  <si>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</si>
  <si>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</si>
  <si>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</si>
  <si>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</si>
  <si>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</si>
  <si>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</si>
  <si>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</si>
  <si>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</si>
  <si>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</si>
  <si>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</si>
  <si>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</si>
  <si>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</si>
  <si>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</si>
  <si>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</si>
  <si>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</si>
  <si>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</si>
  <si>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</si>
  <si>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</si>
  <si>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</si>
  <si>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</si>
  <si>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</si>
  <si>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</si>
  <si>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</si>
  <si>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</si>
  <si>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</si>
  <si>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</si>
  <si>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</si>
  <si>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</si>
  <si>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</si>
  <si>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</si>
  <si>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</si>
  <si>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</si>
  <si>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</si>
  <si>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</si>
  <si>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</si>
  <si>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</si>
  <si>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</si>
  <si>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</si>
  <si>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</si>
  <si>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</si>
  <si>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</si>
  <si>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</si>
  <si>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</si>
  <si>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</si>
  <si>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</si>
  <si>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</si>
  <si>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</si>
  <si>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</si>
  <si>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</si>
  <si>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</si>
  <si>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</si>
  <si>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</si>
  <si>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</si>
  <si>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</si>
  <si>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</si>
  <si>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</si>
  <si>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</si>
  <si>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</si>
  <si>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</si>
  <si>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</si>
  <si>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</si>
  <si>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</si>
  <si>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</si>
  <si>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</si>
  <si>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</si>
  <si>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</si>
  <si>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</si>
  <si>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</si>
  <si>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</si>
  <si>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</si>
  <si>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</si>
  <si>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</si>
  <si>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</si>
  <si>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</si>
  <si>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</si>
  <si>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</si>
  <si>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</si>
  <si>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</si>
  <si>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</si>
  <si>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</si>
  <si>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</si>
  <si>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</si>
  <si>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</si>
  <si>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</si>
  <si>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</si>
  <si>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</si>
  <si>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</si>
  <si>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</si>
  <si>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</si>
  <si>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</si>
  <si>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</si>
  <si>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</si>
  <si>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</si>
  <si>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</si>
  <si>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</si>
  <si>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</si>
  <si>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</si>
  <si>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</si>
  <si>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</si>
  <si>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</si>
  <si>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</si>
  <si>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</si>
  <si>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</si>
  <si>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</si>
  <si>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</si>
  <si>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</si>
  <si>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</si>
  <si>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</si>
  <si>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</si>
  <si>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</si>
  <si>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</si>
  <si>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</si>
  <si>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</si>
  <si>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</si>
  <si>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</si>
  <si>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</si>
  <si>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</si>
  <si>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</si>
  <si>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</si>
  <si>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</si>
  <si>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</si>
  <si>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</si>
  <si>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</si>
  <si>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</si>
  <si>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</si>
  <si>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</si>
  <si>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</si>
  <si>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</si>
  <si>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</si>
  <si>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</si>
  <si>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</si>
  <si>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</si>
  <si>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</si>
  <si>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</si>
  <si>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</si>
  <si>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</si>
  <si>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</si>
  <si>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</si>
  <si>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</si>
  <si>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</si>
  <si>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</si>
  <si>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</si>
  <si>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</si>
  <si>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</si>
  <si>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</si>
  <si>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</si>
  <si>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</si>
  <si>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</si>
  <si>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</si>
  <si>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</si>
  <si>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</si>
  <si>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</si>
  <si>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</si>
  <si>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</si>
  <si>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</si>
  <si>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</si>
  <si>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</si>
  <si>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</si>
  <si>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</si>
  <si>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</si>
  <si>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</si>
  <si>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</si>
  <si>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</si>
  <si>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</si>
  <si>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</si>
  <si>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</si>
  <si>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</si>
  <si>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</si>
  <si>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</si>
  <si>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</si>
  <si>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</si>
  <si>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</si>
  <si>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</si>
  <si>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</si>
  <si>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</si>
  <si>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</si>
  <si>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</si>
  <si>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</si>
  <si>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</si>
  <si>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</si>
  <si>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</si>
  <si>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</si>
  <si>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</si>
  <si>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</si>
  <si>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</si>
  <si>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</si>
  <si>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</si>
  <si>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</si>
  <si>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</si>
  <si>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</si>
  <si>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</si>
  <si>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</si>
  <si>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</si>
  <si>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</si>
  <si>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</si>
  <si>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</si>
  <si>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</si>
  <si>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</si>
  <si>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</si>
  <si>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</si>
  <si>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</si>
  <si>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</si>
  <si>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</si>
  <si>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</si>
  <si>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</si>
  <si>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</si>
  <si>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</si>
  <si>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</si>
  <si>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</si>
  <si>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</si>
  <si>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</si>
  <si>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</si>
  <si>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</si>
  <si>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</si>
  <si>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</si>
  <si>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</si>
  <si>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</si>
  <si>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</si>
  <si>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</si>
  <si>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</si>
  <si>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</si>
  <si>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</si>
  <si>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</si>
  <si>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</si>
  <si>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</si>
  <si>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</si>
  <si>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</si>
  <si>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</si>
  <si>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</si>
  <si>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</si>
  <si>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</si>
  <si>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</si>
  <si>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</si>
  <si>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</si>
  <si>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</si>
  <si>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</si>
  <si>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</si>
  <si>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</si>
  <si>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</si>
  <si>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</si>
  <si>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</si>
  <si>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</si>
  <si>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</si>
  <si>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</si>
  <si>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</si>
  <si>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</si>
  <si>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</si>
  <si>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</si>
  <si>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</si>
  <si>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</si>
  <si>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</si>
  <si>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</si>
  <si>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</si>
  <si>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</si>
  <si>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</si>
  <si>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</si>
  <si>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</si>
  <si>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</si>
  <si>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</si>
  <si>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</si>
  <si>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</si>
  <si>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</si>
  <si>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</si>
  <si>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</si>
  <si>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</si>
  <si>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</si>
  <si>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</si>
  <si>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</si>
  <si>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</si>
  <si>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</si>
  <si>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</si>
  <si>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</si>
  <si>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</si>
  <si>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</si>
  <si>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</si>
  <si>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</si>
  <si>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</si>
  <si>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</si>
  <si>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</si>
  <si>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</si>
  <si>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</si>
  <si>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</si>
  <si>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</si>
  <si>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</si>
  <si>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</si>
  <si>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</si>
  <si>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</si>
  <si>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</si>
  <si>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</si>
  <si>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</si>
  <si>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</si>
  <si>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</si>
  <si>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</si>
  <si>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</si>
  <si>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</si>
  <si>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</si>
  <si>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</si>
  <si>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</si>
  <si>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</si>
  <si>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</si>
  <si>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</si>
  <si>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</si>
  <si>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</si>
  <si>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</si>
  <si>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</si>
  <si>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</si>
  <si>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</si>
  <si>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</si>
  <si>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</si>
  <si>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</si>
  <si>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</si>
  <si>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</si>
  <si>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</si>
  <si>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</si>
  <si>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</si>
  <si>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</si>
  <si>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</si>
  <si>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</si>
  <si>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</si>
  <si>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</si>
  <si>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</si>
  <si>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</si>
  <si>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</si>
  <si>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</si>
  <si>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</si>
  <si>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</si>
  <si>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</si>
  <si>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</si>
  <si>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</si>
  <si>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</si>
  <si>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</si>
  <si>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</si>
  <si>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</si>
  <si>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</si>
  <si>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</si>
  <si>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</si>
  <si>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</si>
  <si>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</si>
  <si>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</si>
  <si>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</si>
  <si>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</si>
  <si>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</si>
  <si>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</si>
  <si>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</si>
  <si>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</si>
  <si>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</si>
  <si>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</si>
  <si>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</si>
  <si>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</si>
  <si>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</si>
  <si>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</si>
  <si>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</si>
  <si>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</si>
  <si>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</si>
  <si>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</si>
  <si>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</si>
  <si>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</si>
  <si>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</si>
  <si>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</si>
  <si>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</si>
  <si>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</si>
  <si>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</si>
  <si>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</si>
  <si>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</si>
  <si>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</si>
  <si>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</si>
  <si>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</si>
  <si>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</si>
  <si>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</si>
  <si>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</si>
  <si>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</si>
  <si>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</si>
  <si>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</si>
  <si>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</si>
  <si>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</si>
  <si>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</si>
  <si>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</si>
  <si>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</si>
  <si>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</si>
  <si>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</si>
  <si>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</si>
  <si>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</si>
  <si>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</si>
  <si>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</si>
  <si>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</si>
  <si>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</si>
  <si>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</si>
  <si>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</si>
  <si>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</si>
  <si>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</si>
  <si>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</si>
  <si>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</si>
  <si>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</si>
  <si>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</si>
  <si>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</si>
  <si>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</si>
  <si>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</si>
  <si>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</si>
  <si>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</si>
  <si>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</si>
  <si>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</si>
  <si>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</si>
  <si>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</si>
  <si>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</si>
  <si>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</si>
  <si>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</si>
  <si>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</si>
  <si>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</si>
  <si>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</si>
  <si>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</si>
  <si>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</si>
  <si>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</si>
  <si>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</si>
  <si>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</si>
  <si>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</si>
  <si>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</si>
  <si>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</si>
  <si>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</si>
  <si>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</si>
  <si>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</si>
  <si>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</si>
  <si>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</si>
  <si>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</si>
  <si>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</si>
  <si>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</si>
  <si>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</si>
  <si>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</si>
  <si>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</si>
  <si>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</si>
  <si>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</si>
  <si>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</si>
  <si>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</si>
  <si>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</si>
  <si>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</si>
  <si>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</si>
  <si>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</si>
  <si>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</si>
  <si>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</si>
  <si>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</si>
  <si>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</si>
  <si>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</si>
  <si>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</si>
  <si>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</si>
  <si>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</si>
  <si>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</si>
  <si>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</si>
  <si>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</si>
  <si>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</si>
  <si>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</si>
  <si>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</si>
  <si>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</si>
  <si>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</si>
  <si>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</si>
  <si>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</si>
  <si>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</si>
  <si>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</si>
  <si>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</si>
  <si>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</si>
  <si>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</si>
  <si>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</si>
  <si>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</si>
  <si>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</si>
  <si>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</si>
  <si>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</si>
  <si>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</si>
  <si>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</si>
  <si>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</si>
  <si>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</si>
  <si>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</si>
  <si>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</si>
  <si>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</si>
  <si>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</si>
  <si>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</si>
  <si>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</si>
  <si>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</si>
  <si>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</si>
  <si>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</si>
  <si>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</si>
  <si>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</si>
  <si>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</si>
  <si>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</si>
  <si>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</si>
  <si>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</si>
  <si>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</si>
  <si>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</si>
  <si>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</si>
  <si>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</si>
  <si>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</si>
  <si>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</si>
  <si>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</si>
  <si>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</si>
  <si>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</si>
  <si>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</si>
  <si>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</si>
  <si>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</si>
  <si>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</si>
  <si>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</si>
  <si>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</si>
  <si>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</si>
  <si>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</si>
  <si>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</si>
  <si>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</si>
  <si>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</si>
  <si>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</si>
  <si>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</si>
  <si>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</si>
  <si>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</si>
  <si>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</si>
  <si>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</si>
  <si>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</si>
  <si>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</si>
  <si>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</si>
  <si>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</si>
  <si>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</si>
  <si>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</si>
  <si>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</si>
  <si>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</si>
  <si>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</si>
  <si>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</si>
  <si>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</si>
  <si>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</si>
  <si>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</si>
  <si>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</si>
  <si>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</si>
  <si>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</si>
  <si>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</si>
  <si>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</si>
  <si>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</si>
  <si>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</si>
  <si>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</si>
  <si>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</si>
  <si>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</si>
  <si>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</si>
  <si>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</si>
  <si>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</si>
  <si>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None</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</si>
  <si>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</si>
  <si>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</si>
  <si>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</si>
  <si>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</si>
  <si>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</si>
  <si>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</si>
  <si>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</si>
  <si>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</si>
  <si>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US-001-001, US-001-002</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</si>
  <si>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</si>
  <si>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</si>
  <si>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</si>
  <si>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</si>
  <si>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</si>
  <si>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</si>
  <si>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</si>
  <si>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</si>
  <si>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</si>
  <si>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</si>
  <si>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</si>
  <si>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</si>
  <si>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</si>
  <si>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</si>
  <si>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</si>
  <si>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</si>
  <si>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</si>
  <si>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</si>
  <si>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</si>
  <si>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</si>
  <si>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</si>
  <si>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</si>
  <si>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</si>
  <si>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</si>
  <si>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</si>
  <si>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</si>
  <si>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</si>
  <si>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</si>
  <si>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</si>
  <si>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US-001-003, US-002-005</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</si>
  <si>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</si>
  <si>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</si>
  <si>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</si>
  <si>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</si>
  <si>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</si>
  <si>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</si>
  <si>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</si>
  <si>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</si>
  <si>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</si>
  <si>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</si>
  <si>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US-003-002, US-006-001</t>
  </si>
  <si>
    <t>Verified by e2e test: clock-out returns requiresConfirmation when a task timer is active; confirmed action stops both at one timestamp.</t>
  </si>
  <si>
    <t>Warn before clock out while on break</t>
  </si>
  <si>
    <t>As an employee, I want a warning if I try to clock out during an active break.</t>
  </si>
  <si>
    <t>US-003-002, US-004-001</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</si>
  <si>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</si>
  <si>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</si>
  <si>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</si>
  <si>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</si>
  <si>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</si>
  <si>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US-003-001, US-002-004</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</si>
  <si>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</si>
  <si>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</si>
  <si>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</si>
  <si>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</si>
  <si>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</si>
  <si>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</si>
  <si>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</si>
  <si>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</si>
  <si>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</si>
  <si>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US-004-001, US-004-002</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</si>
  <si>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</si>
  <si>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</si>
  <si>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</si>
  <si>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US-004-001, US-006-001</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</si>
  <si>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</si>
  <si>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</si>
  <si>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</si>
  <si>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</si>
  <si>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</si>
  <si>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</si>
  <si>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</si>
  <si>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</si>
  <si>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</si>
  <si>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</si>
  <si>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</si>
  <si>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</si>
  <si>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</si>
  <si>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</si>
  <si>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US-005-001, US-002-001</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</si>
  <si>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</si>
  <si>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</si>
  <si>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</si>
  <si>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</si>
  <si>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</si>
  <si>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</si>
  <si>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</si>
  <si>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</si>
  <si>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US-005-001, US-005-003</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</si>
  <si>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</si>
  <si>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</si>
  <si>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</si>
  <si>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US-005-006, US-006-005</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</si>
  <si>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</si>
  <si>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</si>
  <si>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</si>
  <si>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</si>
  <si>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</si>
  <si>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US-003-001, US-005-003</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</si>
  <si>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</si>
  <si>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</si>
  <si>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</si>
  <si>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</si>
  <si>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</si>
  <si>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</si>
  <si>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</si>
  <si>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</si>
  <si>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</si>
  <si>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</si>
  <si>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</si>
  <si>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</si>
  <si>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</si>
  <si>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US-006-001, US-005-003</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</si>
  <si>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</si>
  <si>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</si>
  <si>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</si>
  <si>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</si>
  <si>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</si>
  <si>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</si>
  <si>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</si>
  <si>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</si>
  <si>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</si>
  <si>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</si>
  <si>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</si>
  <si>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</si>
  <si>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US-005-005, US-006-009</t>
  </si>
  <si>
    <t>Calculate net working time</t>
  </si>
  <si>
    <t>System</t>
  </si>
  <si>
    <t>As the system, I want to calculate net working time so that attendance is accurate.</t>
  </si>
  <si>
    <t>US-003-002, US-004-002</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</si>
  <si>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</si>
  <si>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</si>
  <si>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</si>
  <si>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</si>
  <si>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</si>
  <si>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</si>
  <si>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US-007-001, US-007-002</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</si>
  <si>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</si>
  <si>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</si>
  <si>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</si>
  <si>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</si>
  <si>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</si>
  <si>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</si>
  <si>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US-003-002, US-004-002, US-006-009</t>
  </si>
  <si>
    <t>Employee My Day dashboard</t>
  </si>
  <si>
    <t>As an employee, I want a single dashboard for attendance, break status, current task and totals so that daily actions are simple.</t>
  </si>
  <si>
    <t>US-003-003, US-006-002, US-007-003</t>
  </si>
  <si>
    <t>Administrator dashboard KPIs</t>
  </si>
  <si>
    <t>As an administrator, I want high-level daily KPIs so that I can understand current workforce activity.</t>
  </si>
  <si>
    <t>US-003-008, US-006-001</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</si>
  <si>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</si>
  <si>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</si>
  <si>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</si>
  <si>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</si>
  <si>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</si>
  <si>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</si>
  <si>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</si>
  <si>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</si>
  <si>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US-008-001, US-008-002</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</si>
  <si>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</si>
  <si>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</si>
  <si>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</si>
  <si>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</si>
  <si>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</si>
  <si>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</si>
  <si>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</si>
  <si>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</si>
  <si>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</si>
  <si>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</si>
  <si>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</si>
  <si>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</si>
  <si>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</si>
  <si>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</si>
  <si>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US-003-002, US-006-005</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</si>
  <si>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</si>
  <si>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</si>
  <si>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</si>
  <si>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</si>
  <si>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US-009-002, US-009-004, US-002-004, US-002-005</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</si>
  <si>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</si>
  <si>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</si>
  <si>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</si>
  <si>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</si>
  <si>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</si>
  <si>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</si>
  <si>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</si>
  <si>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</si>
  <si>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</si>
  <si>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</si>
  <si>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</si>
  <si>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</si>
  <si>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US-010-001, US-010-003, US-010-004</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</si>
  <si>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</si>
  <si>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</si>
  <si>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</si>
  <si>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</si>
  <si>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</si>
  <si>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</si>
  <si>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</si>
  <si>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</si>
  <si>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</si>
  <si>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</si>
  <si>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</si>
  <si>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</si>
  <si>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</si>
  <si>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</si>
  <si>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</si>
  <si>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</si>
  <si>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</si>
  <si>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</si>
  <si>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</si>
  <si>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US-003-001, US-006-001</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</si>
  <si>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</si>
  <si>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</si>
  <si>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</si>
  <si>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</si>
  <si>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</si>
  <si>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</si>
  <si>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</si>
  <si>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</si>
  <si>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</si>
  <si>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</si>
  <si>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</si>
  <si>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</si>
  <si>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</si>
  <si>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</si>
  <si>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</si>
  <si>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</si>
  <si>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</si>
  <si>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</si>
  <si>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</si>
  <si>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</si>
  <si>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</si>
  <si>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</si>
  <si>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</si>
  <si>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</si>
  <si>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</si>
  <si>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</si>
  <si>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</si>
  <si>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</si>
  <si>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</si>
  <si>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</si>
  <si>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</si>
  <si>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</si>
  <si>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</si>
  <si>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</si>
  <si>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</si>
  <si>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</si>
  <si>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</si>
  <si>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</si>
  <si>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</si>
  <si>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</si>
  <si>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</si>
  <si>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</si>
  <si>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</si>
  <si>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</si>
  <si>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</si>
  <si>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</si>
  <si>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</si>
  <si>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</si>
  <si>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</si>
  <si>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</si>
  <si>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</si>
  <si>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</si>
  <si>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</si>
  <si>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</si>
  <si>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</si>
  <si>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</si>
  <si>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</si>
  <si>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</si>
  <si>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</si>
  <si>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</si>
  <si>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</si>
  <si>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</si>
  <si>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</si>
  <si>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</si>
  <si>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</si>
  <si>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</si>
  <si>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</si>
  <si>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</si>
  <si>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</si>
  <si>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</si>
  <si>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</si>
  <si>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</si>
  <si>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</si>
  <si>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</si>
  <si>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</si>
  <si>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</si>
  <si>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</si>
  <si>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</si>
  <si>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</si>
  <si>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</si>
  <si>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</si>
  <si>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</si>
  <si>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</si>
  <si>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</si>
  <si>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</si>
  <si>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</si>
  <si>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</si>
  <si>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</si>
  <si>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</si>
  <si>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</si>
  <si>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</si>
  <si>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</si>
  <si>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</si>
  <si>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</si>
  <si>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</si>
  <si>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</si>
  <si>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</si>
  <si>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</si>
  <si>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</si>
  <si>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</si>
  <si>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</si>
  <si>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</si>
  <si>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</si>
  <si>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</si>
  <si>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</si>
  <si>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</si>
  <si>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</si>
  <si>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</si>
  <si>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</si>
  <si>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</si>
  <si>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</si>
  <si>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</si>
  <si>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</si>
  <si>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</si>
  <si>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</si>
  <si>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</si>
  <si>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</si>
  <si>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</si>
  <si>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</si>
  <si>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</si>
  <si>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</si>
  <si>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</si>
  <si>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</si>
  <si>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</si>
  <si>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</si>
  <si>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</si>
  <si>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</si>
  <si>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</si>
  <si>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</si>
  <si>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</si>
  <si>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</si>
  <si>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</si>
  <si>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</si>
  <si>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</si>
  <si>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</si>
  <si>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</si>
  <si>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</si>
  <si>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</si>
  <si>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</si>
  <si>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</si>
  <si>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</si>
  <si>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</si>
  <si>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</si>
  <si>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</si>
  <si>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</si>
  <si>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</si>
  <si>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</si>
  <si>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</si>
  <si>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</si>
  <si>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</si>
  <si>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</si>
  <si>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</si>
  <si>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</si>
  <si>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</si>
  <si>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</si>
  <si>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</si>
  <si>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</si>
  <si>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</si>
  <si>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</si>
  <si>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</si>
  <si>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</si>
  <si>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</si>
  <si>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</si>
  <si>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</si>
  <si>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</si>
  <si>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</si>
  <si>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</si>
  <si>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</si>
  <si>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</si>
  <si>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</si>
  <si>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</si>
  <si>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</si>
  <si>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</si>
  <si>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</si>
  <si>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</si>
  <si>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</si>
  <si>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</si>
  <si>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</si>
  <si>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</si>
  <si>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</si>
  <si>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</si>
  <si>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</si>
  <si>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</si>
  <si>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</si>
  <si>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</si>
  <si>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</si>
  <si>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</si>
  <si>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</si>
  <si>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</si>
  <si>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</si>
  <si>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</si>
  <si>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</si>
  <si>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</si>
  <si>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</si>
  <si>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</si>
  <si>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</si>
  <si>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</si>
  <si>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</si>
  <si>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</si>
  <si>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</si>
  <si>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</si>
  <si>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</si>
  <si>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</si>
  <si>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</si>
  <si>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</si>
  <si>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</si>
  <si>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</si>
  <si>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</si>
  <si>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</si>
  <si>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</si>
  <si>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</si>
  <si>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</si>
  <si>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</si>
  <si>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</si>
  <si>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</si>
  <si>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</si>
  <si>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</si>
  <si>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</si>
  <si>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</si>
  <si>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</si>
  <si>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</si>
  <si>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</si>
  <si>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</si>
  <si>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</si>
  <si>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</si>
  <si>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</si>
  <si>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</si>
  <si>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</si>
  <si>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</si>
  <si>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</si>
  <si>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</si>
  <si>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</si>
  <si>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</si>
  <si>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</si>
  <si>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</si>
  <si>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</si>
  <si>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</si>
  <si>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</si>
  <si>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</si>
  <si>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</si>
  <si>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</si>
  <si>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</si>
  <si>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</si>
  <si>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</si>
  <si>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</si>
  <si>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</si>
  <si>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</si>
  <si>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</si>
  <si>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</si>
  <si>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</si>
  <si>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</si>
  <si>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</si>
  <si>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</si>
  <si>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</si>
  <si>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</si>
  <si>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</si>
  <si>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</si>
  <si>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</si>
  <si>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</si>
  <si>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</si>
  <si>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</si>
  <si>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</si>
  <si>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</si>
  <si>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</si>
  <si>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</si>
  <si>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</si>
  <si>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</si>
  <si>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</si>
  <si>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</si>
  <si>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</si>
  <si>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</si>
  <si>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</si>
  <si>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 | RESOLVED 2026-09-11: upgraded next 14.2.35 -&gt; 16.3.4 (15.x has no further stable releases; 16.3.4 is the actual current fix). By the time this was tackled, npm audit showed 24 next advisories, not just the original 2 critical - both critical RCEs (GHSA-p293-qw3h-jr36 Windows path traversal, GHSA-2xp9-vwfh-vxw4 AVIF image-optimizer RCE) plus everything else; after the upgrade, next no longer appears in npm audit at all. Confirmed via grep before starting that this app has no server-side cookies()/headers()/params/searchParams usage, no middleware, no next/image, no parallel routes - so the Next 15/16 async-request-API breaking changes don't apply here. Stayed on React 18.3.1 (already installed, satisfies Next 16's peer minimum) rather than also taking on an unnecessary React 19 migration. eslint-config-next@16 required migrating apps/web to ESLint 9 flat config (eslint.config.mjs); disabled one new stricter lint rule (react-hooks/set-state-in-effect) for two pre-existing legitimate effect uses it now flags, not a behavior change. Verified: CI green (build-and-test, docker-build, real Playwright browser E2E), deployed to Staging first and live-verified there (login, real clock-in/clock-out write path, Reports page), then deployed to production and re-verified live there the same way, plus a clean browser console.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</si>
  <si>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</si>
  <si>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</si>
  <si>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</si>
  <si>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</si>
  <si>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</si>
  <si>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</si>
  <si>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</si>
  <si>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</si>
  <si>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</si>
  <si>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</si>
  <si>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</si>
  <si>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</si>
  <si>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</si>
  <si>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</si>
  <si>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</si>
  <si>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</si>
  <si>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</si>
  <si>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 | RESOLVED 2026-09-11: Amaan chose a full mirror of production (same specs, not scaled-down) for Staging, with genuine resource separation elsewhere once a hard platform limit was hit.</t>
  </si>
  <si>
    <t>Confirmed 2026-09-10 via direct SRS text search (§15) and cross-check against actual Azure resources (atms-rg contains exactly one Container Apps environment). | Implemented and live-verified 2026-09-11. Provisioned via new infra/staging.bicep + .github/workflows/deploy-staging.yml (workflow_dispatch only, separate trigger from production's deploy.yml). Staging has its own ACR, its own Postgres Flexible Server (Standard_B2s, 7-day backups), its own least-privilege atms_app DB role, its own JWT secrets, and its own generated (non-default) seed credentials. Both Container Apps run at production specs (minReplicas:1, same CPU/memory). Real platform constraint discovered live: this Azure subscription allows exactly one Container Apps managed environment total - confirmed via two failed deployment attempts (MaxNumberOfRegionalEnvironmentsInSubExceeded in centralus, then MaxNumberOfGlobalEnvironmentsInSubExceeded in eastus). Resolved by having staging's 2 Container Apps join the EXISTING production managed environment via a Bicep 'existing' cross-resource-group reference, while keeping registry, database, secrets, and images fully independent - a bad staging deploy cannot touch production data or containers. Live end-to-end verification: logged in via real browser as the staging seed admin, ran a real clock-in/clock-out through the browser session (200/200), and confirmed the resulting row appeared correctly on the staging Reports page; admin Audit Log page also confirmed rendering correctly (empty, as expected - clock actions aren't audited events). Documented in docs/DEPLOYMENT.md ('Staging environment' section) and README.md ('Live demo' section).</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</si>
  <si>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</si>
  <si>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</si>
  <si>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</si>
  <si>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</si>
  <si>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</si>
  <si>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</si>
  <si>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</si>
  <si>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</si>
  <si>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</si>
  <si>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</si>
  <si>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</si>
  <si>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</si>
  <si>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</si>
  <si>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</si>
  <si>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</si>
  <si>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</si>
  <si>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</si>
  <si>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</si>
  <si>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 | RESOLVED 2026-09-11: filled the Dependencies column for all 75 User Stories with real functional/workflow dependencies derived directly from the SRS's own described sequences - e.g. US-003-001 (Clock in) depends on US-001-003 (Login) + US-002-005 (must be Active); US-006-001 (Start task timer) depends on US-003-001 (must be clocked in) + US-005-003 (task must be assigned/eligible); US-009-005 (Audit log) depends on every auditable action across EP-002/EP-009. Cross-epic dependencies (the ones actually worth surfacing for planning) were deliberately prioritised over restating same-epic ordering. 9 genuinely foundational/infrastructure stories (US-001-001, US-012-004/005/006, etc.) are correctly marked 'None'. Verified the resulting graph programmatically: no cycles, no dangling references to a non-existent Story ID, all 75 rows non-blank.</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</si>
  <si>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</si>
  <si>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</si>
  <si>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</si>
  <si>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</si>
  <si>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 | RESOLVED 2026-09-11: closes automatically now that RISK-008 is closed - next no longer appears in npm audit at all post-upgrade, removing the specific finding this risk was tracking against the SRS's DoD wording.</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</si>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</sst>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AEDC-4766-A196-70C81826235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57C1-4CAE-9804-8CC38B1AE66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t="s">
        <v>1105</v>
      </c>
      <c r="H2" s="4" t="s">
        <v>16</v>
      </c>
      <c r="I2" s="4" t="s">
        <v>1028</v>
      </c>
      <c r="J2" s="4" t="s">
        <v>1029</v>
      </c>
      <c r="K2" s="4" t="s">
        <v>1058</v>
      </c>
      <c r="L2" s="4" t="s">
        <v>1045</v>
      </c>
      <c r="M2" s="4">
        <v>3</v>
      </c>
      <c r="N2" s="4" t="s">
        <v>1106</v>
      </c>
      <c r="O2" s="4" t="s">
        <v>1107</v>
      </c>
    </row>
    <row r="3" spans="1:15" ht="55.2" customHeight="1">
      <c r="A3" s="4" t="s">
        <v>29</v>
      </c>
      <c r="B3" s="4" t="s">
        <v>13</v>
      </c>
      <c r="C3" s="4" t="s">
        <v>1108</v>
      </c>
      <c r="D3" s="4" t="s">
        <v>1109</v>
      </c>
      <c r="E3" s="4" t="s">
        <v>1110</v>
      </c>
      <c r="F3" s="4">
        <v>4</v>
      </c>
      <c r="G3" s="4" t="s">
        <v>12</v>
      </c>
      <c r="H3" s="4" t="s">
        <v>16</v>
      </c>
      <c r="I3" s="4" t="s">
        <v>1028</v>
      </c>
      <c r="J3" s="4" t="s">
        <v>1029</v>
      </c>
      <c r="K3" s="4" t="s">
        <v>1058</v>
      </c>
      <c r="L3" s="4" t="s">
        <v>1045</v>
      </c>
      <c r="M3" s="4">
        <v>3</v>
      </c>
      <c r="N3" s="4" t="s">
        <v>1111</v>
      </c>
      <c r="O3" s="4" t="s">
        <v>1107</v>
      </c>
    </row>
    <row r="4" spans="1:15" ht="69" customHeight="1">
      <c r="A4" s="4" t="s">
        <v>42</v>
      </c>
      <c r="B4" s="4" t="s">
        <v>13</v>
      </c>
      <c r="C4" s="4" t="s">
        <v>1112</v>
      </c>
      <c r="D4" s="4" t="s">
        <v>1103</v>
      </c>
      <c r="E4" s="4" t="s">
        <v>1113</v>
      </c>
      <c r="F4" s="4">
        <v>4</v>
      </c>
      <c r="G4" s="4" t="s">
        <v>1114</v>
      </c>
      <c r="H4" s="4" t="s">
        <v>16</v>
      </c>
      <c r="I4" s="4" t="s">
        <v>1028</v>
      </c>
      <c r="J4" s="4" t="s">
        <v>1029</v>
      </c>
      <c r="K4" s="4" t="s">
        <v>1058</v>
      </c>
      <c r="L4" s="4" t="s">
        <v>1045</v>
      </c>
      <c r="M4" s="4">
        <v>3</v>
      </c>
      <c r="N4" s="4" t="s">
        <v>1115</v>
      </c>
      <c r="O4" s="4" t="s">
        <v>1107</v>
      </c>
    </row>
    <row r="5" spans="1:15" ht="55.2" customHeight="1">
      <c r="A5" s="4" t="s">
        <v>55</v>
      </c>
      <c r="B5" s="4" t="s">
        <v>13</v>
      </c>
      <c r="C5" s="4" t="s">
        <v>1116</v>
      </c>
      <c r="D5" s="4" t="s">
        <v>1103</v>
      </c>
      <c r="E5" s="4" t="s">
        <v>1117</v>
      </c>
      <c r="F5" s="4">
        <v>4</v>
      </c>
      <c r="G5" s="4" t="s">
        <v>42</v>
      </c>
      <c r="H5" s="4" t="s">
        <v>16</v>
      </c>
      <c r="I5" s="4" t="s">
        <v>1028</v>
      </c>
      <c r="J5" s="4" t="s">
        <v>1029</v>
      </c>
      <c r="K5" s="4" t="s">
        <v>1058</v>
      </c>
      <c r="L5" s="4" t="s">
        <v>1045</v>
      </c>
      <c r="M5" s="4">
        <v>3</v>
      </c>
      <c r="N5" s="4" t="s">
        <v>1118</v>
      </c>
      <c r="O5" s="4" t="s">
        <v>1107</v>
      </c>
    </row>
    <row r="6" spans="1:15" ht="55.2" customHeight="1">
      <c r="A6" s="4" t="s">
        <v>68</v>
      </c>
      <c r="B6" s="4" t="s">
        <v>13</v>
      </c>
      <c r="C6" s="4" t="s">
        <v>1119</v>
      </c>
      <c r="D6" s="4" t="s">
        <v>1103</v>
      </c>
      <c r="E6" s="4" t="s">
        <v>1120</v>
      </c>
      <c r="F6" s="4">
        <v>4</v>
      </c>
      <c r="G6" s="4" t="s">
        <v>12</v>
      </c>
      <c r="H6" s="4" t="s">
        <v>16</v>
      </c>
      <c r="I6" s="4" t="s">
        <v>1028</v>
      </c>
      <c r="J6" s="4" t="s">
        <v>1029</v>
      </c>
      <c r="K6" s="4" t="s">
        <v>1058</v>
      </c>
      <c r="L6" s="4" t="s">
        <v>1045</v>
      </c>
      <c r="M6" s="4">
        <v>3</v>
      </c>
      <c r="N6" s="4" t="s">
        <v>1106</v>
      </c>
      <c r="O6" s="4" t="s">
        <v>1121</v>
      </c>
    </row>
    <row r="7" spans="1:15" ht="55.2" customHeight="1">
      <c r="A7" s="4" t="s">
        <v>82</v>
      </c>
      <c r="B7" s="4" t="s">
        <v>13</v>
      </c>
      <c r="C7" s="4" t="s">
        <v>1122</v>
      </c>
      <c r="D7" s="4" t="s">
        <v>1103</v>
      </c>
      <c r="E7" s="4" t="s">
        <v>1123</v>
      </c>
      <c r="F7" s="4">
        <v>4</v>
      </c>
      <c r="G7" s="4" t="s">
        <v>68</v>
      </c>
      <c r="H7" s="4" t="s">
        <v>16</v>
      </c>
      <c r="I7" s="4" t="s">
        <v>1028</v>
      </c>
      <c r="J7" s="4" t="s">
        <v>1029</v>
      </c>
      <c r="K7" s="4" t="s">
        <v>1058</v>
      </c>
      <c r="L7" s="4" t="s">
        <v>1045</v>
      </c>
      <c r="M7" s="4">
        <v>3</v>
      </c>
      <c r="N7" s="4" t="s">
        <v>1106</v>
      </c>
      <c r="O7" s="4" t="s">
        <v>1107</v>
      </c>
    </row>
    <row r="8" spans="1:15" ht="124.2" customHeight="1">
      <c r="A8" s="4" t="s">
        <v>95</v>
      </c>
      <c r="B8" s="4" t="s">
        <v>13</v>
      </c>
      <c r="C8" s="4" t="s">
        <v>1124</v>
      </c>
      <c r="D8" s="4" t="s">
        <v>1125</v>
      </c>
      <c r="E8" s="4" t="s">
        <v>1126</v>
      </c>
      <c r="F8" s="4">
        <v>4</v>
      </c>
      <c r="G8" s="4" t="s">
        <v>42</v>
      </c>
      <c r="H8" s="4" t="s">
        <v>16</v>
      </c>
      <c r="I8" s="4" t="s">
        <v>1028</v>
      </c>
      <c r="J8" s="4" t="s">
        <v>1029</v>
      </c>
      <c r="K8" s="4" t="s">
        <v>1058</v>
      </c>
      <c r="L8" s="4" t="s">
        <v>1045</v>
      </c>
      <c r="M8" s="4">
        <v>3</v>
      </c>
      <c r="N8" s="4" t="s">
        <v>1127</v>
      </c>
      <c r="O8" s="4" t="s">
        <v>1107</v>
      </c>
    </row>
    <row r="9" spans="1:15" ht="55.2" customHeight="1">
      <c r="A9" s="4" t="s">
        <v>108</v>
      </c>
      <c r="B9" s="4" t="s">
        <v>109</v>
      </c>
      <c r="C9" s="4" t="s">
        <v>1128</v>
      </c>
      <c r="D9" s="4" t="s">
        <v>1109</v>
      </c>
      <c r="E9" s="4" t="s">
        <v>1129</v>
      </c>
      <c r="F9" s="4">
        <v>4</v>
      </c>
      <c r="G9" s="4" t="s">
        <v>12</v>
      </c>
      <c r="H9" s="4" t="s">
        <v>16</v>
      </c>
      <c r="I9" s="4" t="s">
        <v>1028</v>
      </c>
      <c r="J9" s="4" t="s">
        <v>1029</v>
      </c>
      <c r="K9" s="4" t="s">
        <v>1058</v>
      </c>
      <c r="L9" s="4" t="s">
        <v>1045</v>
      </c>
      <c r="M9" s="4">
        <v>3</v>
      </c>
      <c r="N9" s="4" t="s">
        <v>1106</v>
      </c>
      <c r="O9" s="4" t="s">
        <v>1107</v>
      </c>
    </row>
    <row r="10" spans="1:15" ht="55.2" customHeight="1">
      <c r="A10" s="4" t="s">
        <v>122</v>
      </c>
      <c r="B10" s="4" t="s">
        <v>109</v>
      </c>
      <c r="C10" s="4" t="s">
        <v>1130</v>
      </c>
      <c r="D10" s="4" t="s">
        <v>1109</v>
      </c>
      <c r="E10" s="4" t="s">
        <v>1131</v>
      </c>
      <c r="F10" s="4">
        <v>4</v>
      </c>
      <c r="G10" s="4" t="s">
        <v>108</v>
      </c>
      <c r="H10" s="4" t="s">
        <v>16</v>
      </c>
      <c r="I10" s="4" t="s">
        <v>1028</v>
      </c>
      <c r="J10" s="4" t="s">
        <v>1029</v>
      </c>
      <c r="K10" s="4" t="s">
        <v>1058</v>
      </c>
      <c r="L10" s="4" t="s">
        <v>1045</v>
      </c>
      <c r="M10" s="4">
        <v>3</v>
      </c>
      <c r="N10" s="4" t="s">
        <v>1106</v>
      </c>
      <c r="O10" s="4" t="s">
        <v>1132</v>
      </c>
    </row>
    <row r="11" spans="1:15" ht="55.2" customHeight="1">
      <c r="A11" s="4" t="s">
        <v>136</v>
      </c>
      <c r="B11" s="4" t="s">
        <v>109</v>
      </c>
      <c r="C11" s="4" t="s">
        <v>1133</v>
      </c>
      <c r="D11" s="4" t="s">
        <v>1103</v>
      </c>
      <c r="E11" s="4" t="s">
        <v>1134</v>
      </c>
      <c r="F11" s="4">
        <v>4</v>
      </c>
      <c r="G11" s="4" t="s">
        <v>42</v>
      </c>
      <c r="H11" s="4" t="s">
        <v>16</v>
      </c>
      <c r="I11" s="4" t="s">
        <v>1028</v>
      </c>
      <c r="J11" s="4" t="s">
        <v>1029</v>
      </c>
      <c r="K11" s="4" t="s">
        <v>1058</v>
      </c>
      <c r="L11" s="4" t="s">
        <v>1045</v>
      </c>
      <c r="M11" s="4">
        <v>3</v>
      </c>
      <c r="N11" s="4" t="s">
        <v>1106</v>
      </c>
      <c r="O11" s="4" t="s">
        <v>1107</v>
      </c>
    </row>
    <row r="12" spans="1:15" ht="55.2" customHeight="1">
      <c r="A12" s="4" t="s">
        <v>149</v>
      </c>
      <c r="B12" s="4" t="s">
        <v>109</v>
      </c>
      <c r="C12" s="4" t="s">
        <v>1135</v>
      </c>
      <c r="D12" s="4" t="s">
        <v>1109</v>
      </c>
      <c r="E12" s="4" t="s">
        <v>1136</v>
      </c>
      <c r="F12" s="4">
        <v>4</v>
      </c>
      <c r="G12" s="4" t="s">
        <v>108</v>
      </c>
      <c r="H12" s="4" t="s">
        <v>16</v>
      </c>
      <c r="I12" s="4" t="s">
        <v>1028</v>
      </c>
      <c r="J12" s="4" t="s">
        <v>1029</v>
      </c>
      <c r="K12" s="4" t="s">
        <v>1058</v>
      </c>
      <c r="L12" s="4" t="s">
        <v>1045</v>
      </c>
      <c r="M12" s="4">
        <v>3</v>
      </c>
      <c r="N12" s="4" t="s">
        <v>1106</v>
      </c>
      <c r="O12" s="4" t="s">
        <v>1107</v>
      </c>
    </row>
    <row r="13" spans="1:15" ht="55.2" customHeight="1">
      <c r="A13" s="4" t="s">
        <v>162</v>
      </c>
      <c r="B13" s="4" t="s">
        <v>109</v>
      </c>
      <c r="C13" s="4" t="s">
        <v>1137</v>
      </c>
      <c r="D13" s="4" t="s">
        <v>1109</v>
      </c>
      <c r="E13" s="4" t="s">
        <v>1138</v>
      </c>
      <c r="F13" s="4">
        <v>4</v>
      </c>
      <c r="G13" s="4" t="s">
        <v>108</v>
      </c>
      <c r="H13" s="4" t="s">
        <v>16</v>
      </c>
      <c r="I13" s="4" t="s">
        <v>1028</v>
      </c>
      <c r="J13" s="4" t="s">
        <v>1029</v>
      </c>
      <c r="K13" s="4" t="s">
        <v>1058</v>
      </c>
      <c r="L13" s="4" t="s">
        <v>1045</v>
      </c>
      <c r="M13" s="4">
        <v>3</v>
      </c>
      <c r="N13" s="4" t="s">
        <v>1106</v>
      </c>
      <c r="O13" s="4" t="s">
        <v>1107</v>
      </c>
    </row>
    <row r="14" spans="1:15" ht="55.2" customHeight="1">
      <c r="A14" s="4" t="s">
        <v>175</v>
      </c>
      <c r="B14" s="4" t="s">
        <v>109</v>
      </c>
      <c r="C14" s="4" t="s">
        <v>1139</v>
      </c>
      <c r="D14" s="4" t="s">
        <v>1109</v>
      </c>
      <c r="E14" s="4" t="s">
        <v>1140</v>
      </c>
      <c r="F14" s="4">
        <v>4</v>
      </c>
      <c r="G14" s="4" t="s">
        <v>108</v>
      </c>
      <c r="H14" s="4" t="s">
        <v>16</v>
      </c>
      <c r="I14" s="4" t="s">
        <v>1028</v>
      </c>
      <c r="J14" s="4" t="s">
        <v>1029</v>
      </c>
      <c r="K14" s="4" t="s">
        <v>1058</v>
      </c>
      <c r="L14" s="4" t="s">
        <v>1045</v>
      </c>
      <c r="M14" s="4">
        <v>3</v>
      </c>
      <c r="N14" s="4" t="s">
        <v>1106</v>
      </c>
      <c r="O14" s="4" t="s">
        <v>1141</v>
      </c>
    </row>
    <row r="15" spans="1:15" ht="55.2" customHeight="1">
      <c r="A15" s="4" t="s">
        <v>190</v>
      </c>
      <c r="B15" s="4" t="s">
        <v>191</v>
      </c>
      <c r="C15" s="4" t="s">
        <v>1142</v>
      </c>
      <c r="D15" s="4" t="s">
        <v>1103</v>
      </c>
      <c r="E15" s="4" t="s">
        <v>1143</v>
      </c>
      <c r="F15" s="4">
        <v>4</v>
      </c>
      <c r="G15" s="4" t="s">
        <v>1144</v>
      </c>
      <c r="H15" s="4" t="s">
        <v>16</v>
      </c>
      <c r="I15" s="4" t="s">
        <v>1028</v>
      </c>
      <c r="J15" s="4" t="s">
        <v>1029</v>
      </c>
      <c r="K15" s="4" t="s">
        <v>1058</v>
      </c>
      <c r="L15" s="4" t="s">
        <v>1045</v>
      </c>
      <c r="M15" s="4">
        <v>3</v>
      </c>
      <c r="N15" s="4" t="s">
        <v>1145</v>
      </c>
      <c r="O15" s="4" t="s">
        <v>1107</v>
      </c>
    </row>
    <row r="16" spans="1:15" ht="55.2" customHeight="1">
      <c r="A16" s="4" t="s">
        <v>204</v>
      </c>
      <c r="B16" s="4" t="s">
        <v>191</v>
      </c>
      <c r="C16" s="4" t="s">
        <v>1146</v>
      </c>
      <c r="D16" s="4" t="s">
        <v>1103</v>
      </c>
      <c r="E16" s="4" t="s">
        <v>1147</v>
      </c>
      <c r="F16" s="4">
        <v>4</v>
      </c>
      <c r="G16" s="4" t="s">
        <v>190</v>
      </c>
      <c r="H16" s="4" t="s">
        <v>16</v>
      </c>
      <c r="I16" s="4" t="s">
        <v>1028</v>
      </c>
      <c r="J16" s="4" t="s">
        <v>1029</v>
      </c>
      <c r="K16" s="4" t="s">
        <v>1058</v>
      </c>
      <c r="L16" s="4" t="s">
        <v>1045</v>
      </c>
      <c r="M16" s="4">
        <v>3</v>
      </c>
      <c r="N16" s="4" t="s">
        <v>1148</v>
      </c>
      <c r="O16" s="4" t="s">
        <v>1107</v>
      </c>
    </row>
    <row r="17" spans="1:15" ht="55.2" customHeight="1">
      <c r="A17" s="4" t="s">
        <v>217</v>
      </c>
      <c r="B17" s="4" t="s">
        <v>191</v>
      </c>
      <c r="C17" s="4" t="s">
        <v>1149</v>
      </c>
      <c r="D17" s="4" t="s">
        <v>1103</v>
      </c>
      <c r="E17" s="4" t="s">
        <v>1150</v>
      </c>
      <c r="F17" s="4">
        <v>4</v>
      </c>
      <c r="G17" s="4" t="s">
        <v>190</v>
      </c>
      <c r="H17" s="4" t="s">
        <v>16</v>
      </c>
      <c r="I17" s="4" t="s">
        <v>1028</v>
      </c>
      <c r="J17" s="4" t="s">
        <v>1029</v>
      </c>
      <c r="K17" s="4" t="s">
        <v>1058</v>
      </c>
      <c r="L17" s="4" t="s">
        <v>1045</v>
      </c>
      <c r="M17" s="4">
        <v>3</v>
      </c>
      <c r="N17" s="4" t="s">
        <v>1106</v>
      </c>
      <c r="O17" s="4" t="s">
        <v>1107</v>
      </c>
    </row>
    <row r="18" spans="1:15" ht="55.2" customHeight="1">
      <c r="A18" s="4" t="s">
        <v>230</v>
      </c>
      <c r="B18" s="4" t="s">
        <v>191</v>
      </c>
      <c r="C18" s="4" t="s">
        <v>1151</v>
      </c>
      <c r="D18" s="4" t="s">
        <v>1103</v>
      </c>
      <c r="E18" s="4" t="s">
        <v>1152</v>
      </c>
      <c r="F18" s="4">
        <v>4</v>
      </c>
      <c r="G18" s="4" t="s">
        <v>190</v>
      </c>
      <c r="H18" s="4" t="s">
        <v>16</v>
      </c>
      <c r="I18" s="4" t="s">
        <v>1028</v>
      </c>
      <c r="J18" s="4" t="s">
        <v>1029</v>
      </c>
      <c r="K18" s="4" t="s">
        <v>1058</v>
      </c>
      <c r="L18" s="4" t="s">
        <v>1045</v>
      </c>
      <c r="M18" s="4">
        <v>3</v>
      </c>
      <c r="N18" s="4" t="s">
        <v>1106</v>
      </c>
      <c r="O18" s="4" t="s">
        <v>1107</v>
      </c>
    </row>
    <row r="19" spans="1:15" ht="69" customHeight="1">
      <c r="A19" s="4" t="s">
        <v>243</v>
      </c>
      <c r="B19" s="4" t="s">
        <v>191</v>
      </c>
      <c r="C19" s="4" t="s">
        <v>1153</v>
      </c>
      <c r="D19" s="4" t="s">
        <v>1103</v>
      </c>
      <c r="E19" s="4" t="s">
        <v>1154</v>
      </c>
      <c r="F19" s="4">
        <v>4</v>
      </c>
      <c r="G19" s="4" t="s">
        <v>1155</v>
      </c>
      <c r="H19" s="4" t="s">
        <v>16</v>
      </c>
      <c r="I19" s="4" t="s">
        <v>1028</v>
      </c>
      <c r="J19" s="4" t="s">
        <v>1029</v>
      </c>
      <c r="K19" s="4" t="s">
        <v>1058</v>
      </c>
      <c r="L19" s="4" t="s">
        <v>1045</v>
      </c>
      <c r="M19" s="4">
        <v>3</v>
      </c>
      <c r="N19" s="4" t="s">
        <v>1156</v>
      </c>
      <c r="O19" s="4" t="s">
        <v>1107</v>
      </c>
    </row>
    <row r="20" spans="1:15" ht="55.2" customHeight="1">
      <c r="A20" s="4" t="s">
        <v>256</v>
      </c>
      <c r="B20" s="4" t="s">
        <v>191</v>
      </c>
      <c r="C20" s="4" t="s">
        <v>1157</v>
      </c>
      <c r="D20" s="4" t="s">
        <v>1103</v>
      </c>
      <c r="E20" s="4" t="s">
        <v>1158</v>
      </c>
      <c r="F20" s="4">
        <v>4</v>
      </c>
      <c r="G20" s="4" t="s">
        <v>1159</v>
      </c>
      <c r="H20" s="4" t="s">
        <v>16</v>
      </c>
      <c r="I20" s="4" t="s">
        <v>1028</v>
      </c>
      <c r="J20" s="4" t="s">
        <v>1029</v>
      </c>
      <c r="K20" s="4" t="s">
        <v>1058</v>
      </c>
      <c r="L20" s="4" t="s">
        <v>1045</v>
      </c>
      <c r="M20" s="4">
        <v>3</v>
      </c>
      <c r="N20" s="4" t="s">
        <v>1106</v>
      </c>
      <c r="O20" s="4" t="s">
        <v>1107</v>
      </c>
    </row>
    <row r="21" spans="1:15" ht="55.2" customHeight="1">
      <c r="A21" s="4" t="s">
        <v>269</v>
      </c>
      <c r="B21" s="4" t="s">
        <v>191</v>
      </c>
      <c r="C21" s="4" t="s">
        <v>1160</v>
      </c>
      <c r="D21" s="4" t="s">
        <v>1103</v>
      </c>
      <c r="E21" s="4" t="s">
        <v>1161</v>
      </c>
      <c r="F21" s="4">
        <v>4</v>
      </c>
      <c r="G21" s="4" t="s">
        <v>204</v>
      </c>
      <c r="H21" s="4" t="s">
        <v>16</v>
      </c>
      <c r="I21" s="4" t="s">
        <v>1028</v>
      </c>
      <c r="J21" s="4" t="s">
        <v>1029</v>
      </c>
      <c r="K21" s="4" t="s">
        <v>1058</v>
      </c>
      <c r="L21" s="4" t="s">
        <v>1045</v>
      </c>
      <c r="M21" s="4">
        <v>3</v>
      </c>
      <c r="N21" s="4" t="s">
        <v>1106</v>
      </c>
      <c r="O21" s="4" t="s">
        <v>1162</v>
      </c>
    </row>
    <row r="22" spans="1:15" ht="55.2" customHeight="1">
      <c r="A22" s="4" t="s">
        <v>284</v>
      </c>
      <c r="B22" s="4" t="s">
        <v>191</v>
      </c>
      <c r="C22" s="4" t="s">
        <v>1163</v>
      </c>
      <c r="D22" s="4" t="s">
        <v>1109</v>
      </c>
      <c r="E22" s="4" t="s">
        <v>1164</v>
      </c>
      <c r="F22" s="4">
        <v>4</v>
      </c>
      <c r="G22" s="4" t="s">
        <v>1165</v>
      </c>
      <c r="H22" s="4" t="s">
        <v>16</v>
      </c>
      <c r="I22" s="4" t="s">
        <v>1028</v>
      </c>
      <c r="J22" s="4" t="s">
        <v>1029</v>
      </c>
      <c r="K22" s="4" t="s">
        <v>1058</v>
      </c>
      <c r="L22" s="4" t="s">
        <v>1045</v>
      </c>
      <c r="M22" s="4">
        <v>3</v>
      </c>
      <c r="N22" s="4" t="s">
        <v>1106</v>
      </c>
      <c r="O22" s="4" t="s">
        <v>1166</v>
      </c>
    </row>
    <row r="23" spans="1:15" ht="55.2" customHeight="1">
      <c r="A23" s="4" t="s">
        <v>298</v>
      </c>
      <c r="B23" s="4" t="s">
        <v>299</v>
      </c>
      <c r="C23" s="4" t="s">
        <v>1167</v>
      </c>
      <c r="D23" s="4" t="s">
        <v>1103</v>
      </c>
      <c r="E23" s="4" t="s">
        <v>1168</v>
      </c>
      <c r="F23" s="4">
        <v>4</v>
      </c>
      <c r="G23" s="4" t="s">
        <v>190</v>
      </c>
      <c r="H23" s="4" t="s">
        <v>16</v>
      </c>
      <c r="I23" s="4" t="s">
        <v>1028</v>
      </c>
      <c r="J23" s="4" t="s">
        <v>1029</v>
      </c>
      <c r="K23" s="4" t="s">
        <v>1058</v>
      </c>
      <c r="L23" s="4" t="s">
        <v>1045</v>
      </c>
      <c r="M23" s="4">
        <v>3</v>
      </c>
      <c r="N23" s="4" t="s">
        <v>1169</v>
      </c>
      <c r="O23" s="4" t="s">
        <v>1107</v>
      </c>
    </row>
    <row r="24" spans="1:15" ht="41.4" customHeight="1">
      <c r="A24" s="4" t="s">
        <v>312</v>
      </c>
      <c r="B24" s="4" t="s">
        <v>299</v>
      </c>
      <c r="C24" s="4" t="s">
        <v>1170</v>
      </c>
      <c r="D24" s="4" t="s">
        <v>1103</v>
      </c>
      <c r="E24" s="4" t="s">
        <v>1171</v>
      </c>
      <c r="F24" s="4">
        <v>4</v>
      </c>
      <c r="G24" s="4" t="s">
        <v>298</v>
      </c>
      <c r="H24" s="4" t="s">
        <v>16</v>
      </c>
      <c r="I24" s="4" t="s">
        <v>1028</v>
      </c>
      <c r="J24" s="4" t="s">
        <v>1029</v>
      </c>
      <c r="K24" s="4" t="s">
        <v>1058</v>
      </c>
      <c r="L24" s="4" t="s">
        <v>1045</v>
      </c>
      <c r="M24" s="4">
        <v>3</v>
      </c>
      <c r="N24" s="4" t="s">
        <v>1172</v>
      </c>
      <c r="O24" s="4" t="s">
        <v>1107</v>
      </c>
    </row>
    <row r="25" spans="1:15" ht="69" customHeight="1">
      <c r="A25" s="4" t="s">
        <v>325</v>
      </c>
      <c r="B25" s="4" t="s">
        <v>299</v>
      </c>
      <c r="C25" s="4" t="s">
        <v>1173</v>
      </c>
      <c r="D25" s="4" t="s">
        <v>1103</v>
      </c>
      <c r="E25" s="4" t="s">
        <v>1174</v>
      </c>
      <c r="F25" s="4">
        <v>4</v>
      </c>
      <c r="G25" s="4" t="s">
        <v>1175</v>
      </c>
      <c r="H25" s="4" t="s">
        <v>16</v>
      </c>
      <c r="I25" s="4" t="s">
        <v>1028</v>
      </c>
      <c r="J25" s="4" t="s">
        <v>1029</v>
      </c>
      <c r="K25" s="4" t="s">
        <v>1058</v>
      </c>
      <c r="L25" s="4" t="s">
        <v>1045</v>
      </c>
      <c r="M25" s="4">
        <v>3</v>
      </c>
      <c r="N25" s="4" t="s">
        <v>1176</v>
      </c>
      <c r="O25" s="4" t="s">
        <v>1107</v>
      </c>
    </row>
    <row r="26" spans="1:15" ht="55.2" customHeight="1">
      <c r="A26" s="4" t="s">
        <v>338</v>
      </c>
      <c r="B26" s="4" t="s">
        <v>299</v>
      </c>
      <c r="C26" s="4" t="s">
        <v>1177</v>
      </c>
      <c r="D26" s="4" t="s">
        <v>1103</v>
      </c>
      <c r="E26" s="4" t="s">
        <v>1178</v>
      </c>
      <c r="F26" s="4">
        <v>4</v>
      </c>
      <c r="G26" s="4" t="s">
        <v>1179</v>
      </c>
      <c r="H26" s="4" t="s">
        <v>16</v>
      </c>
      <c r="I26" s="4" t="s">
        <v>1028</v>
      </c>
      <c r="J26" s="4" t="s">
        <v>1029</v>
      </c>
      <c r="K26" s="4" t="s">
        <v>1058</v>
      </c>
      <c r="L26" s="4" t="s">
        <v>1045</v>
      </c>
      <c r="M26" s="4">
        <v>3</v>
      </c>
      <c r="N26" s="4" t="s">
        <v>1180</v>
      </c>
      <c r="O26" s="4" t="s">
        <v>1107</v>
      </c>
    </row>
    <row r="27" spans="1:15" ht="55.2" customHeight="1">
      <c r="A27" s="4" t="s">
        <v>351</v>
      </c>
      <c r="B27" s="4" t="s">
        <v>299</v>
      </c>
      <c r="C27" s="4" t="s">
        <v>1181</v>
      </c>
      <c r="D27" s="4" t="s">
        <v>1103</v>
      </c>
      <c r="E27" s="4" t="s">
        <v>1182</v>
      </c>
      <c r="F27" s="4">
        <v>4</v>
      </c>
      <c r="G27" s="4" t="s">
        <v>312</v>
      </c>
      <c r="H27" s="4" t="s">
        <v>16</v>
      </c>
      <c r="I27" s="4" t="s">
        <v>1028</v>
      </c>
      <c r="J27" s="4" t="s">
        <v>1029</v>
      </c>
      <c r="K27" s="4" t="s">
        <v>1058</v>
      </c>
      <c r="L27" s="4" t="s">
        <v>1045</v>
      </c>
      <c r="M27" s="4">
        <v>3</v>
      </c>
      <c r="N27" s="4" t="s">
        <v>1106</v>
      </c>
      <c r="O27" s="4" t="s">
        <v>1183</v>
      </c>
    </row>
    <row r="28" spans="1:15" ht="55.2" customHeight="1">
      <c r="A28" s="4" t="s">
        <v>365</v>
      </c>
      <c r="B28" s="4" t="s">
        <v>299</v>
      </c>
      <c r="C28" s="4" t="s">
        <v>1184</v>
      </c>
      <c r="D28" s="4" t="s">
        <v>1109</v>
      </c>
      <c r="E28" s="4" t="s">
        <v>1185</v>
      </c>
      <c r="F28" s="4">
        <v>4</v>
      </c>
      <c r="G28" s="4" t="s">
        <v>312</v>
      </c>
      <c r="H28" s="4" t="s">
        <v>16</v>
      </c>
      <c r="I28" s="4" t="s">
        <v>1028</v>
      </c>
      <c r="J28" s="4" t="s">
        <v>1029</v>
      </c>
      <c r="K28" s="4" t="s">
        <v>1058</v>
      </c>
      <c r="L28" s="4" t="s">
        <v>1045</v>
      </c>
      <c r="M28" s="4">
        <v>3</v>
      </c>
      <c r="N28" s="4" t="s">
        <v>1106</v>
      </c>
      <c r="O28" s="4" t="s">
        <v>1186</v>
      </c>
    </row>
    <row r="29" spans="1:15" ht="41.4" customHeight="1">
      <c r="A29" s="4" t="s">
        <v>379</v>
      </c>
      <c r="B29" s="4" t="s">
        <v>380</v>
      </c>
      <c r="C29" s="4" t="s">
        <v>1187</v>
      </c>
      <c r="D29" s="4" t="s">
        <v>1109</v>
      </c>
      <c r="E29" s="4" t="s">
        <v>1188</v>
      </c>
      <c r="F29" s="4">
        <v>4</v>
      </c>
      <c r="G29" s="4" t="s">
        <v>149</v>
      </c>
      <c r="H29" s="4" t="s">
        <v>16</v>
      </c>
      <c r="I29" s="4" t="s">
        <v>1028</v>
      </c>
      <c r="J29" s="4" t="s">
        <v>1029</v>
      </c>
      <c r="K29" s="4" t="s">
        <v>1058</v>
      </c>
      <c r="L29" s="4" t="s">
        <v>1045</v>
      </c>
      <c r="M29" s="4">
        <v>3</v>
      </c>
      <c r="N29" s="4" t="s">
        <v>1189</v>
      </c>
      <c r="O29" s="4" t="s">
        <v>1107</v>
      </c>
    </row>
    <row r="30" spans="1:15" ht="55.2" customHeight="1">
      <c r="A30" s="4" t="s">
        <v>392</v>
      </c>
      <c r="B30" s="4" t="s">
        <v>380</v>
      </c>
      <c r="C30" s="4" t="s">
        <v>1190</v>
      </c>
      <c r="D30" s="4" t="s">
        <v>1103</v>
      </c>
      <c r="E30" s="4" t="s">
        <v>1191</v>
      </c>
      <c r="F30" s="4">
        <v>4</v>
      </c>
      <c r="G30" s="4" t="s">
        <v>379</v>
      </c>
      <c r="H30" s="4" t="s">
        <v>16</v>
      </c>
      <c r="I30" s="4" t="s">
        <v>1028</v>
      </c>
      <c r="J30" s="4" t="s">
        <v>1029</v>
      </c>
      <c r="K30" s="4" t="s">
        <v>1058</v>
      </c>
      <c r="L30" s="4" t="s">
        <v>1045</v>
      </c>
      <c r="M30" s="4">
        <v>3</v>
      </c>
      <c r="N30" s="4" t="s">
        <v>1106</v>
      </c>
      <c r="O30" s="4" t="s">
        <v>1107</v>
      </c>
    </row>
    <row r="31" spans="1:15" ht="27.6" customHeight="1">
      <c r="A31" s="4" t="s">
        <v>405</v>
      </c>
      <c r="B31" s="4" t="s">
        <v>380</v>
      </c>
      <c r="C31" s="4" t="s">
        <v>1192</v>
      </c>
      <c r="D31" s="4" t="s">
        <v>1109</v>
      </c>
      <c r="E31" s="4" t="s">
        <v>1193</v>
      </c>
      <c r="F31" s="4">
        <v>4</v>
      </c>
      <c r="G31" s="4" t="s">
        <v>1194</v>
      </c>
      <c r="H31" s="4" t="s">
        <v>16</v>
      </c>
      <c r="I31" s="4" t="s">
        <v>1028</v>
      </c>
      <c r="J31" s="4" t="s">
        <v>1029</v>
      </c>
      <c r="K31" s="4" t="s">
        <v>1058</v>
      </c>
      <c r="L31" s="4" t="s">
        <v>1045</v>
      </c>
      <c r="M31" s="4">
        <v>3</v>
      </c>
      <c r="N31" s="4" t="s">
        <v>1195</v>
      </c>
      <c r="O31" s="4" t="s">
        <v>1107</v>
      </c>
    </row>
    <row r="32" spans="1:15" ht="55.2" customHeight="1">
      <c r="A32" s="4" t="s">
        <v>418</v>
      </c>
      <c r="B32" s="4" t="s">
        <v>380</v>
      </c>
      <c r="C32" s="4" t="s">
        <v>1196</v>
      </c>
      <c r="D32" s="4" t="s">
        <v>1109</v>
      </c>
      <c r="E32" s="4" t="s">
        <v>1197</v>
      </c>
      <c r="F32" s="4">
        <v>4</v>
      </c>
      <c r="G32" s="4" t="s">
        <v>379</v>
      </c>
      <c r="H32" s="4" t="s">
        <v>16</v>
      </c>
      <c r="I32" s="4" t="s">
        <v>1028</v>
      </c>
      <c r="J32" s="4" t="s">
        <v>1029</v>
      </c>
      <c r="K32" s="4" t="s">
        <v>1058</v>
      </c>
      <c r="L32" s="4" t="s">
        <v>1045</v>
      </c>
      <c r="M32" s="4">
        <v>3</v>
      </c>
      <c r="N32" s="4" t="s">
        <v>1106</v>
      </c>
      <c r="O32" s="4" t="s">
        <v>1107</v>
      </c>
    </row>
    <row r="33" spans="1:15" ht="55.2" customHeight="1">
      <c r="A33" s="4" t="s">
        <v>431</v>
      </c>
      <c r="B33" s="4" t="s">
        <v>380</v>
      </c>
      <c r="C33" s="4" t="s">
        <v>1198</v>
      </c>
      <c r="D33" s="4" t="s">
        <v>1109</v>
      </c>
      <c r="E33" s="4" t="s">
        <v>1199</v>
      </c>
      <c r="F33" s="4">
        <v>4</v>
      </c>
      <c r="G33" s="4" t="s">
        <v>379</v>
      </c>
      <c r="H33" s="4" t="s">
        <v>16</v>
      </c>
      <c r="I33" s="4" t="s">
        <v>1028</v>
      </c>
      <c r="J33" s="4" t="s">
        <v>1029</v>
      </c>
      <c r="K33" s="4" t="s">
        <v>1058</v>
      </c>
      <c r="L33" s="4" t="s">
        <v>1045</v>
      </c>
      <c r="M33" s="4">
        <v>3</v>
      </c>
      <c r="N33" s="4" t="s">
        <v>1106</v>
      </c>
      <c r="O33" s="4" t="s">
        <v>1200</v>
      </c>
    </row>
    <row r="34" spans="1:15" ht="55.2" customHeight="1">
      <c r="A34" s="4" t="s">
        <v>445</v>
      </c>
      <c r="B34" s="4" t="s">
        <v>380</v>
      </c>
      <c r="C34" s="4" t="s">
        <v>1201</v>
      </c>
      <c r="D34" s="4" t="s">
        <v>1103</v>
      </c>
      <c r="E34" s="4" t="s">
        <v>1202</v>
      </c>
      <c r="F34" s="4">
        <v>4</v>
      </c>
      <c r="G34" s="4" t="s">
        <v>1203</v>
      </c>
      <c r="H34" s="4" t="s">
        <v>16</v>
      </c>
      <c r="I34" s="4" t="s">
        <v>1028</v>
      </c>
      <c r="J34" s="4" t="s">
        <v>1029</v>
      </c>
      <c r="K34" s="4" t="s">
        <v>1058</v>
      </c>
      <c r="L34" s="4" t="s">
        <v>1045</v>
      </c>
      <c r="M34" s="4">
        <v>3</v>
      </c>
      <c r="N34" s="4" t="s">
        <v>1106</v>
      </c>
      <c r="O34" s="4" t="s">
        <v>1204</v>
      </c>
    </row>
    <row r="35" spans="1:15" ht="55.2" customHeight="1">
      <c r="A35" s="4" t="s">
        <v>459</v>
      </c>
      <c r="B35" s="4" t="s">
        <v>380</v>
      </c>
      <c r="C35" s="4" t="s">
        <v>1205</v>
      </c>
      <c r="D35" s="4" t="s">
        <v>1103</v>
      </c>
      <c r="E35" s="4" t="s">
        <v>1206</v>
      </c>
      <c r="F35" s="4">
        <v>4</v>
      </c>
      <c r="G35" s="4" t="s">
        <v>1207</v>
      </c>
      <c r="H35" s="4" t="s">
        <v>16</v>
      </c>
      <c r="I35" s="4" t="s">
        <v>1028</v>
      </c>
      <c r="J35" s="4" t="s">
        <v>1029</v>
      </c>
      <c r="K35" s="4" t="s">
        <v>1058</v>
      </c>
      <c r="L35" s="4" t="s">
        <v>1045</v>
      </c>
      <c r="M35" s="4">
        <v>3</v>
      </c>
      <c r="N35" s="4" t="s">
        <v>1106</v>
      </c>
      <c r="O35" s="4" t="s">
        <v>1107</v>
      </c>
    </row>
    <row r="36" spans="1:15" ht="55.2" customHeight="1">
      <c r="A36" s="4" t="s">
        <v>472</v>
      </c>
      <c r="B36" s="4" t="s">
        <v>380</v>
      </c>
      <c r="C36" s="4" t="s">
        <v>1208</v>
      </c>
      <c r="D36" s="4" t="s">
        <v>1103</v>
      </c>
      <c r="E36" s="4" t="s">
        <v>1209</v>
      </c>
      <c r="F36" s="4">
        <v>4</v>
      </c>
      <c r="G36" s="4" t="s">
        <v>405</v>
      </c>
      <c r="H36" s="4" t="s">
        <v>16</v>
      </c>
      <c r="I36" s="4" t="s">
        <v>1028</v>
      </c>
      <c r="J36" s="4" t="s">
        <v>1029</v>
      </c>
      <c r="K36" s="4" t="s">
        <v>1058</v>
      </c>
      <c r="L36" s="4" t="s">
        <v>1045</v>
      </c>
      <c r="M36" s="4">
        <v>3</v>
      </c>
      <c r="N36" s="4" t="s">
        <v>1106</v>
      </c>
      <c r="O36" s="4" t="s">
        <v>1210</v>
      </c>
    </row>
    <row r="37" spans="1:15" ht="55.2" customHeight="1">
      <c r="A37" s="4" t="s">
        <v>487</v>
      </c>
      <c r="B37" s="4" t="s">
        <v>488</v>
      </c>
      <c r="C37" s="4" t="s">
        <v>1211</v>
      </c>
      <c r="D37" s="4" t="s">
        <v>1103</v>
      </c>
      <c r="E37" s="4" t="s">
        <v>1212</v>
      </c>
      <c r="F37" s="4">
        <v>4</v>
      </c>
      <c r="G37" s="4" t="s">
        <v>1213</v>
      </c>
      <c r="H37" s="4" t="s">
        <v>16</v>
      </c>
      <c r="I37" s="4" t="s">
        <v>1028</v>
      </c>
      <c r="J37" s="4" t="s">
        <v>1029</v>
      </c>
      <c r="K37" s="4" t="s">
        <v>1058</v>
      </c>
      <c r="L37" s="4" t="s">
        <v>1045</v>
      </c>
      <c r="M37" s="4">
        <v>3</v>
      </c>
      <c r="N37" s="4" t="s">
        <v>1214</v>
      </c>
      <c r="O37" s="4" t="s">
        <v>1107</v>
      </c>
    </row>
    <row r="38" spans="1:15" ht="55.2" customHeight="1">
      <c r="A38" s="4" t="s">
        <v>501</v>
      </c>
      <c r="B38" s="4" t="s">
        <v>488</v>
      </c>
      <c r="C38" s="4" t="s">
        <v>1215</v>
      </c>
      <c r="D38" s="4" t="s">
        <v>1103</v>
      </c>
      <c r="E38" s="4" t="s">
        <v>1216</v>
      </c>
      <c r="F38" s="4">
        <v>4</v>
      </c>
      <c r="G38" s="4" t="s">
        <v>487</v>
      </c>
      <c r="H38" s="4" t="s">
        <v>16</v>
      </c>
      <c r="I38" s="4" t="s">
        <v>1028</v>
      </c>
      <c r="J38" s="4" t="s">
        <v>1029</v>
      </c>
      <c r="K38" s="4" t="s">
        <v>1058</v>
      </c>
      <c r="L38" s="4" t="s">
        <v>1045</v>
      </c>
      <c r="M38" s="4">
        <v>3</v>
      </c>
      <c r="N38" s="4" t="s">
        <v>1106</v>
      </c>
      <c r="O38" s="4" t="s">
        <v>1107</v>
      </c>
    </row>
    <row r="39" spans="1:15" ht="55.2" customHeight="1">
      <c r="A39" s="4" t="s">
        <v>514</v>
      </c>
      <c r="B39" s="4" t="s">
        <v>488</v>
      </c>
      <c r="C39" s="4" t="s">
        <v>1217</v>
      </c>
      <c r="D39" s="4" t="s">
        <v>1103</v>
      </c>
      <c r="E39" s="4" t="s">
        <v>1218</v>
      </c>
      <c r="F39" s="4">
        <v>4</v>
      </c>
      <c r="G39" s="4" t="s">
        <v>487</v>
      </c>
      <c r="H39" s="4" t="s">
        <v>16</v>
      </c>
      <c r="I39" s="4" t="s">
        <v>1028</v>
      </c>
      <c r="J39" s="4" t="s">
        <v>1029</v>
      </c>
      <c r="K39" s="4" t="s">
        <v>1058</v>
      </c>
      <c r="L39" s="4" t="s">
        <v>1045</v>
      </c>
      <c r="M39" s="4">
        <v>3</v>
      </c>
      <c r="N39" s="4" t="s">
        <v>1219</v>
      </c>
      <c r="O39" s="4" t="s">
        <v>1107</v>
      </c>
    </row>
    <row r="40" spans="1:15" ht="41.4" customHeight="1">
      <c r="A40" s="4" t="s">
        <v>527</v>
      </c>
      <c r="B40" s="4" t="s">
        <v>488</v>
      </c>
      <c r="C40" s="4" t="s">
        <v>1220</v>
      </c>
      <c r="D40" s="4" t="s">
        <v>1103</v>
      </c>
      <c r="E40" s="4" t="s">
        <v>1221</v>
      </c>
      <c r="F40" s="4">
        <v>4</v>
      </c>
      <c r="G40" s="4" t="s">
        <v>514</v>
      </c>
      <c r="H40" s="4" t="s">
        <v>16</v>
      </c>
      <c r="I40" s="4" t="s">
        <v>1028</v>
      </c>
      <c r="J40" s="4" t="s">
        <v>1029</v>
      </c>
      <c r="K40" s="4" t="s">
        <v>1058</v>
      </c>
      <c r="L40" s="4" t="s">
        <v>1045</v>
      </c>
      <c r="M40" s="4">
        <v>3</v>
      </c>
      <c r="N40" s="4" t="s">
        <v>1222</v>
      </c>
      <c r="O40" s="4" t="s">
        <v>1107</v>
      </c>
    </row>
    <row r="41" spans="1:15" ht="55.2" customHeight="1">
      <c r="A41" s="4" t="s">
        <v>540</v>
      </c>
      <c r="B41" s="4" t="s">
        <v>488</v>
      </c>
      <c r="C41" s="4" t="s">
        <v>1223</v>
      </c>
      <c r="D41" s="4" t="s">
        <v>1103</v>
      </c>
      <c r="E41" s="4" t="s">
        <v>1224</v>
      </c>
      <c r="F41" s="4">
        <v>4</v>
      </c>
      <c r="G41" s="4" t="s">
        <v>487</v>
      </c>
      <c r="H41" s="4" t="s">
        <v>16</v>
      </c>
      <c r="I41" s="4" t="s">
        <v>1028</v>
      </c>
      <c r="J41" s="4" t="s">
        <v>1029</v>
      </c>
      <c r="K41" s="4" t="s">
        <v>1058</v>
      </c>
      <c r="L41" s="4" t="s">
        <v>1045</v>
      </c>
      <c r="M41" s="4">
        <v>3</v>
      </c>
      <c r="N41" s="4" t="s">
        <v>1106</v>
      </c>
      <c r="O41" s="4" t="s">
        <v>1107</v>
      </c>
    </row>
    <row r="42" spans="1:15" ht="41.4" customHeight="1">
      <c r="A42" s="4" t="s">
        <v>553</v>
      </c>
      <c r="B42" s="4" t="s">
        <v>488</v>
      </c>
      <c r="C42" s="4" t="s">
        <v>1225</v>
      </c>
      <c r="D42" s="4" t="s">
        <v>1103</v>
      </c>
      <c r="E42" s="4" t="s">
        <v>1226</v>
      </c>
      <c r="F42" s="4">
        <v>4</v>
      </c>
      <c r="G42" s="4" t="s">
        <v>1227</v>
      </c>
      <c r="H42" s="4" t="s">
        <v>16</v>
      </c>
      <c r="I42" s="4" t="s">
        <v>1028</v>
      </c>
      <c r="J42" s="4" t="s">
        <v>1029</v>
      </c>
      <c r="K42" s="4" t="s">
        <v>1058</v>
      </c>
      <c r="L42" s="4" t="s">
        <v>1045</v>
      </c>
      <c r="M42" s="4">
        <v>3</v>
      </c>
      <c r="N42" s="4" t="s">
        <v>1228</v>
      </c>
      <c r="O42" s="4" t="s">
        <v>1107</v>
      </c>
    </row>
    <row r="43" spans="1:15" ht="55.2" customHeight="1">
      <c r="A43" s="4" t="s">
        <v>566</v>
      </c>
      <c r="B43" s="4" t="s">
        <v>488</v>
      </c>
      <c r="C43" s="4" t="s">
        <v>1229</v>
      </c>
      <c r="D43" s="4" t="s">
        <v>1230</v>
      </c>
      <c r="E43" s="4" t="s">
        <v>1231</v>
      </c>
      <c r="F43" s="4">
        <v>4</v>
      </c>
      <c r="G43" s="4" t="s">
        <v>487</v>
      </c>
      <c r="H43" s="4" t="s">
        <v>16</v>
      </c>
      <c r="I43" s="4" t="s">
        <v>1028</v>
      </c>
      <c r="J43" s="4" t="s">
        <v>1029</v>
      </c>
      <c r="K43" s="4" t="s">
        <v>1058</v>
      </c>
      <c r="L43" s="4" t="s">
        <v>1045</v>
      </c>
      <c r="M43" s="4">
        <v>3</v>
      </c>
      <c r="N43" s="4" t="s">
        <v>1232</v>
      </c>
      <c r="O43" s="4" t="s">
        <v>1107</v>
      </c>
    </row>
    <row r="44" spans="1:15" ht="82.8" customHeight="1">
      <c r="A44" s="4" t="s">
        <v>579</v>
      </c>
      <c r="B44" s="4" t="s">
        <v>488</v>
      </c>
      <c r="C44" s="4" t="s">
        <v>1233</v>
      </c>
      <c r="D44" s="4" t="s">
        <v>1103</v>
      </c>
      <c r="E44" s="4" t="s">
        <v>1234</v>
      </c>
      <c r="F44" s="4">
        <v>4</v>
      </c>
      <c r="G44" s="4" t="s">
        <v>487</v>
      </c>
      <c r="H44" s="4" t="s">
        <v>16</v>
      </c>
      <c r="I44" s="4" t="s">
        <v>1028</v>
      </c>
      <c r="J44" s="4" t="s">
        <v>1029</v>
      </c>
      <c r="K44" s="4" t="s">
        <v>1058</v>
      </c>
      <c r="L44" s="4" t="s">
        <v>1045</v>
      </c>
      <c r="M44" s="4">
        <v>3</v>
      </c>
      <c r="N44" s="4" t="s">
        <v>1235</v>
      </c>
      <c r="O44" s="4" t="s">
        <v>1107</v>
      </c>
    </row>
    <row r="45" spans="1:15" ht="55.2" customHeight="1">
      <c r="A45" s="4" t="s">
        <v>592</v>
      </c>
      <c r="B45" s="4" t="s">
        <v>488</v>
      </c>
      <c r="C45" s="4" t="s">
        <v>1236</v>
      </c>
      <c r="D45" s="4" t="s">
        <v>1103</v>
      </c>
      <c r="E45" s="4" t="s">
        <v>1237</v>
      </c>
      <c r="F45" s="4">
        <v>4</v>
      </c>
      <c r="G45" s="4" t="s">
        <v>540</v>
      </c>
      <c r="H45" s="4" t="s">
        <v>16</v>
      </c>
      <c r="I45" s="4" t="s">
        <v>1028</v>
      </c>
      <c r="J45" s="4" t="s">
        <v>1029</v>
      </c>
      <c r="K45" s="4" t="s">
        <v>1058</v>
      </c>
      <c r="L45" s="4" t="s">
        <v>1045</v>
      </c>
      <c r="M45" s="4">
        <v>3</v>
      </c>
      <c r="N45" s="4" t="s">
        <v>1106</v>
      </c>
      <c r="O45" s="4" t="s">
        <v>1107</v>
      </c>
    </row>
    <row r="46" spans="1:15" ht="55.2" customHeight="1">
      <c r="A46" s="4" t="s">
        <v>605</v>
      </c>
      <c r="B46" s="4" t="s">
        <v>488</v>
      </c>
      <c r="C46" s="4" t="s">
        <v>1238</v>
      </c>
      <c r="D46" s="4" t="s">
        <v>1103</v>
      </c>
      <c r="E46" s="4" t="s">
        <v>1239</v>
      </c>
      <c r="F46" s="4">
        <v>4</v>
      </c>
      <c r="G46" s="4" t="s">
        <v>1240</v>
      </c>
      <c r="H46" s="4" t="s">
        <v>16</v>
      </c>
      <c r="I46" s="4" t="s">
        <v>1028</v>
      </c>
      <c r="J46" s="4" t="s">
        <v>1029</v>
      </c>
      <c r="K46" s="4" t="s">
        <v>1058</v>
      </c>
      <c r="L46" s="4" t="s">
        <v>1045</v>
      </c>
      <c r="M46" s="4">
        <v>3</v>
      </c>
      <c r="N46" s="4" t="s">
        <v>1106</v>
      </c>
      <c r="O46" s="4" t="s">
        <v>1107</v>
      </c>
    </row>
    <row r="47" spans="1:15" ht="55.2" customHeight="1">
      <c r="A47" s="4" t="s">
        <v>618</v>
      </c>
      <c r="B47" s="4" t="s">
        <v>619</v>
      </c>
      <c r="C47" s="4" t="s">
        <v>1241</v>
      </c>
      <c r="D47" s="4" t="s">
        <v>1242</v>
      </c>
      <c r="E47" s="4" t="s">
        <v>1243</v>
      </c>
      <c r="F47" s="4">
        <v>4</v>
      </c>
      <c r="G47" s="4" t="s">
        <v>1244</v>
      </c>
      <c r="H47" s="4" t="s">
        <v>16</v>
      </c>
      <c r="I47" s="4" t="s">
        <v>1028</v>
      </c>
      <c r="J47" s="4" t="s">
        <v>1029</v>
      </c>
      <c r="K47" s="4" t="s">
        <v>1058</v>
      </c>
      <c r="L47" s="4" t="s">
        <v>1045</v>
      </c>
      <c r="M47" s="4">
        <v>3</v>
      </c>
      <c r="N47" s="4" t="s">
        <v>1245</v>
      </c>
      <c r="O47" s="4" t="s">
        <v>1107</v>
      </c>
    </row>
    <row r="48" spans="1:15" ht="27.6" customHeight="1">
      <c r="A48" s="4" t="s">
        <v>632</v>
      </c>
      <c r="B48" s="4" t="s">
        <v>619</v>
      </c>
      <c r="C48" s="4" t="s">
        <v>1246</v>
      </c>
      <c r="D48" s="4" t="s">
        <v>1242</v>
      </c>
      <c r="E48" s="4" t="s">
        <v>1247</v>
      </c>
      <c r="F48" s="4">
        <v>4</v>
      </c>
      <c r="G48" s="4" t="s">
        <v>540</v>
      </c>
      <c r="H48" s="4" t="s">
        <v>16</v>
      </c>
      <c r="I48" s="4" t="s">
        <v>1028</v>
      </c>
      <c r="J48" s="4" t="s">
        <v>1029</v>
      </c>
      <c r="K48" s="4" t="s">
        <v>1058</v>
      </c>
      <c r="L48" s="4" t="s">
        <v>1045</v>
      </c>
      <c r="M48" s="4">
        <v>3</v>
      </c>
      <c r="N48" s="4" t="s">
        <v>1248</v>
      </c>
      <c r="O48" s="4" t="s">
        <v>1107</v>
      </c>
    </row>
    <row r="49" spans="1:15" ht="27.6" customHeight="1">
      <c r="A49" s="4" t="s">
        <v>645</v>
      </c>
      <c r="B49" s="4" t="s">
        <v>619</v>
      </c>
      <c r="C49" s="4" t="s">
        <v>1249</v>
      </c>
      <c r="D49" s="4" t="s">
        <v>1103</v>
      </c>
      <c r="E49" s="4" t="s">
        <v>1250</v>
      </c>
      <c r="F49" s="4">
        <v>4</v>
      </c>
      <c r="G49" s="4" t="s">
        <v>1251</v>
      </c>
      <c r="H49" s="4" t="s">
        <v>16</v>
      </c>
      <c r="I49" s="4" t="s">
        <v>1028</v>
      </c>
      <c r="J49" s="4" t="s">
        <v>1029</v>
      </c>
      <c r="K49" s="4" t="s">
        <v>1058</v>
      </c>
      <c r="L49" s="4" t="s">
        <v>1045</v>
      </c>
      <c r="M49" s="4">
        <v>3</v>
      </c>
      <c r="N49" s="4" t="s">
        <v>1252</v>
      </c>
      <c r="O49" s="4" t="s">
        <v>1107</v>
      </c>
    </row>
    <row r="50" spans="1:15" ht="110.4" customHeight="1">
      <c r="A50" s="4" t="s">
        <v>658</v>
      </c>
      <c r="B50" s="4" t="s">
        <v>619</v>
      </c>
      <c r="C50" s="4" t="s">
        <v>1253</v>
      </c>
      <c r="D50" s="4" t="s">
        <v>1109</v>
      </c>
      <c r="E50" s="4" t="s">
        <v>1254</v>
      </c>
      <c r="F50" s="4">
        <v>4</v>
      </c>
      <c r="G50" s="4" t="s">
        <v>645</v>
      </c>
      <c r="H50" s="4" t="s">
        <v>16</v>
      </c>
      <c r="I50" s="4" t="s">
        <v>1028</v>
      </c>
      <c r="J50" s="4" t="s">
        <v>1029</v>
      </c>
      <c r="K50" s="4" t="s">
        <v>1058</v>
      </c>
      <c r="L50" s="4" t="s">
        <v>1045</v>
      </c>
      <c r="M50" s="4">
        <v>3</v>
      </c>
      <c r="N50" s="4" t="s">
        <v>1255</v>
      </c>
      <c r="O50" s="4" t="s">
        <v>1107</v>
      </c>
    </row>
    <row r="51" spans="1:15" ht="55.2" customHeight="1">
      <c r="A51" s="4" t="s">
        <v>671</v>
      </c>
      <c r="B51" s="4" t="s">
        <v>619</v>
      </c>
      <c r="C51" s="4" t="s">
        <v>1256</v>
      </c>
      <c r="D51" s="4" t="s">
        <v>1103</v>
      </c>
      <c r="E51" s="4" t="s">
        <v>1257</v>
      </c>
      <c r="F51" s="4">
        <v>4</v>
      </c>
      <c r="G51" s="4" t="s">
        <v>1258</v>
      </c>
      <c r="H51" s="4" t="s">
        <v>16</v>
      </c>
      <c r="I51" s="4" t="s">
        <v>1028</v>
      </c>
      <c r="J51" s="4" t="s">
        <v>1029</v>
      </c>
      <c r="K51" s="4" t="s">
        <v>1058</v>
      </c>
      <c r="L51" s="4" t="s">
        <v>1045</v>
      </c>
      <c r="M51" s="4">
        <v>3</v>
      </c>
      <c r="N51" s="4" t="s">
        <v>1106</v>
      </c>
      <c r="O51" s="4" t="s">
        <v>1107</v>
      </c>
    </row>
    <row r="52" spans="1:15" ht="55.2" customHeight="1">
      <c r="A52" s="4" t="s">
        <v>684</v>
      </c>
      <c r="B52" s="4" t="s">
        <v>685</v>
      </c>
      <c r="C52" s="4" t="s">
        <v>1259</v>
      </c>
      <c r="D52" s="4" t="s">
        <v>1103</v>
      </c>
      <c r="E52" s="4" t="s">
        <v>1260</v>
      </c>
      <c r="F52" s="4">
        <v>4</v>
      </c>
      <c r="G52" s="4" t="s">
        <v>1261</v>
      </c>
      <c r="H52" s="4" t="s">
        <v>16</v>
      </c>
      <c r="I52" s="4" t="s">
        <v>1028</v>
      </c>
      <c r="J52" s="4" t="s">
        <v>1029</v>
      </c>
      <c r="K52" s="4" t="s">
        <v>1058</v>
      </c>
      <c r="L52" s="4" t="s">
        <v>1045</v>
      </c>
      <c r="M52" s="4">
        <v>3</v>
      </c>
      <c r="N52" s="4" t="s">
        <v>1106</v>
      </c>
      <c r="O52" s="4" t="s">
        <v>1107</v>
      </c>
    </row>
    <row r="53" spans="1:15" ht="55.2" customHeight="1">
      <c r="A53" s="4" t="s">
        <v>698</v>
      </c>
      <c r="B53" s="4" t="s">
        <v>685</v>
      </c>
      <c r="C53" s="4" t="s">
        <v>1262</v>
      </c>
      <c r="D53" s="4" t="s">
        <v>1109</v>
      </c>
      <c r="E53" s="4" t="s">
        <v>1263</v>
      </c>
      <c r="F53" s="4">
        <v>4</v>
      </c>
      <c r="G53" s="4" t="s">
        <v>1264</v>
      </c>
      <c r="H53" s="4" t="s">
        <v>16</v>
      </c>
      <c r="I53" s="4" t="s">
        <v>1028</v>
      </c>
      <c r="J53" s="4" t="s">
        <v>1029</v>
      </c>
      <c r="K53" s="4" t="s">
        <v>1058</v>
      </c>
      <c r="L53" s="4" t="s">
        <v>1045</v>
      </c>
      <c r="M53" s="4">
        <v>3</v>
      </c>
      <c r="N53" s="4" t="s">
        <v>1106</v>
      </c>
      <c r="O53" s="4" t="s">
        <v>1265</v>
      </c>
    </row>
    <row r="54" spans="1:15" ht="55.2" customHeight="1">
      <c r="A54" s="4" t="s">
        <v>712</v>
      </c>
      <c r="B54" s="4" t="s">
        <v>685</v>
      </c>
      <c r="C54" s="4" t="s">
        <v>1266</v>
      </c>
      <c r="D54" s="4" t="s">
        <v>1109</v>
      </c>
      <c r="E54" s="4" t="s">
        <v>1267</v>
      </c>
      <c r="F54" s="4">
        <v>4</v>
      </c>
      <c r="G54" s="4" t="s">
        <v>284</v>
      </c>
      <c r="H54" s="4" t="s">
        <v>16</v>
      </c>
      <c r="I54" s="4" t="s">
        <v>1028</v>
      </c>
      <c r="J54" s="4" t="s">
        <v>1029</v>
      </c>
      <c r="K54" s="4" t="s">
        <v>1058</v>
      </c>
      <c r="L54" s="4" t="s">
        <v>1045</v>
      </c>
      <c r="M54" s="4">
        <v>3</v>
      </c>
      <c r="N54" s="4" t="s">
        <v>1106</v>
      </c>
      <c r="O54" s="4" t="s">
        <v>1268</v>
      </c>
    </row>
    <row r="55" spans="1:15" ht="55.2" customHeight="1">
      <c r="A55" s="4" t="s">
        <v>726</v>
      </c>
      <c r="B55" s="4" t="s">
        <v>685</v>
      </c>
      <c r="C55" s="4" t="s">
        <v>1269</v>
      </c>
      <c r="D55" s="4" t="s">
        <v>1109</v>
      </c>
      <c r="E55" s="4" t="s">
        <v>1270</v>
      </c>
      <c r="F55" s="4">
        <v>4</v>
      </c>
      <c r="G55" s="4" t="s">
        <v>445</v>
      </c>
      <c r="H55" s="4" t="s">
        <v>16</v>
      </c>
      <c r="I55" s="4" t="s">
        <v>1028</v>
      </c>
      <c r="J55" s="4" t="s">
        <v>1029</v>
      </c>
      <c r="K55" s="4" t="s">
        <v>1058</v>
      </c>
      <c r="L55" s="4" t="s">
        <v>1045</v>
      </c>
      <c r="M55" s="4">
        <v>3</v>
      </c>
      <c r="N55" s="4" t="s">
        <v>1106</v>
      </c>
      <c r="O55" s="4" t="s">
        <v>1107</v>
      </c>
    </row>
    <row r="56" spans="1:15" ht="220.8" customHeight="1">
      <c r="A56" s="4" t="s">
        <v>739</v>
      </c>
      <c r="B56" s="4" t="s">
        <v>685</v>
      </c>
      <c r="C56" s="4" t="s">
        <v>1271</v>
      </c>
      <c r="D56" s="4" t="s">
        <v>1103</v>
      </c>
      <c r="E56" s="4" t="s">
        <v>1272</v>
      </c>
      <c r="F56" s="4">
        <v>4</v>
      </c>
      <c r="G56" s="4" t="s">
        <v>1273</v>
      </c>
      <c r="H56" s="4" t="s">
        <v>16</v>
      </c>
      <c r="I56" s="4" t="s">
        <v>1028</v>
      </c>
      <c r="J56" s="4" t="s">
        <v>1029</v>
      </c>
      <c r="K56" s="4" t="s">
        <v>1058</v>
      </c>
      <c r="L56" s="4" t="s">
        <v>1045</v>
      </c>
      <c r="M56" s="4">
        <v>3</v>
      </c>
      <c r="N56" s="4" t="s">
        <v>1274</v>
      </c>
      <c r="O56" s="4" t="s">
        <v>1275</v>
      </c>
    </row>
    <row r="57" spans="1:15" ht="41.4" customHeight="1">
      <c r="A57" s="4" t="s">
        <v>753</v>
      </c>
      <c r="B57" s="4" t="s">
        <v>754</v>
      </c>
      <c r="C57" s="4" t="s">
        <v>1276</v>
      </c>
      <c r="D57" s="4" t="s">
        <v>1103</v>
      </c>
      <c r="E57" s="4" t="s">
        <v>1277</v>
      </c>
      <c r="F57" s="4">
        <v>4</v>
      </c>
      <c r="G57" s="4" t="s">
        <v>204</v>
      </c>
      <c r="H57" s="4" t="s">
        <v>16</v>
      </c>
      <c r="I57" s="4" t="s">
        <v>1028</v>
      </c>
      <c r="J57" s="4" t="s">
        <v>1029</v>
      </c>
      <c r="K57" s="4" t="s">
        <v>1058</v>
      </c>
      <c r="L57" s="4" t="s">
        <v>1045</v>
      </c>
      <c r="M57" s="4">
        <v>3</v>
      </c>
      <c r="N57" s="4" t="s">
        <v>1278</v>
      </c>
      <c r="O57" s="4" t="s">
        <v>1107</v>
      </c>
    </row>
    <row r="58" spans="1:15" ht="55.2" customHeight="1">
      <c r="A58" s="4" t="s">
        <v>767</v>
      </c>
      <c r="B58" s="4" t="s">
        <v>754</v>
      </c>
      <c r="C58" s="4" t="s">
        <v>1279</v>
      </c>
      <c r="D58" s="4" t="s">
        <v>1109</v>
      </c>
      <c r="E58" s="4" t="s">
        <v>1280</v>
      </c>
      <c r="F58" s="4">
        <v>4</v>
      </c>
      <c r="G58" s="4" t="s">
        <v>753</v>
      </c>
      <c r="H58" s="4" t="s">
        <v>16</v>
      </c>
      <c r="I58" s="4" t="s">
        <v>1028</v>
      </c>
      <c r="J58" s="4" t="s">
        <v>1029</v>
      </c>
      <c r="K58" s="4" t="s">
        <v>1058</v>
      </c>
      <c r="L58" s="4" t="s">
        <v>1045</v>
      </c>
      <c r="M58" s="4">
        <v>3</v>
      </c>
      <c r="N58" s="4" t="s">
        <v>1281</v>
      </c>
      <c r="O58" s="4" t="s">
        <v>1282</v>
      </c>
    </row>
    <row r="59" spans="1:15" ht="55.2" customHeight="1">
      <c r="A59" s="4" t="s">
        <v>781</v>
      </c>
      <c r="B59" s="4" t="s">
        <v>754</v>
      </c>
      <c r="C59" s="4" t="s">
        <v>1283</v>
      </c>
      <c r="D59" s="4" t="s">
        <v>1103</v>
      </c>
      <c r="E59" s="4" t="s">
        <v>1284</v>
      </c>
      <c r="F59" s="4">
        <v>4</v>
      </c>
      <c r="G59" s="4" t="s">
        <v>592</v>
      </c>
      <c r="H59" s="4" t="s">
        <v>16</v>
      </c>
      <c r="I59" s="4" t="s">
        <v>1028</v>
      </c>
      <c r="J59" s="4" t="s">
        <v>1029</v>
      </c>
      <c r="K59" s="4" t="s">
        <v>1058</v>
      </c>
      <c r="L59" s="4" t="s">
        <v>1045</v>
      </c>
      <c r="M59" s="4">
        <v>3</v>
      </c>
      <c r="N59" s="4" t="s">
        <v>1106</v>
      </c>
      <c r="O59" s="4" t="s">
        <v>1285</v>
      </c>
    </row>
    <row r="60" spans="1:15" ht="55.2" customHeight="1">
      <c r="A60" s="4" t="s">
        <v>796</v>
      </c>
      <c r="B60" s="4" t="s">
        <v>754</v>
      </c>
      <c r="C60" s="4" t="s">
        <v>1286</v>
      </c>
      <c r="D60" s="4" t="s">
        <v>1109</v>
      </c>
      <c r="E60" s="4" t="s">
        <v>1287</v>
      </c>
      <c r="F60" s="4">
        <v>4</v>
      </c>
      <c r="G60" s="4" t="s">
        <v>1288</v>
      </c>
      <c r="H60" s="4" t="s">
        <v>16</v>
      </c>
      <c r="I60" s="4" t="s">
        <v>1028</v>
      </c>
      <c r="J60" s="4" t="s">
        <v>1029</v>
      </c>
      <c r="K60" s="4" t="s">
        <v>1058</v>
      </c>
      <c r="L60" s="4" t="s">
        <v>1045</v>
      </c>
      <c r="M60" s="4">
        <v>3</v>
      </c>
      <c r="N60" s="4" t="s">
        <v>1106</v>
      </c>
      <c r="O60" s="4" t="s">
        <v>1289</v>
      </c>
    </row>
    <row r="61" spans="1:15" ht="55.2" customHeight="1">
      <c r="A61" s="4" t="s">
        <v>809</v>
      </c>
      <c r="B61" s="4" t="s">
        <v>754</v>
      </c>
      <c r="C61" s="4" t="s">
        <v>1290</v>
      </c>
      <c r="D61" s="4" t="s">
        <v>1291</v>
      </c>
      <c r="E61" s="4" t="s">
        <v>1292</v>
      </c>
      <c r="F61" s="4">
        <v>4</v>
      </c>
      <c r="G61" s="4" t="s">
        <v>1293</v>
      </c>
      <c r="H61" s="4" t="s">
        <v>16</v>
      </c>
      <c r="I61" s="4" t="s">
        <v>1028</v>
      </c>
      <c r="J61" s="4" t="s">
        <v>1029</v>
      </c>
      <c r="K61" s="4" t="s">
        <v>1058</v>
      </c>
      <c r="L61" s="4" t="s">
        <v>1045</v>
      </c>
      <c r="M61" s="4">
        <v>3</v>
      </c>
      <c r="N61" s="4" t="s">
        <v>1294</v>
      </c>
      <c r="O61" s="4" t="s">
        <v>1107</v>
      </c>
    </row>
    <row r="62" spans="1:15" ht="55.2" customHeight="1">
      <c r="A62" s="4" t="s">
        <v>822</v>
      </c>
      <c r="B62" s="4" t="s">
        <v>823</v>
      </c>
      <c r="C62" s="4" t="s">
        <v>1295</v>
      </c>
      <c r="D62" s="4" t="s">
        <v>1109</v>
      </c>
      <c r="E62" s="4" t="s">
        <v>1296</v>
      </c>
      <c r="F62" s="4">
        <v>4</v>
      </c>
      <c r="G62" s="4" t="s">
        <v>618</v>
      </c>
      <c r="H62" s="4" t="s">
        <v>16</v>
      </c>
      <c r="I62" s="4" t="s">
        <v>1028</v>
      </c>
      <c r="J62" s="4" t="s">
        <v>1029</v>
      </c>
      <c r="K62" s="4" t="s">
        <v>1058</v>
      </c>
      <c r="L62" s="4" t="s">
        <v>1045</v>
      </c>
      <c r="M62" s="4">
        <v>3</v>
      </c>
      <c r="N62" s="4" t="s">
        <v>1106</v>
      </c>
      <c r="O62" s="4" t="s">
        <v>1107</v>
      </c>
    </row>
    <row r="63" spans="1:15" ht="55.2" customHeight="1">
      <c r="A63" s="4" t="s">
        <v>836</v>
      </c>
      <c r="B63" s="4" t="s">
        <v>823</v>
      </c>
      <c r="C63" s="4" t="s">
        <v>1297</v>
      </c>
      <c r="D63" s="4" t="s">
        <v>1109</v>
      </c>
      <c r="E63" s="4" t="s">
        <v>1298</v>
      </c>
      <c r="F63" s="4">
        <v>4</v>
      </c>
      <c r="G63" s="4" t="s">
        <v>822</v>
      </c>
      <c r="H63" s="4" t="s">
        <v>16</v>
      </c>
      <c r="I63" s="4" t="s">
        <v>1028</v>
      </c>
      <c r="J63" s="4" t="s">
        <v>1029</v>
      </c>
      <c r="K63" s="4" t="s">
        <v>1058</v>
      </c>
      <c r="L63" s="4" t="s">
        <v>1045</v>
      </c>
      <c r="M63" s="4">
        <v>3</v>
      </c>
      <c r="N63" s="4" t="s">
        <v>1106</v>
      </c>
      <c r="O63" s="4" t="s">
        <v>1107</v>
      </c>
    </row>
    <row r="64" spans="1:15" ht="55.2" customHeight="1">
      <c r="A64" s="4" t="s">
        <v>849</v>
      </c>
      <c r="B64" s="4" t="s">
        <v>823</v>
      </c>
      <c r="C64" s="4" t="s">
        <v>1299</v>
      </c>
      <c r="D64" s="4" t="s">
        <v>1109</v>
      </c>
      <c r="E64" s="4" t="s">
        <v>1300</v>
      </c>
      <c r="F64" s="4">
        <v>4</v>
      </c>
      <c r="G64" s="4" t="s">
        <v>632</v>
      </c>
      <c r="H64" s="4" t="s">
        <v>16</v>
      </c>
      <c r="I64" s="4" t="s">
        <v>1028</v>
      </c>
      <c r="J64" s="4" t="s">
        <v>1029</v>
      </c>
      <c r="K64" s="4" t="s">
        <v>1058</v>
      </c>
      <c r="L64" s="4" t="s">
        <v>1045</v>
      </c>
      <c r="M64" s="4">
        <v>3</v>
      </c>
      <c r="N64" s="4" t="s">
        <v>1106</v>
      </c>
      <c r="O64" s="4" t="s">
        <v>1107</v>
      </c>
    </row>
    <row r="65" spans="1:15" ht="55.2" customHeight="1">
      <c r="A65" s="4" t="s">
        <v>862</v>
      </c>
      <c r="B65" s="4" t="s">
        <v>823</v>
      </c>
      <c r="C65" s="4" t="s">
        <v>1301</v>
      </c>
      <c r="D65" s="4" t="s">
        <v>1109</v>
      </c>
      <c r="E65" s="4" t="s">
        <v>1302</v>
      </c>
      <c r="F65" s="4">
        <v>4</v>
      </c>
      <c r="G65" s="4" t="s">
        <v>645</v>
      </c>
      <c r="H65" s="4" t="s">
        <v>16</v>
      </c>
      <c r="I65" s="4" t="s">
        <v>1028</v>
      </c>
      <c r="J65" s="4" t="s">
        <v>1029</v>
      </c>
      <c r="K65" s="4" t="s">
        <v>1058</v>
      </c>
      <c r="L65" s="4" t="s">
        <v>1045</v>
      </c>
      <c r="M65" s="4">
        <v>3</v>
      </c>
      <c r="N65" s="4" t="s">
        <v>1106</v>
      </c>
      <c r="O65" s="4" t="s">
        <v>1303</v>
      </c>
    </row>
    <row r="66" spans="1:15" ht="55.2" customHeight="1">
      <c r="A66" s="4" t="s">
        <v>876</v>
      </c>
      <c r="B66" s="4" t="s">
        <v>823</v>
      </c>
      <c r="C66" s="4" t="s">
        <v>1304</v>
      </c>
      <c r="D66" s="4" t="s">
        <v>1109</v>
      </c>
      <c r="E66" s="4" t="s">
        <v>1305</v>
      </c>
      <c r="F66" s="4">
        <v>4</v>
      </c>
      <c r="G66" s="4" t="s">
        <v>1306</v>
      </c>
      <c r="H66" s="4" t="s">
        <v>16</v>
      </c>
      <c r="I66" s="4" t="s">
        <v>1028</v>
      </c>
      <c r="J66" s="4" t="s">
        <v>1029</v>
      </c>
      <c r="K66" s="4" t="s">
        <v>1058</v>
      </c>
      <c r="L66" s="4" t="s">
        <v>1045</v>
      </c>
      <c r="M66" s="4">
        <v>3</v>
      </c>
      <c r="N66" s="4" t="s">
        <v>1106</v>
      </c>
      <c r="O66" s="4" t="s">
        <v>1307</v>
      </c>
    </row>
    <row r="67" spans="1:15" ht="55.2" customHeight="1">
      <c r="A67" s="4" t="s">
        <v>890</v>
      </c>
      <c r="B67" s="4" t="s">
        <v>891</v>
      </c>
      <c r="C67" s="4" t="s">
        <v>1308</v>
      </c>
      <c r="D67" s="4" t="s">
        <v>1103</v>
      </c>
      <c r="E67" s="4" t="s">
        <v>1309</v>
      </c>
      <c r="F67" s="4">
        <v>4</v>
      </c>
      <c r="G67" s="4" t="s">
        <v>405</v>
      </c>
      <c r="H67" s="4" t="s">
        <v>16</v>
      </c>
      <c r="I67" s="4" t="s">
        <v>1033</v>
      </c>
      <c r="J67" s="4" t="s">
        <v>1034</v>
      </c>
      <c r="K67" s="4" t="s">
        <v>1058</v>
      </c>
      <c r="L67" s="4" t="s">
        <v>1045</v>
      </c>
      <c r="M67" s="4">
        <v>3</v>
      </c>
      <c r="N67" s="4" t="s">
        <v>1310</v>
      </c>
      <c r="O67" s="4" t="s">
        <v>1107</v>
      </c>
    </row>
    <row r="68" spans="1:15" ht="55.2" customHeight="1">
      <c r="A68" s="4" t="s">
        <v>904</v>
      </c>
      <c r="B68" s="4" t="s">
        <v>891</v>
      </c>
      <c r="C68" s="4" t="s">
        <v>1311</v>
      </c>
      <c r="D68" s="4" t="s">
        <v>1103</v>
      </c>
      <c r="E68" s="4" t="s">
        <v>1312</v>
      </c>
      <c r="F68" s="4">
        <v>4</v>
      </c>
      <c r="G68" s="4" t="s">
        <v>190</v>
      </c>
      <c r="H68" s="4" t="s">
        <v>16</v>
      </c>
      <c r="I68" s="4" t="s">
        <v>1033</v>
      </c>
      <c r="J68" s="4" t="s">
        <v>1034</v>
      </c>
      <c r="K68" s="4" t="s">
        <v>1058</v>
      </c>
      <c r="L68" s="4" t="s">
        <v>1045</v>
      </c>
      <c r="M68" s="4">
        <v>3</v>
      </c>
      <c r="N68" s="4" t="s">
        <v>1310</v>
      </c>
      <c r="O68" s="4" t="s">
        <v>1313</v>
      </c>
    </row>
    <row r="69" spans="1:15" ht="55.2" customHeight="1">
      <c r="A69" s="4" t="s">
        <v>918</v>
      </c>
      <c r="B69" s="4" t="s">
        <v>891</v>
      </c>
      <c r="C69" s="4" t="s">
        <v>1314</v>
      </c>
      <c r="D69" s="4" t="s">
        <v>1103</v>
      </c>
      <c r="E69" s="4" t="s">
        <v>1315</v>
      </c>
      <c r="F69" s="4">
        <v>4</v>
      </c>
      <c r="G69" s="4" t="s">
        <v>487</v>
      </c>
      <c r="H69" s="4" t="s">
        <v>16</v>
      </c>
      <c r="I69" s="4" t="s">
        <v>1033</v>
      </c>
      <c r="J69" s="4" t="s">
        <v>1034</v>
      </c>
      <c r="K69" s="4" t="s">
        <v>1058</v>
      </c>
      <c r="L69" s="4" t="s">
        <v>1045</v>
      </c>
      <c r="M69" s="4">
        <v>3</v>
      </c>
      <c r="N69" s="4" t="s">
        <v>1310</v>
      </c>
      <c r="O69" s="4" t="s">
        <v>1107</v>
      </c>
    </row>
    <row r="70" spans="1:15" ht="55.2" customHeight="1">
      <c r="A70" s="4" t="s">
        <v>931</v>
      </c>
      <c r="B70" s="4" t="s">
        <v>891</v>
      </c>
      <c r="C70" s="4" t="s">
        <v>1316</v>
      </c>
      <c r="D70" s="4" t="s">
        <v>1103</v>
      </c>
      <c r="E70" s="4" t="s">
        <v>1317</v>
      </c>
      <c r="F70" s="4">
        <v>4</v>
      </c>
      <c r="G70" s="4" t="s">
        <v>645</v>
      </c>
      <c r="H70" s="4" t="s">
        <v>16</v>
      </c>
      <c r="I70" s="4" t="s">
        <v>1033</v>
      </c>
      <c r="J70" s="4" t="s">
        <v>1034</v>
      </c>
      <c r="K70" s="4" t="s">
        <v>1058</v>
      </c>
      <c r="L70" s="4" t="s">
        <v>1045</v>
      </c>
      <c r="M70" s="4">
        <v>3</v>
      </c>
      <c r="N70" s="4" t="s">
        <v>1310</v>
      </c>
      <c r="O70" s="4" t="s">
        <v>1107</v>
      </c>
    </row>
    <row r="71" spans="1:15" ht="41.4" customHeight="1">
      <c r="A71" s="4" t="s">
        <v>944</v>
      </c>
      <c r="B71" s="4" t="s">
        <v>945</v>
      </c>
      <c r="C71" s="4" t="s">
        <v>1318</v>
      </c>
      <c r="D71" s="4" t="s">
        <v>1125</v>
      </c>
      <c r="E71" s="4" t="s">
        <v>1319</v>
      </c>
      <c r="F71" s="4">
        <v>4</v>
      </c>
      <c r="G71" s="4" t="s">
        <v>12</v>
      </c>
      <c r="H71" s="4" t="s">
        <v>16</v>
      </c>
      <c r="I71" s="4" t="s">
        <v>1028</v>
      </c>
      <c r="J71" s="4" t="s">
        <v>1029</v>
      </c>
      <c r="K71" s="4" t="s">
        <v>1058</v>
      </c>
      <c r="L71" s="4" t="s">
        <v>1045</v>
      </c>
      <c r="M71" s="4">
        <v>3</v>
      </c>
      <c r="N71" s="4" t="s">
        <v>1320</v>
      </c>
      <c r="O71" s="4" t="s">
        <v>1107</v>
      </c>
    </row>
    <row r="72" spans="1:15" ht="55.2" customHeight="1">
      <c r="A72" s="4" t="s">
        <v>958</v>
      </c>
      <c r="B72" s="4" t="s">
        <v>945</v>
      </c>
      <c r="C72" s="4" t="s">
        <v>1321</v>
      </c>
      <c r="D72" s="4" t="s">
        <v>1125</v>
      </c>
      <c r="E72" s="4" t="s">
        <v>1322</v>
      </c>
      <c r="F72" s="4">
        <v>4</v>
      </c>
      <c r="G72" s="4" t="s">
        <v>149</v>
      </c>
      <c r="H72" s="4" t="s">
        <v>16</v>
      </c>
      <c r="I72" s="4" t="s">
        <v>1028</v>
      </c>
      <c r="J72" s="4" t="s">
        <v>1029</v>
      </c>
      <c r="K72" s="4" t="s">
        <v>1058</v>
      </c>
      <c r="L72" s="4" t="s">
        <v>1045</v>
      </c>
      <c r="M72" s="4">
        <v>3</v>
      </c>
      <c r="N72" s="4" t="s">
        <v>1323</v>
      </c>
      <c r="O72" s="4" t="s">
        <v>1107</v>
      </c>
    </row>
    <row r="73" spans="1:15" ht="82.8" customHeight="1">
      <c r="A73" s="4" t="s">
        <v>971</v>
      </c>
      <c r="B73" s="4" t="s">
        <v>945</v>
      </c>
      <c r="C73" s="4" t="s">
        <v>1324</v>
      </c>
      <c r="D73" s="4" t="s">
        <v>1230</v>
      </c>
      <c r="E73" s="4" t="s">
        <v>1325</v>
      </c>
      <c r="F73" s="4">
        <v>4</v>
      </c>
      <c r="G73" s="4" t="s">
        <v>1326</v>
      </c>
      <c r="H73" s="4" t="s">
        <v>16</v>
      </c>
      <c r="I73" s="4" t="s">
        <v>1028</v>
      </c>
      <c r="J73" s="4" t="s">
        <v>1029</v>
      </c>
      <c r="K73" s="4" t="s">
        <v>1058</v>
      </c>
      <c r="L73" s="4" t="s">
        <v>1045</v>
      </c>
      <c r="M73" s="4">
        <v>3</v>
      </c>
      <c r="N73" s="4" t="s">
        <v>1327</v>
      </c>
      <c r="O73" s="4" t="s">
        <v>1107</v>
      </c>
    </row>
    <row r="74" spans="1:15" ht="96.6" customHeight="1">
      <c r="A74" s="4" t="s">
        <v>984</v>
      </c>
      <c r="B74" s="4" t="s">
        <v>945</v>
      </c>
      <c r="C74" s="4" t="s">
        <v>1328</v>
      </c>
      <c r="D74" s="4" t="s">
        <v>1329</v>
      </c>
      <c r="E74" s="4" t="s">
        <v>1330</v>
      </c>
      <c r="F74" s="4">
        <v>4</v>
      </c>
      <c r="G74" s="4" t="s">
        <v>1105</v>
      </c>
      <c r="H74" s="4" t="s">
        <v>16</v>
      </c>
      <c r="I74" s="4" t="s">
        <v>1028</v>
      </c>
      <c r="J74" s="4" t="s">
        <v>1029</v>
      </c>
      <c r="K74" s="4" t="s">
        <v>1058</v>
      </c>
      <c r="L74" s="4" t="s">
        <v>1045</v>
      </c>
      <c r="M74" s="4">
        <v>3</v>
      </c>
      <c r="N74" s="4" t="s">
        <v>1331</v>
      </c>
      <c r="O74" s="4" t="s">
        <v>1107</v>
      </c>
    </row>
    <row r="75" spans="1:15" ht="220.8" customHeight="1">
      <c r="A75" s="4" t="s">
        <v>997</v>
      </c>
      <c r="B75" s="4" t="s">
        <v>945</v>
      </c>
      <c r="C75" s="4" t="s">
        <v>1332</v>
      </c>
      <c r="D75" s="4" t="s">
        <v>1329</v>
      </c>
      <c r="E75" s="4" t="s">
        <v>1333</v>
      </c>
      <c r="F75" s="4">
        <v>4</v>
      </c>
      <c r="G75" s="4" t="s">
        <v>1105</v>
      </c>
      <c r="H75" s="4" t="s">
        <v>16</v>
      </c>
      <c r="I75" s="4" t="s">
        <v>1028</v>
      </c>
      <c r="J75" s="4" t="s">
        <v>1029</v>
      </c>
      <c r="K75" s="4" t="s">
        <v>1058</v>
      </c>
      <c r="L75" s="4" t="s">
        <v>1045</v>
      </c>
      <c r="M75" s="4">
        <v>3</v>
      </c>
      <c r="N75" s="4" t="s">
        <v>1334</v>
      </c>
      <c r="O75" s="4" t="s">
        <v>1107</v>
      </c>
    </row>
    <row r="76" spans="1:15" ht="124.2" customHeight="1">
      <c r="A76" s="4" t="s">
        <v>1010</v>
      </c>
      <c r="B76" s="4" t="s">
        <v>945</v>
      </c>
      <c r="C76" s="4" t="s">
        <v>1335</v>
      </c>
      <c r="D76" s="4" t="s">
        <v>1336</v>
      </c>
      <c r="E76" s="4" t="s">
        <v>1337</v>
      </c>
      <c r="F76" s="4">
        <v>4</v>
      </c>
      <c r="G76" s="4" t="s">
        <v>1105</v>
      </c>
      <c r="H76" s="4" t="s">
        <v>16</v>
      </c>
      <c r="I76" s="4" t="s">
        <v>1028</v>
      </c>
      <c r="J76" s="4" t="s">
        <v>1029</v>
      </c>
      <c r="K76" s="4" t="s">
        <v>1058</v>
      </c>
      <c r="L76" s="4" t="s">
        <v>1045</v>
      </c>
      <c r="M76" s="4">
        <v>3</v>
      </c>
      <c r="N76" s="4" t="s">
        <v>1338</v>
      </c>
      <c r="O76" s="4" t="s">
        <v>1107</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1339</v>
      </c>
      <c r="B1" s="2" t="s">
        <v>1340</v>
      </c>
      <c r="C1" s="2" t="s">
        <v>1341</v>
      </c>
      <c r="D1" s="2" t="s">
        <v>1023</v>
      </c>
      <c r="E1" t="s">
        <v>1052</v>
      </c>
      <c r="F1" t="s">
        <v>1342</v>
      </c>
    </row>
    <row r="2" spans="1:6" ht="27.6" customHeight="1">
      <c r="A2" s="4" t="s">
        <v>1343</v>
      </c>
      <c r="B2" s="4" t="s">
        <v>1344</v>
      </c>
      <c r="C2" s="4" t="s">
        <v>1345</v>
      </c>
      <c r="D2" s="4" t="s">
        <v>1028</v>
      </c>
      <c r="E2" t="s">
        <v>1346</v>
      </c>
      <c r="F2" t="s">
        <v>1347</v>
      </c>
    </row>
    <row r="3" spans="1:6">
      <c r="A3" s="4" t="s">
        <v>1348</v>
      </c>
      <c r="B3" s="4" t="s">
        <v>1349</v>
      </c>
      <c r="C3" s="4" t="s">
        <v>1350</v>
      </c>
      <c r="D3" s="4" t="s">
        <v>1033</v>
      </c>
      <c r="E3" t="s">
        <v>1351</v>
      </c>
      <c r="F3" t="s">
        <v>1352</v>
      </c>
    </row>
    <row r="4" spans="1:6">
      <c r="A4" s="4" t="s">
        <v>1353</v>
      </c>
      <c r="B4" s="4" t="s">
        <v>1354</v>
      </c>
      <c r="C4" s="4" t="s">
        <v>1355</v>
      </c>
      <c r="D4" s="4" t="s">
        <v>1028</v>
      </c>
      <c r="E4" t="s">
        <v>15</v>
      </c>
      <c r="F4" t="s">
        <v>1356</v>
      </c>
    </row>
    <row r="5" spans="1:6">
      <c r="A5" s="4" t="s">
        <v>1357</v>
      </c>
      <c r="B5" s="4" t="s">
        <v>1358</v>
      </c>
      <c r="C5" s="4" t="s">
        <v>1359</v>
      </c>
      <c r="D5" s="4" t="s">
        <v>1028</v>
      </c>
      <c r="E5" t="s">
        <v>15</v>
      </c>
      <c r="F5" t="s">
        <v>1360</v>
      </c>
    </row>
    <row r="6" spans="1:6">
      <c r="A6" s="4" t="s">
        <v>1361</v>
      </c>
      <c r="B6" s="4" t="s">
        <v>1362</v>
      </c>
      <c r="C6" s="4" t="s">
        <v>1363</v>
      </c>
      <c r="D6" s="4" t="s">
        <v>1028</v>
      </c>
      <c r="E6" t="s">
        <v>15</v>
      </c>
      <c r="F6" t="s">
        <v>1364</v>
      </c>
    </row>
    <row r="7" spans="1:6" ht="27.6" customHeight="1">
      <c r="A7" s="4" t="s">
        <v>1365</v>
      </c>
      <c r="B7" s="4" t="s">
        <v>1366</v>
      </c>
      <c r="C7" s="4" t="s">
        <v>1367</v>
      </c>
      <c r="D7" s="4" t="s">
        <v>1028</v>
      </c>
      <c r="E7" t="s">
        <v>15</v>
      </c>
      <c r="F7" t="s">
        <v>1368</v>
      </c>
    </row>
    <row r="8" spans="1:6">
      <c r="A8" s="4" t="s">
        <v>1369</v>
      </c>
      <c r="B8" s="4" t="s">
        <v>1370</v>
      </c>
      <c r="C8" s="4" t="s">
        <v>1371</v>
      </c>
      <c r="D8" s="4" t="s">
        <v>1028</v>
      </c>
      <c r="E8" t="s">
        <v>15</v>
      </c>
      <c r="F8" t="s">
        <v>1372</v>
      </c>
    </row>
    <row r="9" spans="1:6">
      <c r="A9" s="4" t="s">
        <v>1373</v>
      </c>
      <c r="B9" s="4" t="s">
        <v>1374</v>
      </c>
      <c r="C9" s="4" t="s">
        <v>1375</v>
      </c>
      <c r="D9" s="4" t="s">
        <v>1028</v>
      </c>
      <c r="E9" t="s">
        <v>15</v>
      </c>
      <c r="F9" t="s">
        <v>1376</v>
      </c>
    </row>
    <row r="10" spans="1:6">
      <c r="A10" s="4" t="s">
        <v>1377</v>
      </c>
      <c r="B10" s="4" t="s">
        <v>1378</v>
      </c>
      <c r="C10" s="4" t="s">
        <v>1379</v>
      </c>
      <c r="D10" s="4" t="s">
        <v>1033</v>
      </c>
      <c r="E10" t="s">
        <v>1380</v>
      </c>
      <c r="F10" t="s">
        <v>1381</v>
      </c>
    </row>
    <row r="11" spans="1:6" ht="27.6" customHeight="1">
      <c r="A11" s="4" t="s">
        <v>1382</v>
      </c>
      <c r="B11" s="4" t="s">
        <v>1383</v>
      </c>
      <c r="C11" s="4" t="s">
        <v>1384</v>
      </c>
      <c r="D11" s="4" t="s">
        <v>1033</v>
      </c>
      <c r="E11" t="s">
        <v>1346</v>
      </c>
      <c r="F11" t="s">
        <v>1385</v>
      </c>
    </row>
    <row r="12" spans="1:6" ht="27.6" customHeight="1">
      <c r="A12" s="4" t="s">
        <v>1386</v>
      </c>
      <c r="B12" s="4" t="s">
        <v>1387</v>
      </c>
      <c r="C12" s="4" t="s">
        <v>1388</v>
      </c>
      <c r="D12" s="4" t="s">
        <v>1028</v>
      </c>
      <c r="E12" t="s">
        <v>15</v>
      </c>
      <c r="F12" t="s">
        <v>1389</v>
      </c>
    </row>
    <row r="13" spans="1:6">
      <c r="A13" s="4" t="s">
        <v>1390</v>
      </c>
      <c r="B13" s="4" t="s">
        <v>1391</v>
      </c>
      <c r="C13" s="4" t="s">
        <v>1392</v>
      </c>
      <c r="D13" s="4" t="s">
        <v>1028</v>
      </c>
      <c r="E13" t="s">
        <v>15</v>
      </c>
      <c r="F13" t="s">
        <v>1393</v>
      </c>
    </row>
    <row r="14" spans="1:6">
      <c r="A14" s="4" t="s">
        <v>1394</v>
      </c>
      <c r="B14" s="4" t="s">
        <v>1395</v>
      </c>
      <c r="C14" s="4" t="s">
        <v>1396</v>
      </c>
      <c r="D14" s="4" t="s">
        <v>1033</v>
      </c>
      <c r="E14" t="s">
        <v>1397</v>
      </c>
      <c r="F14" t="s">
        <v>1398</v>
      </c>
    </row>
    <row r="15" spans="1:6">
      <c r="A15" s="4" t="s">
        <v>1399</v>
      </c>
      <c r="B15" s="4" t="s">
        <v>1400</v>
      </c>
      <c r="C15" s="4" t="s">
        <v>1401</v>
      </c>
      <c r="D15" s="4" t="s">
        <v>1033</v>
      </c>
      <c r="E15" t="s">
        <v>15</v>
      </c>
      <c r="F15" t="s">
        <v>1402</v>
      </c>
    </row>
    <row r="16" spans="1:6">
      <c r="A16" s="4" t="s">
        <v>1403</v>
      </c>
      <c r="B16" s="4" t="s">
        <v>1404</v>
      </c>
      <c r="C16" s="4" t="s">
        <v>1405</v>
      </c>
      <c r="D16" s="4" t="s">
        <v>1028</v>
      </c>
      <c r="E16" t="s">
        <v>15</v>
      </c>
      <c r="F16" t="s">
        <v>1406</v>
      </c>
    </row>
    <row r="17" spans="1:6">
      <c r="A17" s="4" t="s">
        <v>1407</v>
      </c>
      <c r="B17" s="4" t="s">
        <v>1408</v>
      </c>
      <c r="C17" s="4" t="s">
        <v>1409</v>
      </c>
      <c r="D17" s="4" t="s">
        <v>1028</v>
      </c>
      <c r="E17" t="s">
        <v>15</v>
      </c>
      <c r="F17" t="s">
        <v>1410</v>
      </c>
    </row>
    <row r="20" spans="1:6" ht="24" customHeight="1">
      <c r="A20" s="2" t="s">
        <v>1411</v>
      </c>
      <c r="B20" s="2" t="s">
        <v>1412</v>
      </c>
    </row>
    <row r="21" spans="1:6" ht="27.6" customHeight="1">
      <c r="A21" s="4" t="s">
        <v>1413</v>
      </c>
      <c r="B21" s="4" t="s">
        <v>1414</v>
      </c>
      <c r="E21" t="s">
        <v>15</v>
      </c>
      <c r="F21" t="s">
        <v>1415</v>
      </c>
    </row>
    <row r="22" spans="1:6">
      <c r="A22" s="4" t="s">
        <v>1416</v>
      </c>
      <c r="B22" s="4" t="s">
        <v>1417</v>
      </c>
      <c r="E22" t="s">
        <v>15</v>
      </c>
      <c r="F22" t="s">
        <v>1418</v>
      </c>
    </row>
    <row r="23" spans="1:6">
      <c r="A23" s="4" t="s">
        <v>1419</v>
      </c>
      <c r="B23" s="4" t="s">
        <v>1420</v>
      </c>
      <c r="E23" t="s">
        <v>15</v>
      </c>
      <c r="F23" t="s">
        <v>1421</v>
      </c>
    </row>
    <row r="24" spans="1:6">
      <c r="A24" s="4" t="s">
        <v>1422</v>
      </c>
      <c r="B24" s="4" t="s">
        <v>1423</v>
      </c>
      <c r="E24" t="s">
        <v>15</v>
      </c>
      <c r="F24" t="s">
        <v>1424</v>
      </c>
    </row>
    <row r="25" spans="1:6">
      <c r="A25" s="4" t="s">
        <v>1425</v>
      </c>
      <c r="B25" s="4" t="s">
        <v>1426</v>
      </c>
      <c r="E25" t="s">
        <v>15</v>
      </c>
      <c r="F25" t="s">
        <v>1427</v>
      </c>
    </row>
    <row r="26" spans="1:6">
      <c r="A26" s="4" t="s">
        <v>1428</v>
      </c>
      <c r="B26" s="4" t="s">
        <v>1429</v>
      </c>
      <c r="E26" t="s">
        <v>15</v>
      </c>
      <c r="F26" t="s">
        <v>1430</v>
      </c>
    </row>
    <row r="27" spans="1:6">
      <c r="A27" s="4" t="s">
        <v>1431</v>
      </c>
      <c r="B27" s="4" t="s">
        <v>1432</v>
      </c>
      <c r="E27" t="s">
        <v>15</v>
      </c>
      <c r="F27" t="s">
        <v>1433</v>
      </c>
    </row>
    <row r="28" spans="1:6">
      <c r="A28" s="4" t="s">
        <v>1434</v>
      </c>
      <c r="B28" s="4" t="s">
        <v>1435</v>
      </c>
      <c r="E28" t="s">
        <v>15</v>
      </c>
      <c r="F28" t="s">
        <v>1436</v>
      </c>
    </row>
    <row r="29" spans="1:6">
      <c r="A29" s="4" t="s">
        <v>1437</v>
      </c>
      <c r="B29" s="4" t="s">
        <v>1438</v>
      </c>
      <c r="E29" t="s">
        <v>15</v>
      </c>
      <c r="F29" t="s">
        <v>1439</v>
      </c>
    </row>
    <row r="30" spans="1:6">
      <c r="A30" s="4" t="s">
        <v>1440</v>
      </c>
      <c r="B30" s="4" t="s">
        <v>1441</v>
      </c>
      <c r="E30" t="s">
        <v>15</v>
      </c>
      <c r="F30" t="s">
        <v>1442</v>
      </c>
    </row>
    <row r="31" spans="1:6">
      <c r="A31" s="4" t="s">
        <v>1443</v>
      </c>
      <c r="B31" s="4" t="s">
        <v>1444</v>
      </c>
      <c r="E31" t="s">
        <v>15</v>
      </c>
      <c r="F31" t="s">
        <v>1445</v>
      </c>
    </row>
    <row r="32" spans="1:6">
      <c r="A32" s="4" t="s">
        <v>1446</v>
      </c>
      <c r="B32" s="4" t="s">
        <v>1447</v>
      </c>
      <c r="E32" t="s">
        <v>15</v>
      </c>
      <c r="F32" t="s">
        <v>1448</v>
      </c>
    </row>
    <row r="33" spans="1:6" ht="27.6" customHeight="1">
      <c r="A33" s="4" t="s">
        <v>1449</v>
      </c>
      <c r="B33" s="4" t="s">
        <v>1450</v>
      </c>
      <c r="E33" t="s">
        <v>15</v>
      </c>
      <c r="F33" t="s">
        <v>1451</v>
      </c>
    </row>
    <row r="34" spans="1:6" ht="27.6" customHeight="1">
      <c r="A34" s="4" t="s">
        <v>1452</v>
      </c>
      <c r="B34" s="4" t="s">
        <v>1453</v>
      </c>
      <c r="E34" t="s">
        <v>15</v>
      </c>
      <c r="F34" t="s">
        <v>1454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1455</v>
      </c>
      <c r="B1" s="2" t="s">
        <v>1456</v>
      </c>
      <c r="C1" s="2" t="s">
        <v>1457</v>
      </c>
    </row>
    <row r="2" spans="1:3" ht="27.6" customHeight="1">
      <c r="A2" s="4" t="s">
        <v>1458</v>
      </c>
      <c r="B2" s="4" t="s">
        <v>1459</v>
      </c>
      <c r="C2" s="4" t="s">
        <v>1460</v>
      </c>
    </row>
    <row r="3" spans="1:3">
      <c r="A3" s="4" t="s">
        <v>1461</v>
      </c>
      <c r="B3" s="4" t="s">
        <v>1462</v>
      </c>
      <c r="C3" s="4" t="s">
        <v>1463</v>
      </c>
    </row>
    <row r="4" spans="1:3">
      <c r="A4" s="4" t="s">
        <v>1464</v>
      </c>
      <c r="B4" s="4" t="s">
        <v>1465</v>
      </c>
      <c r="C4" s="4" t="s">
        <v>1466</v>
      </c>
    </row>
    <row r="5" spans="1:3">
      <c r="A5" s="4" t="s">
        <v>1467</v>
      </c>
      <c r="B5" s="4" t="s">
        <v>1468</v>
      </c>
      <c r="C5" s="4" t="s">
        <v>1469</v>
      </c>
    </row>
    <row r="6" spans="1:3">
      <c r="A6" s="4" t="s">
        <v>1470</v>
      </c>
      <c r="B6" s="4" t="s">
        <v>1471</v>
      </c>
      <c r="C6" s="4" t="s">
        <v>1472</v>
      </c>
    </row>
    <row r="7" spans="1:3">
      <c r="A7" s="4" t="s">
        <v>1473</v>
      </c>
      <c r="B7" s="4" t="s">
        <v>1474</v>
      </c>
      <c r="C7" s="4" t="s">
        <v>1475</v>
      </c>
    </row>
    <row r="8" spans="1:3">
      <c r="A8" s="4" t="s">
        <v>1476</v>
      </c>
      <c r="B8" s="4" t="s">
        <v>1477</v>
      </c>
      <c r="C8" s="4" t="s">
        <v>1478</v>
      </c>
    </row>
    <row r="9" spans="1:3" ht="27.6" customHeight="1">
      <c r="A9" s="4" t="s">
        <v>1479</v>
      </c>
      <c r="B9" s="4" t="s">
        <v>1480</v>
      </c>
      <c r="C9" s="4" t="s">
        <v>1481</v>
      </c>
    </row>
    <row r="10" spans="1:3" ht="27.6" customHeight="1">
      <c r="A10" s="4" t="s">
        <v>1482</v>
      </c>
      <c r="B10" s="4" t="s">
        <v>1483</v>
      </c>
      <c r="C10" s="4" t="s">
        <v>1484</v>
      </c>
    </row>
    <row r="11" spans="1:3">
      <c r="A11" s="4" t="s">
        <v>1485</v>
      </c>
      <c r="B11" s="4" t="s">
        <v>1486</v>
      </c>
      <c r="C11" s="4" t="s">
        <v>1487</v>
      </c>
    </row>
    <row r="12" spans="1:3" ht="27.6" customHeight="1">
      <c r="A12" s="4" t="s">
        <v>1488</v>
      </c>
      <c r="B12" s="4" t="s">
        <v>1489</v>
      </c>
      <c r="C12" s="4" t="s">
        <v>1490</v>
      </c>
    </row>
    <row r="13" spans="1:3">
      <c r="A13" s="4" t="s">
        <v>1408</v>
      </c>
      <c r="B13" s="4" t="s">
        <v>1491</v>
      </c>
      <c r="C13" s="4" t="s">
        <v>1492</v>
      </c>
    </row>
    <row r="14" spans="1:3">
      <c r="A14" s="4" t="s">
        <v>1493</v>
      </c>
      <c r="B14" s="4" t="s">
        <v>1494</v>
      </c>
      <c r="C14" s="4" t="s">
        <v>1495</v>
      </c>
    </row>
    <row r="15" spans="1:3">
      <c r="A15" s="4" t="s">
        <v>1496</v>
      </c>
      <c r="B15" s="4" t="s">
        <v>1497</v>
      </c>
      <c r="C15" s="4" t="s">
        <v>1498</v>
      </c>
    </row>
    <row r="16" spans="1:3">
      <c r="A16" s="4" t="s">
        <v>1499</v>
      </c>
      <c r="B16" s="4" t="s">
        <v>1500</v>
      </c>
      <c r="C16" s="4" t="s">
        <v>1501</v>
      </c>
    </row>
    <row r="17" spans="1:3" ht="27.6" customHeight="1">
      <c r="A17" s="4" t="s">
        <v>1502</v>
      </c>
      <c r="B17" s="4" t="s">
        <v>1503</v>
      </c>
      <c r="C17" s="4" t="s">
        <v>1504</v>
      </c>
    </row>
    <row r="18" spans="1:3" ht="27.6" customHeight="1">
      <c r="A18" s="4" t="s">
        <v>1505</v>
      </c>
      <c r="B18" s="4" t="s">
        <v>1506</v>
      </c>
      <c r="C18" s="4" t="s">
        <v>1507</v>
      </c>
    </row>
    <row r="19" spans="1:3" ht="27.6" customHeight="1">
      <c r="A19" s="4" t="s">
        <v>1508</v>
      </c>
      <c r="B19" s="4" t="s">
        <v>1509</v>
      </c>
      <c r="C19" s="4" t="s">
        <v>1510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1511</v>
      </c>
      <c r="B1" s="2" t="s">
        <v>1512</v>
      </c>
      <c r="C1" s="2" t="s">
        <v>1513</v>
      </c>
    </row>
    <row r="2" spans="1:3">
      <c r="A2" s="4" t="s">
        <v>1514</v>
      </c>
      <c r="B2" s="4" t="s">
        <v>1112</v>
      </c>
      <c r="C2" s="4" t="s">
        <v>1045</v>
      </c>
    </row>
    <row r="3" spans="1:3">
      <c r="A3" s="4" t="s">
        <v>1515</v>
      </c>
      <c r="B3" s="4" t="s">
        <v>1516</v>
      </c>
      <c r="C3" s="4" t="s">
        <v>1045</v>
      </c>
    </row>
    <row r="4" spans="1:3">
      <c r="A4" s="4" t="s">
        <v>1517</v>
      </c>
      <c r="B4" s="4" t="s">
        <v>1518</v>
      </c>
      <c r="C4" s="4" t="s">
        <v>1045</v>
      </c>
    </row>
    <row r="5" spans="1:3">
      <c r="A5" s="4" t="s">
        <v>1519</v>
      </c>
      <c r="B5" s="4" t="s">
        <v>1520</v>
      </c>
      <c r="C5" s="4" t="s">
        <v>1045</v>
      </c>
    </row>
    <row r="6" spans="1:3">
      <c r="A6" s="4" t="s">
        <v>1521</v>
      </c>
      <c r="B6" s="4" t="s">
        <v>1522</v>
      </c>
      <c r="C6" s="4" t="s">
        <v>1045</v>
      </c>
    </row>
    <row r="7" spans="1:3">
      <c r="A7" s="4" t="s">
        <v>1523</v>
      </c>
      <c r="B7" s="4" t="s">
        <v>1524</v>
      </c>
      <c r="C7" s="4" t="s">
        <v>1045</v>
      </c>
    </row>
    <row r="8" spans="1:3">
      <c r="A8" s="4" t="s">
        <v>1525</v>
      </c>
      <c r="B8" s="4" t="s">
        <v>1526</v>
      </c>
      <c r="C8" s="4" t="s">
        <v>1045</v>
      </c>
    </row>
    <row r="9" spans="1:3">
      <c r="A9" s="4" t="s">
        <v>1527</v>
      </c>
      <c r="B9" s="4" t="s">
        <v>1528</v>
      </c>
      <c r="C9" s="4" t="s">
        <v>1045</v>
      </c>
    </row>
    <row r="10" spans="1:3">
      <c r="A10" s="4" t="s">
        <v>1529</v>
      </c>
      <c r="B10" s="4" t="s">
        <v>1530</v>
      </c>
      <c r="C10" s="4" t="s">
        <v>1045</v>
      </c>
    </row>
    <row r="11" spans="1:3">
      <c r="A11" s="4" t="s">
        <v>1531</v>
      </c>
      <c r="B11" s="4" t="s">
        <v>1532</v>
      </c>
      <c r="C11" s="4" t="s">
        <v>1045</v>
      </c>
    </row>
    <row r="12" spans="1:3">
      <c r="A12" s="4" t="s">
        <v>1533</v>
      </c>
      <c r="B12" s="4" t="s">
        <v>1534</v>
      </c>
      <c r="C12" s="4" t="s">
        <v>1045</v>
      </c>
    </row>
    <row r="13" spans="1:3">
      <c r="A13" s="4" t="s">
        <v>1535</v>
      </c>
      <c r="B13" s="4" t="s">
        <v>1536</v>
      </c>
      <c r="C13" s="4" t="s">
        <v>1045</v>
      </c>
    </row>
    <row r="14" spans="1:3">
      <c r="A14" s="4" t="s">
        <v>1537</v>
      </c>
      <c r="B14" s="4" t="s">
        <v>1538</v>
      </c>
      <c r="C14" s="4" t="s">
        <v>1045</v>
      </c>
    </row>
    <row r="15" spans="1:3">
      <c r="A15" s="4" t="s">
        <v>1539</v>
      </c>
      <c r="B15" s="4" t="s">
        <v>1069</v>
      </c>
      <c r="C15" s="4" t="s">
        <v>1045</v>
      </c>
    </row>
    <row r="16" spans="1:3">
      <c r="A16" s="4" t="s">
        <v>1540</v>
      </c>
      <c r="B16" s="4" t="s">
        <v>1541</v>
      </c>
      <c r="C16" s="4" t="s">
        <v>1045</v>
      </c>
    </row>
    <row r="17" spans="1:3">
      <c r="A17" s="4" t="s">
        <v>1542</v>
      </c>
      <c r="B17" s="4" t="s">
        <v>1543</v>
      </c>
      <c r="C17" s="4" t="s">
        <v>1045</v>
      </c>
    </row>
    <row r="18" spans="1:3">
      <c r="A18" s="4" t="s">
        <v>1544</v>
      </c>
      <c r="B18" s="4" t="s">
        <v>1545</v>
      </c>
      <c r="C18" s="4" t="s">
        <v>1045</v>
      </c>
    </row>
    <row r="19" spans="1:3">
      <c r="A19" s="4" t="s">
        <v>1546</v>
      </c>
      <c r="B19" s="4" t="s">
        <v>1547</v>
      </c>
      <c r="C19" s="4" t="s">
        <v>1045</v>
      </c>
    </row>
    <row r="20" spans="1:3">
      <c r="A20" s="4" t="s">
        <v>1548</v>
      </c>
      <c r="B20" s="4" t="s">
        <v>1549</v>
      </c>
      <c r="C20" s="4" t="s">
        <v>1045</v>
      </c>
    </row>
    <row r="21" spans="1:3">
      <c r="A21" s="4" t="s">
        <v>1550</v>
      </c>
      <c r="B21" s="4" t="s">
        <v>1551</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1552</v>
      </c>
      <c r="D1" s="2" t="s">
        <v>1553</v>
      </c>
      <c r="E1" s="2" t="s">
        <v>1022</v>
      </c>
      <c r="F1" s="2" t="s">
        <v>1554</v>
      </c>
      <c r="G1" s="2" t="s">
        <v>1555</v>
      </c>
      <c r="H1" s="2" t="s">
        <v>1556</v>
      </c>
      <c r="I1" s="2" t="s">
        <v>1557</v>
      </c>
      <c r="J1" s="2" t="s">
        <v>1558</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1559</v>
      </c>
      <c r="B1" s="2" t="s">
        <v>1560</v>
      </c>
      <c r="C1" s="2" t="s">
        <v>1561</v>
      </c>
      <c r="D1" s="2" t="s">
        <v>1562</v>
      </c>
      <c r="E1" s="2" t="s">
        <v>1563</v>
      </c>
      <c r="F1" s="2" t="s">
        <v>1051</v>
      </c>
      <c r="G1" s="2" t="s">
        <v>1052</v>
      </c>
      <c r="H1" s="2" t="s">
        <v>1564</v>
      </c>
      <c r="I1" s="2" t="s">
        <v>1055</v>
      </c>
    </row>
    <row r="2" spans="1:9" ht="82.8" customHeight="1">
      <c r="A2" s="4" t="s">
        <v>1565</v>
      </c>
      <c r="B2" s="4" t="s">
        <v>1566</v>
      </c>
      <c r="C2" s="4" t="s">
        <v>1567</v>
      </c>
      <c r="D2" s="4" t="s">
        <v>1568</v>
      </c>
      <c r="E2" s="4" t="s">
        <v>1569</v>
      </c>
      <c r="F2" s="4" t="s">
        <v>16</v>
      </c>
      <c r="G2" s="4" t="s">
        <v>1035</v>
      </c>
      <c r="H2" s="4"/>
      <c r="I2" s="4" t="s">
        <v>1570</v>
      </c>
    </row>
    <row r="3" spans="1:9" ht="138" customHeight="1">
      <c r="A3" s="4" t="s">
        <v>1571</v>
      </c>
      <c r="B3" s="4" t="s">
        <v>1572</v>
      </c>
      <c r="C3" s="4" t="s">
        <v>1568</v>
      </c>
      <c r="D3" s="4" t="s">
        <v>1567</v>
      </c>
      <c r="E3" s="4" t="s">
        <v>1573</v>
      </c>
      <c r="F3" s="4" t="s">
        <v>16</v>
      </c>
      <c r="G3" s="4" t="s">
        <v>1035</v>
      </c>
      <c r="H3" s="4"/>
      <c r="I3" s="4" t="s">
        <v>1574</v>
      </c>
    </row>
    <row r="4" spans="1:9" ht="55.2" customHeight="1">
      <c r="A4" s="4" t="s">
        <v>1575</v>
      </c>
      <c r="B4" s="4" t="s">
        <v>1576</v>
      </c>
      <c r="C4" s="4" t="s">
        <v>1567</v>
      </c>
      <c r="D4" s="4" t="s">
        <v>1568</v>
      </c>
      <c r="E4" s="4" t="s">
        <v>1577</v>
      </c>
      <c r="F4" s="4" t="s">
        <v>16</v>
      </c>
      <c r="G4" s="4" t="s">
        <v>1035</v>
      </c>
      <c r="H4" s="4"/>
      <c r="I4" s="4" t="s">
        <v>1578</v>
      </c>
    </row>
    <row r="5" spans="1:9" ht="27.6" customHeight="1">
      <c r="A5" s="4" t="s">
        <v>1579</v>
      </c>
      <c r="B5" s="4" t="s">
        <v>1580</v>
      </c>
      <c r="C5" s="4" t="s">
        <v>1567</v>
      </c>
      <c r="D5" s="4" t="s">
        <v>1568</v>
      </c>
      <c r="E5" s="4" t="s">
        <v>1581</v>
      </c>
      <c r="F5" s="4" t="s">
        <v>16</v>
      </c>
      <c r="G5" s="4" t="s">
        <v>1035</v>
      </c>
      <c r="H5" s="4"/>
      <c r="I5" s="4" t="s">
        <v>1582</v>
      </c>
    </row>
    <row r="6" spans="1:9" ht="69" customHeight="1">
      <c r="A6" s="4" t="s">
        <v>1583</v>
      </c>
      <c r="B6" s="4" t="s">
        <v>1584</v>
      </c>
      <c r="C6" s="4" t="s">
        <v>1567</v>
      </c>
      <c r="D6" s="4" t="s">
        <v>1585</v>
      </c>
      <c r="E6" s="4" t="s">
        <v>1586</v>
      </c>
      <c r="F6" s="4" t="s">
        <v>16</v>
      </c>
      <c r="G6" s="4" t="s">
        <v>1035</v>
      </c>
      <c r="H6" s="4"/>
      <c r="I6" s="4" t="s">
        <v>1587</v>
      </c>
    </row>
    <row r="7" spans="1:9" ht="27.6" customHeight="1">
      <c r="A7" s="4" t="s">
        <v>1588</v>
      </c>
      <c r="B7" s="4" t="s">
        <v>1589</v>
      </c>
      <c r="C7" s="4" t="s">
        <v>1567</v>
      </c>
      <c r="D7" s="4" t="s">
        <v>1585</v>
      </c>
      <c r="E7" s="4" t="s">
        <v>1590</v>
      </c>
      <c r="F7" s="4" t="s">
        <v>16</v>
      </c>
      <c r="G7" s="4" t="s">
        <v>1035</v>
      </c>
      <c r="H7" s="4"/>
      <c r="I7" s="4" t="s">
        <v>1591</v>
      </c>
    </row>
    <row r="8" spans="1:9">
      <c r="A8" t="s">
        <v>1592</v>
      </c>
      <c r="B8" t="s">
        <v>1593</v>
      </c>
      <c r="C8" t="s">
        <v>1585</v>
      </c>
      <c r="D8" t="s">
        <v>1568</v>
      </c>
      <c r="E8" t="s">
        <v>1594</v>
      </c>
      <c r="F8" t="s">
        <v>16</v>
      </c>
      <c r="G8" t="s">
        <v>1035</v>
      </c>
      <c r="I8" t="s">
        <v>1595</v>
      </c>
    </row>
    <row r="9" spans="1:9">
      <c r="A9" t="s">
        <v>1596</v>
      </c>
      <c r="B9" t="s">
        <v>1597</v>
      </c>
      <c r="C9" t="s">
        <v>1567</v>
      </c>
      <c r="D9" t="s">
        <v>1585</v>
      </c>
      <c r="E9" t="s">
        <v>1598</v>
      </c>
      <c r="F9" t="s">
        <v>16</v>
      </c>
      <c r="G9" t="s">
        <v>1044</v>
      </c>
      <c r="I9" t="s">
        <v>1599</v>
      </c>
    </row>
    <row r="10" spans="1:9">
      <c r="A10" t="s">
        <v>1600</v>
      </c>
      <c r="B10" t="s">
        <v>1601</v>
      </c>
      <c r="C10" t="s">
        <v>1567</v>
      </c>
      <c r="D10" t="s">
        <v>1567</v>
      </c>
      <c r="E10" t="s">
        <v>1602</v>
      </c>
      <c r="F10" t="s">
        <v>16</v>
      </c>
      <c r="G10" t="s">
        <v>1031</v>
      </c>
      <c r="H10" t="s">
        <v>1603</v>
      </c>
      <c r="I10" t="s">
        <v>1604</v>
      </c>
    </row>
    <row r="11" spans="1:9">
      <c r="A11" t="s">
        <v>1605</v>
      </c>
      <c r="B11" t="s">
        <v>1606</v>
      </c>
      <c r="C11" t="s">
        <v>1568</v>
      </c>
      <c r="D11" t="s">
        <v>1567</v>
      </c>
      <c r="E11" t="s">
        <v>1607</v>
      </c>
      <c r="F11" t="s">
        <v>16</v>
      </c>
      <c r="G11" t="s">
        <v>1044</v>
      </c>
      <c r="H11" t="s">
        <v>1608</v>
      </c>
      <c r="I11" t="s">
        <v>1609</v>
      </c>
    </row>
    <row r="12" spans="1:9">
      <c r="A12" t="s">
        <v>1610</v>
      </c>
      <c r="B12" t="s">
        <v>1611</v>
      </c>
      <c r="C12" t="s">
        <v>1585</v>
      </c>
      <c r="D12" t="s">
        <v>1585</v>
      </c>
      <c r="E12" t="s">
        <v>1612</v>
      </c>
      <c r="F12" t="s">
        <v>16</v>
      </c>
      <c r="G12" t="s">
        <v>1044</v>
      </c>
      <c r="I12" t="s">
        <v>1613</v>
      </c>
    </row>
    <row r="13" spans="1:9">
      <c r="A13" t="s">
        <v>1614</v>
      </c>
      <c r="B13" t="s">
        <v>1615</v>
      </c>
      <c r="C13" t="s">
        <v>1568</v>
      </c>
      <c r="D13" t="s">
        <v>1568</v>
      </c>
      <c r="E13" t="s">
        <v>1616</v>
      </c>
      <c r="F13" t="s">
        <v>16</v>
      </c>
      <c r="G13" t="s">
        <v>1044</v>
      </c>
      <c r="H13" t="s">
        <v>1617</v>
      </c>
      <c r="I13" t="s">
        <v>1618</v>
      </c>
    </row>
    <row r="14" spans="1:9">
      <c r="A14" t="s">
        <v>1619</v>
      </c>
      <c r="B14" t="s">
        <v>1620</v>
      </c>
      <c r="C14" t="s">
        <v>1585</v>
      </c>
      <c r="D14" t="s">
        <v>1568</v>
      </c>
      <c r="E14" t="s">
        <v>1621</v>
      </c>
      <c r="F14" t="s">
        <v>16</v>
      </c>
      <c r="G14" t="s">
        <v>1044</v>
      </c>
      <c r="I14" t="s">
        <v>1622</v>
      </c>
    </row>
    <row r="15" spans="1:9">
      <c r="A15" t="s">
        <v>1623</v>
      </c>
      <c r="B15" t="s">
        <v>1624</v>
      </c>
      <c r="C15" t="s">
        <v>1567</v>
      </c>
      <c r="D15" t="s">
        <v>1585</v>
      </c>
      <c r="E15" t="s">
        <v>1625</v>
      </c>
      <c r="F15" t="s">
        <v>16</v>
      </c>
      <c r="G15" t="s">
        <v>1044</v>
      </c>
      <c r="H15" t="s">
        <v>1626</v>
      </c>
      <c r="I15" t="s">
        <v>1627</v>
      </c>
    </row>
    <row r="16" spans="1:9">
      <c r="A16" t="s">
        <v>1628</v>
      </c>
      <c r="B16" t="s">
        <v>1629</v>
      </c>
      <c r="C16" t="s">
        <v>1568</v>
      </c>
      <c r="D16" t="s">
        <v>1585</v>
      </c>
      <c r="E16" t="s">
        <v>1630</v>
      </c>
      <c r="F16" t="s">
        <v>16</v>
      </c>
      <c r="G16" t="s">
        <v>1044</v>
      </c>
      <c r="H16" t="s">
        <v>1631</v>
      </c>
      <c r="I16" t="s">
        <v>1632</v>
      </c>
    </row>
    <row r="17" spans="1:9">
      <c r="A17" t="s">
        <v>1633</v>
      </c>
      <c r="B17" t="s">
        <v>1634</v>
      </c>
      <c r="C17" t="s">
        <v>1585</v>
      </c>
      <c r="D17" t="s">
        <v>1568</v>
      </c>
      <c r="E17" t="s">
        <v>1635</v>
      </c>
      <c r="F17" t="s">
        <v>16</v>
      </c>
      <c r="G17" t="s">
        <v>1044</v>
      </c>
      <c r="H17" t="s">
        <v>1636</v>
      </c>
      <c r="I17" t="s">
        <v>1637</v>
      </c>
    </row>
    <row r="18" spans="1:9">
      <c r="A18" t="s">
        <v>1638</v>
      </c>
      <c r="B18" t="s">
        <v>1639</v>
      </c>
      <c r="C18" t="s">
        <v>1568</v>
      </c>
      <c r="D18" t="s">
        <v>1567</v>
      </c>
      <c r="E18" t="s">
        <v>1640</v>
      </c>
      <c r="F18" t="s">
        <v>16</v>
      </c>
      <c r="G18" t="s">
        <v>1044</v>
      </c>
      <c r="H18" t="s">
        <v>1641</v>
      </c>
      <c r="I18" t="s">
        <v>1642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1643</v>
      </c>
      <c r="C1" s="2" t="s">
        <v>1644</v>
      </c>
      <c r="D1" s="2" t="s">
        <v>1645</v>
      </c>
      <c r="E1" s="2" t="s">
        <v>1646</v>
      </c>
      <c r="F1" s="2" t="s">
        <v>1052</v>
      </c>
    </row>
    <row r="2" spans="1:6" ht="27.6" customHeight="1">
      <c r="A2" s="4" t="s">
        <v>1029</v>
      </c>
      <c r="B2" s="4" t="s">
        <v>1647</v>
      </c>
      <c r="C2" s="4" t="s">
        <v>1648</v>
      </c>
      <c r="D2" s="4" t="s">
        <v>1649</v>
      </c>
      <c r="E2" s="4" t="s">
        <v>1650</v>
      </c>
      <c r="F2" s="4" t="s">
        <v>1032</v>
      </c>
    </row>
    <row r="3" spans="1:6" ht="27.6" customHeight="1">
      <c r="A3" s="4" t="s">
        <v>1034</v>
      </c>
      <c r="B3" s="4" t="s">
        <v>1651</v>
      </c>
      <c r="C3" s="4" t="s">
        <v>1652</v>
      </c>
      <c r="D3" s="4" t="s">
        <v>1653</v>
      </c>
      <c r="E3" s="4" t="s">
        <v>1654</v>
      </c>
      <c r="F3" s="4" t="s">
        <v>1027</v>
      </c>
    </row>
    <row r="4" spans="1:6" ht="27.6" customHeight="1">
      <c r="A4" s="4" t="s">
        <v>1039</v>
      </c>
      <c r="B4" s="4" t="s">
        <v>1655</v>
      </c>
      <c r="C4" s="4" t="s">
        <v>1656</v>
      </c>
      <c r="D4" s="4" t="s">
        <v>1657</v>
      </c>
      <c r="E4" s="4" t="s">
        <v>1658</v>
      </c>
      <c r="F4" s="4" t="s">
        <v>1659</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1660</v>
      </c>
      <c r="B1" s="8"/>
      <c r="C1" s="8"/>
      <c r="D1" s="8"/>
      <c r="E1" s="8"/>
      <c r="F1" s="8"/>
      <c r="G1" s="8"/>
      <c r="H1" s="8"/>
    </row>
    <row r="3" spans="1:8" ht="24" customHeight="1">
      <c r="A3" s="2" t="s">
        <v>1661</v>
      </c>
      <c r="B3" s="2" t="s">
        <v>1662</v>
      </c>
      <c r="D3" s="2" t="s">
        <v>1022</v>
      </c>
      <c r="E3" s="2" t="s">
        <v>1663</v>
      </c>
      <c r="G3" s="2" t="s">
        <v>1024</v>
      </c>
      <c r="H3" s="2" t="s">
        <v>1664</v>
      </c>
    </row>
    <row r="4" spans="1:8">
      <c r="A4" s="4" t="s">
        <v>1665</v>
      </c>
      <c r="B4" s="4">
        <v>12</v>
      </c>
      <c r="D4" s="4" t="s">
        <v>1027</v>
      </c>
      <c r="E4" s="4">
        <f>COUNTIF('User Stories'!L:L,"Not Started")</f>
        <v>0</v>
      </c>
      <c r="G4" s="4" t="s">
        <v>1029</v>
      </c>
      <c r="H4" s="4">
        <f>COUNTIF('User Stories'!J:J,"MVP")</f>
        <v>71</v>
      </c>
    </row>
    <row r="5" spans="1:8">
      <c r="A5" s="4" t="s">
        <v>1666</v>
      </c>
      <c r="B5" s="4">
        <v>75</v>
      </c>
      <c r="D5" s="4" t="s">
        <v>1032</v>
      </c>
      <c r="E5" s="4">
        <f>COUNTIF('User Stories'!L:L,"In Progress")</f>
        <v>0</v>
      </c>
      <c r="G5" s="4" t="s">
        <v>1034</v>
      </c>
      <c r="H5" s="4">
        <f>COUNTIF('User Stories'!J:J,"R1")</f>
        <v>4</v>
      </c>
    </row>
    <row r="6" spans="1:8">
      <c r="A6" s="4" t="s">
        <v>1667</v>
      </c>
      <c r="B6" s="4">
        <v>300</v>
      </c>
      <c r="D6" s="4" t="s">
        <v>1043</v>
      </c>
      <c r="E6" s="4">
        <f>COUNTIF('User Stories'!L:L,"In Review")</f>
        <v>0</v>
      </c>
      <c r="G6" s="4" t="s">
        <v>1039</v>
      </c>
      <c r="H6" s="4">
        <f>COUNTIF('User Stories'!J:J,"Later")</f>
        <v>0</v>
      </c>
    </row>
    <row r="7" spans="1:8">
      <c r="A7" s="4" t="s">
        <v>1668</v>
      </c>
      <c r="B7" s="4">
        <v>16</v>
      </c>
      <c r="D7" s="4" t="s">
        <v>1037</v>
      </c>
      <c r="E7" s="4">
        <f>COUNTIF('User Stories'!L:L,"Blocked")</f>
        <v>0</v>
      </c>
    </row>
    <row r="8" spans="1:8">
      <c r="A8" s="4" t="s">
        <v>1669</v>
      </c>
      <c r="B8" s="4">
        <v>14</v>
      </c>
      <c r="D8" s="4" t="s">
        <v>1045</v>
      </c>
      <c r="E8" s="4">
        <f>COUNTIF('User Stories'!L:L,"Done")</f>
        <v>75</v>
      </c>
    </row>
    <row r="9" spans="1:8">
      <c r="A9" s="4" t="s">
        <v>1670</v>
      </c>
      <c r="B9" s="4">
        <v>20</v>
      </c>
      <c r="D9" s="4" t="s">
        <v>1047</v>
      </c>
      <c r="E9" s="4">
        <f>COUNTIF('User Stories'!L:L,"Deferred")</f>
        <v>0</v>
      </c>
    </row>
    <row r="12" spans="1:8" ht="24" customHeight="1">
      <c r="A12" s="2" t="s">
        <v>1671</v>
      </c>
      <c r="B12" s="2" t="s">
        <v>1662</v>
      </c>
    </row>
    <row r="13" spans="1:8">
      <c r="A13" s="4" t="s">
        <v>1672</v>
      </c>
      <c r="B13" s="6">
        <f>IFERROR(COUNTIF('User Stories'!L:L,"Done")/(COUNTA('User Stories'!A:A)-1),0)</f>
        <v>1</v>
      </c>
    </row>
    <row r="14" spans="1:8">
      <c r="A14" s="4" t="s">
        <v>1673</v>
      </c>
      <c r="B14" s="6">
        <f>IFERROR(COUNTIF('Acceptance Criteria'!F:F,"Pass")/(COUNTA('Acceptance Criteria'!A:A)-1),0)</f>
        <v>1</v>
      </c>
    </row>
    <row r="15" spans="1:8">
      <c r="A15" s="4" t="s">
        <v>1556</v>
      </c>
      <c r="B15" s="4">
        <f>COUNTIF('Acceptance Criteria'!F:F,"Fail")</f>
        <v>0</v>
      </c>
    </row>
    <row r="16" spans="1:8">
      <c r="A16" s="4" t="s">
        <v>1674</v>
      </c>
      <c r="B16" s="4">
        <f>COUNTIF('User Stories'!L:L,"Blocked")</f>
        <v>0</v>
      </c>
    </row>
    <row r="17" spans="1:2">
      <c r="A17" s="4" t="s">
        <v>1675</v>
      </c>
      <c r="B17" s="6">
        <f>IFERROR(COUNTIF(Traceability!I:I,"Linked")/(COUNTA(Traceability!B:B)-1),0)</f>
        <v>1</v>
      </c>
    </row>
    <row r="18" spans="1:2">
      <c r="A18" s="4" t="s">
        <v>1676</v>
      </c>
      <c r="B18" s="4">
        <f>COUNTIF('Risks &amp; Decisions'!G:G,"Open")</f>
        <v>1</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2026-09-11T21:03:39Z</dcterms:modified>
</cp:coreProperties>
</file>