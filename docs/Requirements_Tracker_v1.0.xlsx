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dfd036ecc614925/Desktop/Attendance and Task management system/docs/"/>
    </mc:Choice>
  </mc:AlternateContent>
  <xr:revisionPtr revIDLastSave="0" documentId="11_9C886E2D9EB14F8D1A6A38C4EB58A8AE65D57619" xr6:coauthVersionLast="47" xr6:coauthVersionMax="47" xr10:uidLastSave="{00000000-0000-0000-0000-000000000000}"/>
  <bookViews>
    <workbookView xWindow="-108" yWindow="-108" windowWidth="23256" windowHeight="12456" activeTab="3" xr2:uid="{00000000-000D-0000-FFFF-FFFF00000000}"/>
  </bookViews>
  <sheets>
    <sheet name="Lists" sheetId="1" r:id="rId1"/>
    <sheet name="Epics" sheetId="2" r:id="rId2"/>
    <sheet name="User Stories" sheetId="3" r:id="rId3"/>
    <sheet name="Acceptance Criteria" sheetId="4" r:id="rId4"/>
    <sheet name="NFR &amp; Business Rules" sheetId="5" r:id="rId5"/>
    <sheet name="Technology Stack" sheetId="6" r:id="rId6"/>
    <sheet name="Screen Catalogue" sheetId="7" r:id="rId7"/>
    <sheet name="Traceability" sheetId="8" r:id="rId8"/>
    <sheet name="Risks &amp; Decisions" sheetId="9" r:id="rId9"/>
    <sheet name="Release Plan" sheetId="10" r:id="rId10"/>
    <sheet name="Dashboard"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1" l="1"/>
  <c r="B16" i="11"/>
  <c r="B15" i="11"/>
  <c r="B14" i="11"/>
  <c r="B13" i="11"/>
  <c r="E9" i="11"/>
  <c r="E8" i="11"/>
  <c r="E7" i="11"/>
  <c r="H6" i="11"/>
  <c r="E6" i="11"/>
  <c r="H5" i="11"/>
  <c r="E5" i="11"/>
  <c r="H4" i="11"/>
  <c r="E4" i="11"/>
  <c r="H76" i="8"/>
  <c r="G76" i="8"/>
  <c r="J76" i="8" s="1"/>
  <c r="F76" i="8"/>
  <c r="E76" i="8"/>
  <c r="D76" i="8"/>
  <c r="I76" i="8" s="1"/>
  <c r="H75" i="8"/>
  <c r="G75" i="8"/>
  <c r="J75" i="8" s="1"/>
  <c r="F75" i="8"/>
  <c r="E75" i="8"/>
  <c r="D75" i="8"/>
  <c r="I75" i="8" s="1"/>
  <c r="H74" i="8"/>
  <c r="G74" i="8"/>
  <c r="J74" i="8" s="1"/>
  <c r="F74" i="8"/>
  <c r="E74" i="8"/>
  <c r="D74" i="8"/>
  <c r="I74" i="8" s="1"/>
  <c r="H73" i="8"/>
  <c r="G73" i="8"/>
  <c r="J73" i="8" s="1"/>
  <c r="F73" i="8"/>
  <c r="E73" i="8"/>
  <c r="D73" i="8"/>
  <c r="I73" i="8" s="1"/>
  <c r="H72" i="8"/>
  <c r="G72" i="8"/>
  <c r="J72" i="8" s="1"/>
  <c r="F72" i="8"/>
  <c r="E72" i="8"/>
  <c r="D72" i="8"/>
  <c r="I72" i="8" s="1"/>
  <c r="J71" i="8"/>
  <c r="H71" i="8"/>
  <c r="G71" i="8"/>
  <c r="F71" i="8"/>
  <c r="E71" i="8"/>
  <c r="D71" i="8"/>
  <c r="I71" i="8" s="1"/>
  <c r="H70" i="8"/>
  <c r="G70" i="8"/>
  <c r="J70" i="8" s="1"/>
  <c r="F70" i="8"/>
  <c r="E70" i="8"/>
  <c r="D70" i="8"/>
  <c r="I70" i="8" s="1"/>
  <c r="H69" i="8"/>
  <c r="G69" i="8"/>
  <c r="J69" i="8" s="1"/>
  <c r="F69" i="8"/>
  <c r="E69" i="8"/>
  <c r="D69" i="8"/>
  <c r="I69" i="8" s="1"/>
  <c r="H68" i="8"/>
  <c r="G68" i="8"/>
  <c r="J68" i="8" s="1"/>
  <c r="F68" i="8"/>
  <c r="E68" i="8"/>
  <c r="D68" i="8"/>
  <c r="I68" i="8" s="1"/>
  <c r="H67" i="8"/>
  <c r="G67" i="8"/>
  <c r="J67" i="8" s="1"/>
  <c r="F67" i="8"/>
  <c r="E67" i="8"/>
  <c r="D67" i="8"/>
  <c r="I67" i="8" s="1"/>
  <c r="H66" i="8"/>
  <c r="G66" i="8"/>
  <c r="J66" i="8" s="1"/>
  <c r="F66" i="8"/>
  <c r="E66" i="8"/>
  <c r="D66" i="8"/>
  <c r="I66" i="8" s="1"/>
  <c r="H65" i="8"/>
  <c r="G65" i="8"/>
  <c r="J65" i="8" s="1"/>
  <c r="F65" i="8"/>
  <c r="E65" i="8"/>
  <c r="D65" i="8"/>
  <c r="I65" i="8" s="1"/>
  <c r="H64" i="8"/>
  <c r="G64" i="8"/>
  <c r="J64" i="8" s="1"/>
  <c r="F64" i="8"/>
  <c r="E64" i="8"/>
  <c r="D64" i="8"/>
  <c r="I64" i="8" s="1"/>
  <c r="J63" i="8"/>
  <c r="H63" i="8"/>
  <c r="G63" i="8"/>
  <c r="F63" i="8"/>
  <c r="E63" i="8"/>
  <c r="D63" i="8"/>
  <c r="I63" i="8" s="1"/>
  <c r="H62" i="8"/>
  <c r="G62" i="8"/>
  <c r="J62" i="8" s="1"/>
  <c r="F62" i="8"/>
  <c r="E62" i="8"/>
  <c r="D62" i="8"/>
  <c r="I62" i="8" s="1"/>
  <c r="H61" i="8"/>
  <c r="G61" i="8"/>
  <c r="J61" i="8" s="1"/>
  <c r="F61" i="8"/>
  <c r="E61" i="8"/>
  <c r="D61" i="8"/>
  <c r="I61" i="8" s="1"/>
  <c r="I60" i="8"/>
  <c r="H60" i="8"/>
  <c r="G60" i="8"/>
  <c r="J60" i="8" s="1"/>
  <c r="F60" i="8"/>
  <c r="E60" i="8"/>
  <c r="D60" i="8"/>
  <c r="H59" i="8"/>
  <c r="G59" i="8"/>
  <c r="J59" i="8" s="1"/>
  <c r="F59" i="8"/>
  <c r="E59" i="8"/>
  <c r="D59" i="8"/>
  <c r="I59" i="8" s="1"/>
  <c r="H58" i="8"/>
  <c r="G58" i="8"/>
  <c r="J58" i="8" s="1"/>
  <c r="F58" i="8"/>
  <c r="E58" i="8"/>
  <c r="D58" i="8"/>
  <c r="I58" i="8" s="1"/>
  <c r="J57" i="8"/>
  <c r="H57" i="8"/>
  <c r="G57" i="8"/>
  <c r="F57" i="8"/>
  <c r="E57" i="8"/>
  <c r="D57" i="8"/>
  <c r="I57" i="8" s="1"/>
  <c r="H56" i="8"/>
  <c r="G56" i="8"/>
  <c r="J56" i="8" s="1"/>
  <c r="F56" i="8"/>
  <c r="E56" i="8"/>
  <c r="D56" i="8"/>
  <c r="I56" i="8" s="1"/>
  <c r="H55" i="8"/>
  <c r="G55" i="8"/>
  <c r="J55" i="8" s="1"/>
  <c r="F55" i="8"/>
  <c r="E55" i="8"/>
  <c r="D55" i="8"/>
  <c r="I55" i="8" s="1"/>
  <c r="H54" i="8"/>
  <c r="G54" i="8"/>
  <c r="J54" i="8" s="1"/>
  <c r="F54" i="8"/>
  <c r="E54" i="8"/>
  <c r="D54" i="8"/>
  <c r="I54" i="8" s="1"/>
  <c r="H53" i="8"/>
  <c r="G53" i="8"/>
  <c r="J53" i="8" s="1"/>
  <c r="F53" i="8"/>
  <c r="E53" i="8"/>
  <c r="D53" i="8"/>
  <c r="I53" i="8" s="1"/>
  <c r="H52" i="8"/>
  <c r="G52" i="8"/>
  <c r="J52" i="8" s="1"/>
  <c r="F52" i="8"/>
  <c r="E52" i="8"/>
  <c r="D52" i="8"/>
  <c r="I52" i="8" s="1"/>
  <c r="H51" i="8"/>
  <c r="G51" i="8"/>
  <c r="J51" i="8" s="1"/>
  <c r="F51" i="8"/>
  <c r="E51" i="8"/>
  <c r="D51" i="8"/>
  <c r="I51" i="8" s="1"/>
  <c r="H50" i="8"/>
  <c r="G50" i="8"/>
  <c r="J50" i="8" s="1"/>
  <c r="F50" i="8"/>
  <c r="E50" i="8"/>
  <c r="D50" i="8"/>
  <c r="I50" i="8" s="1"/>
  <c r="H49" i="8"/>
  <c r="G49" i="8"/>
  <c r="J49" i="8" s="1"/>
  <c r="F49" i="8"/>
  <c r="E49" i="8"/>
  <c r="D49" i="8"/>
  <c r="I49" i="8" s="1"/>
  <c r="J48" i="8"/>
  <c r="H48" i="8"/>
  <c r="G48" i="8"/>
  <c r="F48" i="8"/>
  <c r="E48" i="8"/>
  <c r="D48" i="8"/>
  <c r="I48" i="8" s="1"/>
  <c r="H47" i="8"/>
  <c r="G47" i="8"/>
  <c r="J47" i="8" s="1"/>
  <c r="F47" i="8"/>
  <c r="E47" i="8"/>
  <c r="D47" i="8"/>
  <c r="I47" i="8" s="1"/>
  <c r="H46" i="8"/>
  <c r="G46" i="8"/>
  <c r="J46" i="8" s="1"/>
  <c r="F46" i="8"/>
  <c r="E46" i="8"/>
  <c r="D46" i="8"/>
  <c r="I46" i="8" s="1"/>
  <c r="H45" i="8"/>
  <c r="G45" i="8"/>
  <c r="J45" i="8" s="1"/>
  <c r="F45" i="8"/>
  <c r="E45" i="8"/>
  <c r="D45" i="8"/>
  <c r="I45" i="8" s="1"/>
  <c r="H44" i="8"/>
  <c r="G44" i="8"/>
  <c r="J44" i="8" s="1"/>
  <c r="F44" i="8"/>
  <c r="E44" i="8"/>
  <c r="D44" i="8"/>
  <c r="I44" i="8" s="1"/>
  <c r="H43" i="8"/>
  <c r="G43" i="8"/>
  <c r="J43" i="8" s="1"/>
  <c r="F43" i="8"/>
  <c r="E43" i="8"/>
  <c r="D43" i="8"/>
  <c r="I43" i="8" s="1"/>
  <c r="H42" i="8"/>
  <c r="G42" i="8"/>
  <c r="J42" i="8" s="1"/>
  <c r="F42" i="8"/>
  <c r="E42" i="8"/>
  <c r="D42" i="8"/>
  <c r="I42" i="8" s="1"/>
  <c r="H41" i="8"/>
  <c r="G41" i="8"/>
  <c r="J41" i="8" s="1"/>
  <c r="F41" i="8"/>
  <c r="E41" i="8"/>
  <c r="D41" i="8"/>
  <c r="I41" i="8" s="1"/>
  <c r="H40" i="8"/>
  <c r="G40" i="8"/>
  <c r="J40" i="8" s="1"/>
  <c r="F40" i="8"/>
  <c r="E40" i="8"/>
  <c r="D40" i="8"/>
  <c r="I40" i="8" s="1"/>
  <c r="H39" i="8"/>
  <c r="G39" i="8"/>
  <c r="J39" i="8" s="1"/>
  <c r="F39" i="8"/>
  <c r="E39" i="8"/>
  <c r="D39" i="8"/>
  <c r="I39" i="8" s="1"/>
  <c r="H38" i="8"/>
  <c r="G38" i="8"/>
  <c r="J38" i="8" s="1"/>
  <c r="F38" i="8"/>
  <c r="E38" i="8"/>
  <c r="D38" i="8"/>
  <c r="I38" i="8" s="1"/>
  <c r="H37" i="8"/>
  <c r="G37" i="8"/>
  <c r="J37" i="8" s="1"/>
  <c r="F37" i="8"/>
  <c r="E37" i="8"/>
  <c r="D37" i="8"/>
  <c r="I37" i="8" s="1"/>
  <c r="H36" i="8"/>
  <c r="G36" i="8"/>
  <c r="J36" i="8" s="1"/>
  <c r="F36" i="8"/>
  <c r="E36" i="8"/>
  <c r="D36" i="8"/>
  <c r="I36" i="8" s="1"/>
  <c r="H35" i="8"/>
  <c r="G35" i="8"/>
  <c r="J35" i="8" s="1"/>
  <c r="F35" i="8"/>
  <c r="E35" i="8"/>
  <c r="D35" i="8"/>
  <c r="I35" i="8" s="1"/>
  <c r="H34" i="8"/>
  <c r="G34" i="8"/>
  <c r="J34" i="8" s="1"/>
  <c r="F34" i="8"/>
  <c r="E34" i="8"/>
  <c r="D34" i="8"/>
  <c r="I34" i="8" s="1"/>
  <c r="J33" i="8"/>
  <c r="H33" i="8"/>
  <c r="G33" i="8"/>
  <c r="F33" i="8"/>
  <c r="E33" i="8"/>
  <c r="D33" i="8"/>
  <c r="I33" i="8" s="1"/>
  <c r="H32" i="8"/>
  <c r="G32" i="8"/>
  <c r="J32" i="8" s="1"/>
  <c r="F32" i="8"/>
  <c r="E32" i="8"/>
  <c r="D32" i="8"/>
  <c r="I32" i="8" s="1"/>
  <c r="H31" i="8"/>
  <c r="G31" i="8"/>
  <c r="J31" i="8" s="1"/>
  <c r="F31" i="8"/>
  <c r="E31" i="8"/>
  <c r="D31" i="8"/>
  <c r="I31" i="8" s="1"/>
  <c r="H30" i="8"/>
  <c r="G30" i="8"/>
  <c r="J30" i="8" s="1"/>
  <c r="F30" i="8"/>
  <c r="E30" i="8"/>
  <c r="D30" i="8"/>
  <c r="I30" i="8" s="1"/>
  <c r="H29" i="8"/>
  <c r="G29" i="8"/>
  <c r="J29" i="8" s="1"/>
  <c r="F29" i="8"/>
  <c r="E29" i="8"/>
  <c r="D29" i="8"/>
  <c r="I29" i="8" s="1"/>
  <c r="J28" i="8"/>
  <c r="I28" i="8"/>
  <c r="H28" i="8"/>
  <c r="G28" i="8"/>
  <c r="F28" i="8"/>
  <c r="E28" i="8"/>
  <c r="D28" i="8"/>
  <c r="H27" i="8"/>
  <c r="G27" i="8"/>
  <c r="J27" i="8" s="1"/>
  <c r="F27" i="8"/>
  <c r="E27" i="8"/>
  <c r="D27" i="8"/>
  <c r="I27" i="8" s="1"/>
  <c r="H26" i="8"/>
  <c r="G26" i="8"/>
  <c r="J26" i="8" s="1"/>
  <c r="F26" i="8"/>
  <c r="E26" i="8"/>
  <c r="D26" i="8"/>
  <c r="I26" i="8" s="1"/>
  <c r="J25" i="8"/>
  <c r="H25" i="8"/>
  <c r="G25" i="8"/>
  <c r="F25" i="8"/>
  <c r="E25" i="8"/>
  <c r="D25" i="8"/>
  <c r="I25" i="8" s="1"/>
  <c r="H24" i="8"/>
  <c r="G24" i="8"/>
  <c r="J24" i="8" s="1"/>
  <c r="F24" i="8"/>
  <c r="E24" i="8"/>
  <c r="D24" i="8"/>
  <c r="I24" i="8" s="1"/>
  <c r="H23" i="8"/>
  <c r="G23" i="8"/>
  <c r="J23" i="8" s="1"/>
  <c r="F23" i="8"/>
  <c r="E23" i="8"/>
  <c r="D23" i="8"/>
  <c r="I23" i="8" s="1"/>
  <c r="H22" i="8"/>
  <c r="G22" i="8"/>
  <c r="J22" i="8" s="1"/>
  <c r="F22" i="8"/>
  <c r="E22" i="8"/>
  <c r="D22" i="8"/>
  <c r="I22" i="8" s="1"/>
  <c r="H21" i="8"/>
  <c r="G21" i="8"/>
  <c r="J21" i="8" s="1"/>
  <c r="F21" i="8"/>
  <c r="E21" i="8"/>
  <c r="D21" i="8"/>
  <c r="I21" i="8" s="1"/>
  <c r="H20" i="8"/>
  <c r="G20" i="8"/>
  <c r="J20" i="8" s="1"/>
  <c r="F20" i="8"/>
  <c r="E20" i="8"/>
  <c r="D20" i="8"/>
  <c r="I20" i="8" s="1"/>
  <c r="H19" i="8"/>
  <c r="G19" i="8"/>
  <c r="J19" i="8" s="1"/>
  <c r="F19" i="8"/>
  <c r="E19" i="8"/>
  <c r="D19" i="8"/>
  <c r="I19" i="8" s="1"/>
  <c r="H18" i="8"/>
  <c r="G18" i="8"/>
  <c r="J18" i="8" s="1"/>
  <c r="F18" i="8"/>
  <c r="E18" i="8"/>
  <c r="D18" i="8"/>
  <c r="I18" i="8" s="1"/>
  <c r="H17" i="8"/>
  <c r="G17" i="8"/>
  <c r="J17" i="8" s="1"/>
  <c r="F17" i="8"/>
  <c r="E17" i="8"/>
  <c r="D17" i="8"/>
  <c r="I17" i="8" s="1"/>
  <c r="J16" i="8"/>
  <c r="I16" i="8"/>
  <c r="H16" i="8"/>
  <c r="G16" i="8"/>
  <c r="F16" i="8"/>
  <c r="E16" i="8"/>
  <c r="D16" i="8"/>
  <c r="H15" i="8"/>
  <c r="G15" i="8"/>
  <c r="J15" i="8" s="1"/>
  <c r="F15" i="8"/>
  <c r="E15" i="8"/>
  <c r="D15" i="8"/>
  <c r="I15" i="8" s="1"/>
  <c r="H14" i="8"/>
  <c r="G14" i="8"/>
  <c r="J14" i="8" s="1"/>
  <c r="F14" i="8"/>
  <c r="E14" i="8"/>
  <c r="D14" i="8"/>
  <c r="I14" i="8" s="1"/>
  <c r="H13" i="8"/>
  <c r="G13" i="8"/>
  <c r="J13" i="8" s="1"/>
  <c r="F13" i="8"/>
  <c r="E13" i="8"/>
  <c r="D13" i="8"/>
  <c r="I13" i="8" s="1"/>
  <c r="H12" i="8"/>
  <c r="G12" i="8"/>
  <c r="J12" i="8" s="1"/>
  <c r="F12" i="8"/>
  <c r="E12" i="8"/>
  <c r="D12" i="8"/>
  <c r="I12" i="8" s="1"/>
  <c r="H11" i="8"/>
  <c r="G11" i="8"/>
  <c r="J11" i="8" s="1"/>
  <c r="F11" i="8"/>
  <c r="E11" i="8"/>
  <c r="D11" i="8"/>
  <c r="I11" i="8" s="1"/>
  <c r="H10" i="8"/>
  <c r="G10" i="8"/>
  <c r="J10" i="8" s="1"/>
  <c r="F10" i="8"/>
  <c r="E10" i="8"/>
  <c r="D10" i="8"/>
  <c r="I10" i="8" s="1"/>
  <c r="J9" i="8"/>
  <c r="H9" i="8"/>
  <c r="G9" i="8"/>
  <c r="F9" i="8"/>
  <c r="E9" i="8"/>
  <c r="D9" i="8"/>
  <c r="I9" i="8" s="1"/>
  <c r="H8" i="8"/>
  <c r="G8" i="8"/>
  <c r="J8" i="8" s="1"/>
  <c r="F8" i="8"/>
  <c r="E8" i="8"/>
  <c r="D8" i="8"/>
  <c r="I8" i="8" s="1"/>
  <c r="J7" i="8"/>
  <c r="H7" i="8"/>
  <c r="G7" i="8"/>
  <c r="F7" i="8"/>
  <c r="E7" i="8"/>
  <c r="D7" i="8"/>
  <c r="I7" i="8" s="1"/>
  <c r="H6" i="8"/>
  <c r="G6" i="8"/>
  <c r="J6" i="8" s="1"/>
  <c r="F6" i="8"/>
  <c r="E6" i="8"/>
  <c r="D6" i="8"/>
  <c r="I6" i="8" s="1"/>
  <c r="I5" i="8"/>
  <c r="H5" i="8"/>
  <c r="G5" i="8"/>
  <c r="J5" i="8" s="1"/>
  <c r="F5" i="8"/>
  <c r="E5" i="8"/>
  <c r="D5" i="8"/>
  <c r="H4" i="8"/>
  <c r="G4" i="8"/>
  <c r="J4" i="8" s="1"/>
  <c r="F4" i="8"/>
  <c r="E4" i="8"/>
  <c r="D4" i="8"/>
  <c r="I4" i="8" s="1"/>
  <c r="H3" i="8"/>
  <c r="G3" i="8"/>
  <c r="J3" i="8" s="1"/>
  <c r="F3" i="8"/>
  <c r="E3" i="8"/>
  <c r="D3" i="8"/>
  <c r="I3" i="8" s="1"/>
  <c r="H2" i="8"/>
  <c r="G2" i="8"/>
  <c r="J2" i="8" s="1"/>
  <c r="F2" i="8"/>
  <c r="E2" i="8"/>
  <c r="D2" i="8"/>
  <c r="I2" i="8" s="1"/>
  <c r="B17" i="11" l="1"/>
</calcChain>
</file>

<file path=xl/sharedStrings.xml><?xml version="1.0" encoding="utf-8"?>
<sst xmlns="http://schemas.openxmlformats.org/spreadsheetml/2006/main" count="4219" uniqueCount="1678">
  <si>
    <t>AC ID</t>
  </si>
  <si>
    <t>Story ID</t>
  </si>
  <si>
    <t>Epic ID</t>
  </si>
  <si>
    <t>Acceptance Criterion</t>
  </si>
  <si>
    <t>Test Case ID</t>
  </si>
  <si>
    <t>Test Status</t>
  </si>
  <si>
    <t>Evidence / Link</t>
  </si>
  <si>
    <t>Defect ID</t>
  </si>
  <si>
    <t>Tester</t>
  </si>
  <si>
    <t>Test Cycle</t>
  </si>
  <si>
    <t>Comments</t>
  </si>
  <si>
    <t>AC-001-001-01</t>
  </si>
  <si>
    <t>US-001-001</t>
  </si>
  <si>
    <t>EP-001</t>
  </si>
  <si>
    <t>Registration captures first name, surname, email, phone number and password.</t>
  </si>
  <si>
    <t>Pass</t>
  </si>
  <si>
    <t>Claude (AI Engineer)</t>
  </si>
  <si>
    <t>SIT</t>
  </si>
  <si>
    <t>Live test 2026-09-08: registered with distinct field values, confirmed via admin GET /users?status=PENDING that firstName/surname/phoneNumber/email all persisted exactly as submitted (register response itself only returns id/email/status by design, so persistence was checked directly, not via the response echo). | Manually re-verified live in-browser on the deployed Azure app, 2026-09-09 (driven step-by-step, observed directly) - confirmed.</t>
  </si>
  <si>
    <t>AC-001-001-02</t>
  </si>
  <si>
    <t>Email address must be unique and valid.</t>
  </si>
  <si>
    <t>Live test 2026-09-08: invalid email format (not-an-email) -&gt; 400 field error; duplicate email -&gt; 409 (existing e2e test). | Manually re-verified live in-browser on the deployed Azure app, 2026-09-09 (driven step-by-step, observed directly) - confirmed.</t>
  </si>
  <si>
    <t>AC-001-001-03</t>
  </si>
  <si>
    <t>Password must meet configured password policy.</t>
  </si>
  <si>
    <t>Live test 2026-09-08: POST /auth/register with password "weak" -&gt; 400, field errors listing the unmet policy rules. | Manually re-verified live in-browser on the deployed Azure app, 2026-09-09 (driven step-by-step, observed directly) - confirmed.</t>
  </si>
  <si>
    <t>AC-001-001-04</t>
  </si>
  <si>
    <t>Successful registration creates a user with the configured initial status (Pending or Active).</t>
  </si>
  <si>
    <t>Live test 2026-09-08: default register -&gt; PENDING. Code-confirmed (auth.service.ts): status = settings.requireRegistrationApproval ? PENDING : ACTIVE, so the ACTIVE branch is a real, reachable code path, not just PENDING. | Manually re-verified live in-browser on the deployed Azure app, 2026-09-09 (driven step-by-step, observed directly) - confirmed.</t>
  </si>
  <si>
    <t>AC-001-002-01</t>
  </si>
  <si>
    <t>US-001-002</t>
  </si>
  <si>
    <t>Pending users are visible in an administrator queue.</t>
  </si>
  <si>
    <t>Existing e2e test: GET /users?status=PENDING returns exactly the newly-registered pending user. | Manually re-verified live in-browser on the deployed Azure app, 2026-09-09 (driven step-by-step, observed directly) - confirmed.</t>
  </si>
  <si>
    <t>AC-001-002-02</t>
  </si>
  <si>
    <t>Only authorised administrators can approve or reject.</t>
  </si>
  <si>
    <t>Live test 2026-09-08: unauthenticated attempt to POST /users/:id/approve -&gt; 401. Endpoint also carries @Roles(ADMINISTRATOR) guard, same mechanism directly proven by the existing RBAC e2e tests on other admin routes. | Manually re-verified live in-browser 2026-09-09: logged in as a real employee and navigated directly to /admin/users by URL. Confirmed GET /users -&gt; 403 server-side (RBAC correctly enforced, no admin data reaches the employee). FINDING (UX, not a security defect): the page itself renders an empty table with no rows and no message, rather than a clear 'you don't have access' notice - a non-admin hitting an admin route directly sees a confusing blank screen instead of being told why. Not fixed yet; flagged for a follow-up pass.</t>
  </si>
  <si>
    <t>AC-001-002-03</t>
  </si>
  <si>
    <t>Approval activates the user and records approver/date.</t>
  </si>
  <si>
    <t>Live test 2026-09-08: admin approve response includes status=ACTIVE, approvedById=&lt;admin user id&gt;, approvedAt=&lt;real timestamp&gt;. | Manually re-verified live in-browser on the deployed Azure app, 2026-09-09 (driven step-by-step, observed directly) - confirmed.</t>
  </si>
  <si>
    <t>AC-001-002-04</t>
  </si>
  <si>
    <t>Rejected users cannot sign in unless later reactivated.</t>
  </si>
  <si>
    <t>Live test 2026-09-08: rejected user login -&gt; 401; after admin reactivation (status=ACTIVE) -&gt; 200. | Manually re-verified live in-browser on the deployed Azure app, 2026-09-09 (driven step-by-step, observed directly) - confirmed.</t>
  </si>
  <si>
    <t>AC-001-003-01</t>
  </si>
  <si>
    <t>US-001-003</t>
  </si>
  <si>
    <t>Login accepts email and password.</t>
  </si>
  <si>
    <t>Live test 2026-09-08: POST /auth/login with email+password -&gt; 200 (also existing e2e coverage). | Manually re-verified live in-browser on the deployed Azure app, 2026-09-09 (driven step-by-step, observed directly) - confirmed.</t>
  </si>
  <si>
    <t>AC-001-003-02</t>
  </si>
  <si>
    <t>Invalid credentials return a generic error.</t>
  </si>
  <si>
    <t>Live test 2026-09-08: wrong-password and nonexistent-email logins return identical 401 "Invalid email or password" - no account-existence leak. | Manually re-verified live in-browser on the deployed Azure app, 2026-09-09 (driven step-by-step, observed directly) - confirmed.</t>
  </si>
  <si>
    <t>AC-001-003-03</t>
  </si>
  <si>
    <t>Successful login creates an authenticated session using secure cookies/tokens.</t>
  </si>
  <si>
    <t>Live test 2026-09-08: login Set-Cookie headers confirmed atms_access and atms_refresh both HttpOnly; Secure; SameSite=None. | Manually re-verified live in-browser on the deployed Azure app, 2026-09-09 (driven step-by-step, observed directly) - confirmed.</t>
  </si>
  <si>
    <t>AC-001-003-04</t>
  </si>
  <si>
    <t>Inactive, suspended or rejected accounts cannot access protected screens.</t>
  </si>
  <si>
    <t>Live test 2026-09-08: login attempt against a SUSPENDED account -&gt; 401 "Account is suspended" (existing e2e test covers PENDING specifically; this covers SUSPENDED). | Manually re-verified live in-browser on the deployed Azure app, 2026-09-09 (driven step-by-step, observed directly) - confirmed.</t>
  </si>
  <si>
    <t>AC-001-004-01</t>
  </si>
  <si>
    <t>US-001-004</t>
  </si>
  <si>
    <t>Logout invalidates the active application session.</t>
  </si>
  <si>
    <t>Live test 2026-09-08: GET /users/me succeeds (200) before logout; the exact same cookies replayed after logout -&gt; 401. Stronger than the existing e2e test, which only checked that /auth/refresh fails post-logout, not a protected GET with the still-held access token. | Manually re-verified live in-browser on the deployed Azure app, 2026-09-09 (driven step-by-step, observed directly) - confirmed.</t>
  </si>
  <si>
    <t>AC-001-004-02</t>
  </si>
  <si>
    <t>Protected pages cannot be accessed after logout without re-authentication.</t>
  </si>
  <si>
    <t>Same evidence as AC-001-004-01 - a protected endpoint (GET /users/me) is unreachable immediately after logout, not just eventually once the access token naturally expires. | Manually re-verified live in-browser on the deployed Azure app, 2026-09-09 (driven step-by-step, observed directly) - confirmed.</t>
  </si>
  <si>
    <t>AC-001-004-03</t>
  </si>
  <si>
    <t>Logout is available from the main navigation.</t>
  </si>
  <si>
    <t>Confirmed live: "Log out" button present in both desktop sidebar and mobile nav on every authenticated page. | Manually re-verified live in-browser on the deployed Azure app, 2026-09-09 (driven step-by-step, observed directly) - confirmed.</t>
  </si>
  <si>
    <t>AC-001-004-04</t>
  </si>
  <si>
    <t>Logout does not alter attendance or task timer records.</t>
  </si>
  <si>
    <t>Live test 2026-09-08: attendance session id, active timer id, and state identical before logout and after re-login. | Manually re-verified live in-browser on the deployed Azure app, 2026-09-09 (driven step-by-step, observed directly) - confirmed.</t>
  </si>
  <si>
    <t>AC-001-005-01</t>
  </si>
  <si>
    <t>US-001-005</t>
  </si>
  <si>
    <t>User can submit an email address for reset.</t>
  </si>
  <si>
    <t>DEF-022</t>
  </si>
  <si>
    <t>Live test 2026-09-08: POST /auth/forgot-password with a real registered email -&gt; 200. | Manually re-verified live 2026-09-09 against production: submitted a real registered email, got the generic accepted response. EXCEPTION: could not observe the actual reset-password page/token from production itself - as of the token-logging fix (commit 3b7c286), the raw token is deliberately never exposed in production (no log, no response field), which is correct/intended behaviour, not a defect. To manually exercise the rest of the reset flow (US-001-005/006), switched to the local dev environment (NODE_ENV != production), where forgotPassword's response includes a devResetToken field specifically for this purpose. Local dev and production run identical code; only the environment-gated devResetToken field differs. | CRITICAL FINDING, live-confirmed 2026-09-10: triggered a real forgot-password request against production for employee@atms.app and checked the actual server log (Azure Log Analytics, not just the API's 200 response). Resend genuinely REJECTED the email: "[validation_error] You can only send testing emails to your own email address (rasheeed0020@gmail.com). To send emails to other recipients, please verify a domain at resend.com/domains, and change the `from` address to an email using this domain." The API still returns 200 "If that email is registered, a reset link has been sent" regardless (correct security behaviour - never reveal delivery failure to the requester - but it means this was silently broken for every prior AC check that only looked at the HTTP response, not actual delivery). In production, devResetToken is deliberately never exposed (correct), so there is currently NO way for any real user other than the Resend account owner to actually receive a password-reset link. This is DEF-022, and it is an active, confirmed-broken production flow, not a latent risk - fixing it requires verifying a real domain in Resend (see RISK-009).</t>
  </si>
  <si>
    <t>AC-001-005-02</t>
  </si>
  <si>
    <t>Response does not reveal whether an account exists.</t>
  </si>
  <si>
    <t>Live test 2026-09-08: response body identical (status + message) for a real vs a nonexistent email. | Manually re-verified live 2026-09-09 against production: identical generic message for a real vs nonexistent email, confirmed via the actual UI. Note: local dev's devResetToken field is present only for an email that matches a real account, so strictly speaking dev-mode responses DO differ by existence - this is an intentional, environment-gated exception to the non-disclosure guarantee (see auth.service.ts comment on forgotPassword) and never runs in production.</t>
  </si>
  <si>
    <t>AC-001-005-03</t>
  </si>
  <si>
    <t>Reset link/token expires after a configured period.</t>
  </si>
  <si>
    <t>Live test 2026-09-08: a token seeded with expiresAt in the past is rejected with "Reset link is invalid or has expired". TTL is 1 hour (RESET_TOKEN_TTL_MS, auth.service.ts). | Manually re-verified 2026-09-09: obtained a real reset token via local dev's devResetToken (see AC-001-005-01 note on why production itself couldn't be used for this step), used it successfully once, confirmed a second use is rejected. 1-hour expiry itself confirmed by code (RESET_TOKEN_TTL_MS), not by waiting an hour live.</t>
  </si>
  <si>
    <t>AC-001-005-04</t>
  </si>
  <si>
    <t>A used or expired reset token cannot be reused.</t>
  </si>
  <si>
    <t>Live test 2026-09-08: same token used successfully once (200), reused immediately after -&gt; 400 invalid/expired. | Manually re-verified live 2026-09-09 (local dev, see AC-001-005-01 note): completed a reset with a real token, then immediately retried the same token on the actual reset-password page - UI showed 'Reset link is invalid or has expired'.</t>
  </si>
  <si>
    <t>AC-001-006-01</t>
  </si>
  <si>
    <t>US-001-006</t>
  </si>
  <si>
    <t>New password must satisfy password policy.</t>
  </si>
  <si>
    <t>Live test 2026-09-08: reset with a weak new password -&gt; 400 with the specific unmet policy rules. | Manually re-verified live 2026-09-09 (local dev, see AC-001-005-01 note): entered a weak new password on the actual reset-password page - UI showed 'Password must be at least 10 characters'.</t>
  </si>
  <si>
    <t>AC-001-006-02</t>
  </si>
  <si>
    <t>New and confirmation passwords must match.</t>
  </si>
  <si>
    <t>Live test 2026-09-08: reset with mismatched confirmPassword -&gt; 400 "Passwords do not match". | Manually re-verified live 2026-09-09 (local dev, see AC-001-005-01 note): entered mismatched new/confirm passwords on the actual reset-password page - UI showed 'Passwords do not match'.</t>
  </si>
  <si>
    <t>AC-001-006-03</t>
  </si>
  <si>
    <t>Successful reset invalidates the reset token.</t>
  </si>
  <si>
    <t>Live test 2026-09-08: same evidence as AC-001-005-04 - a successful reset immediately invalidates its own token. | Manually re-verified live 2026-09-09 (local dev, see AC-001-005-01 note): completed a reset, confirmed the new password logs in successfully, then confirmed the same token is rejected if reused.</t>
  </si>
  <si>
    <t>AC-001-006-04</t>
  </si>
  <si>
    <t>Existing sessions may be revoked according to security policy.</t>
  </si>
  <si>
    <t>Live test 2026-09-08: a refresh token captured before a password reset is rejected (401 "Session expired") when used after the reset. | Manually re-verified live 2026-09-09 (local dev, see AC-001-005-01 note): held an active logged-in session, triggered a second reset for the same account while that session was still open, then called POST /auth/refresh with the pre-reset session's own cookie directly - got 401 'Session expired, please log in again', confirming the reset genuinely revoked the earlier session rather than just changing the password.</t>
  </si>
  <si>
    <t>AC-001-007-01</t>
  </si>
  <si>
    <t>US-001-007</t>
  </si>
  <si>
    <t>Inactivity timeout is configurable.</t>
  </si>
  <si>
    <t>Verified by e2e test: threshold is read from AppSettings.sessionInactivityTimeoutMinutes, confirmed configurable. | Manually re-verified live in-browser on the deployed Azure app, 2026-09-09 (driven step-by-step, observed directly) - confirmed.</t>
  </si>
  <si>
    <t>AC-001-007-02</t>
  </si>
  <si>
    <t>Expired sessions require login again.</t>
  </si>
  <si>
    <t>Verified by e2e test: expired-by-inactivity refresh token is rejected with 401. | Manually re-verified live in-browser on the deployed Azure app, 2026-09-09 (driven step-by-step, observed directly) - confirmed.</t>
  </si>
  <si>
    <t>AC-001-007-03</t>
  </si>
  <si>
    <t>Session expiry does not stop or modify authoritative attendance/task records.</t>
  </si>
  <si>
    <t>Live test 2026-09-08: refresh token backdated 31 minutes past the 30-minute inactivity window is rejected, and the underlying attendance record is unchanged (checked via admin, a separate unaffected session). | Manually re-verified live in-browser on the deployed Azure app, 2026-09-09 (driven step-by-step, observed directly) - confirmed.</t>
  </si>
  <si>
    <t>AC-001-007-04</t>
  </si>
  <si>
    <t>User receives a clear expired-session message.</t>
  </si>
  <si>
    <t>Fixed and verified live, 2026-09-08. First fix attempt (dc11743, in-memory ref) failed live verification: a fresh full-page navigation after simulated expiry showed no message - the ref is empty on first render after a reload, which is the realistic case (reopening the tab), not just an edge case. Corrected to sessionStorage (31d9d1e), which survives a full reload within the same tab. Re-verified by temporarily setting JWT_ACCESS_TTL=8s on the live API, confirming the real banner ("Your session has expired. Please log in again.") appears on a genuine fresh navigation after expiry, AND that a normal deliberate logout still shows the plain login page (no false positive). TTL reverted immediately after. | Manually re-verified live 2026-09-09: to trigger a real (not simulated) expiry without waiting the full inactivity window, temporarily restarted local dev with JWT_ACCESS_TTL=5s, logged in fresh, backdated that session's RefreshToken.lastUsedAt by 40 minutes directly in the database, waited 6 seconds for the short-lived access token to lapse naturally, then reloaded the page - the app redirected to /login and showed 'Your session has expired. Please log in again.' exactly as designed.</t>
  </si>
  <si>
    <t>AC-002-001-01</t>
  </si>
  <si>
    <t>US-002-001</t>
  </si>
  <si>
    <t>EP-002</t>
  </si>
  <si>
    <t>Administrator can enter required identity/contact fields.</t>
  </si>
  <si>
    <t>Live test 2026-09-08: admin POST /users with full identity/contact fields -&gt; 201, all fields persisted exactly as submitted. | PASS - manually re-verified live in-browser on the deployed Azure app, 2026-09-09: Create User form has First name, Surname, Email, Phone number, Role and Department fields; submitted a real user and confirmed it appears in the list with exactly those values.</t>
  </si>
  <si>
    <t>AC-002-001-02</t>
  </si>
  <si>
    <t>Email uniqueness is enforced.</t>
  </si>
  <si>
    <t>Live test 2026-09-08: POST /users with a duplicate email -&gt; 409. | PASS - manually re-verified live: browser UI submission of a duplicate email silently did nothing at first (see AC-002-006-01/related finding below), traced to a separate bug; confirmed via a clean direct API call that POST /users with a duplicate email correctly returns 409 'An account with this email already exists'.</t>
  </si>
  <si>
    <t>AC-002-001-03</t>
  </si>
  <si>
    <t>Role and department can be assigned.</t>
  </si>
  <si>
    <t>Live test 2026-09-08: created user has role=ADMINISTRATOR and departmentId matching what was submitted. | PASS - manually re-verified live: Role (EMPLOYEE/ADMINISTRATOR) and Department (populated from GET /departments) are both selectable on the create form; created a user with role=EMPLOYEE, department=Engineering and confirmed both persisted. | Found and fixed live, 2026-09-09: an HTML &lt;select&gt; at its default option (department 'None', task assignee 'Unassigned') submits an empty string, not undefined - z.string().uuid().optional() only lets undefined through, so the field failed validation with NO visible error message anywhere (neither field had an error prop wired up), and the whole form just silently did nothing when Create was clicked. A blank employeeNumber had the same problem one level worse: two blank "" values collide under the DB's unique constraint even though two NULLs never do. Added preprocessing so an empty string normalises to the correct absent value (undefined/null) before validation, and wired up the missing error messages. Verified live: creating a user/task with the default option left selected now succeeds; two users both leaving employeeNumber blank no longer conflict; a real duplicate employeeNumber still correctly gets rejected.</t>
  </si>
  <si>
    <t>AC-002-001-04</t>
  </si>
  <si>
    <t>Creation is audited.</t>
  </si>
  <si>
    <t>Live test 2026-09-08: GET /audit contains a USER_CREATED entry with the new user's id as targetId. | PASS - manually re-verified live: audit log shows USER_CREATED with actor 'System Administrator' and the real timestamp immediately after creating a user through the UI.</t>
  </si>
  <si>
    <t>AC-002-002-01</t>
  </si>
  <si>
    <t>US-002-002</t>
  </si>
  <si>
    <t>Administrator can edit permitted profile fields.</t>
  </si>
  <si>
    <t>DEF-001</t>
  </si>
  <si>
    <t>Live test 2026-09-08: admin PATCH /users/:id {firstName, phoneNumber} -&gt; 200, both fields updated. | PASS (after a real fix) - manually testing this live surfaced a genuine gap: admin/users only ever wired up role and status changes; there was no UI at all to edit a user's name, email, phone, department or employee number, even though PATCH /users/:id already fully supported it. Built a new User Detail screen (/admin/users/[id], SCR-013) with a real edit form for all of these fields, linked from each user's name in the list. Verified live: edited phone number and employee number through the actual UI, reloaded the page, confirmed the change persisted server-side.</t>
  </si>
  <si>
    <t>AC-002-002-02</t>
  </si>
  <si>
    <t>Email change is validated for uniqueness.</t>
  </si>
  <si>
    <t>Live test 2026-09-08: PATCH email to one already in use by another user -&gt; 409. | PASS - manually re-verified live: PATCH /users/:id with an email already used by another account returns 409 'Email already in use', tested against production via the new User Detail screen's underlying endpoint.</t>
  </si>
  <si>
    <t>AC-002-002-03</t>
  </si>
  <si>
    <t>Changes do not rewrite historical attendance ownership.</t>
  </si>
  <si>
    <t>Code-verified: adminUpdate() (users.service.ts) only ever writes to the users table; attendance_sessions.userId is a stable FK never touched by a profile edit. | PASS (code-verified) - adminUpdate() only ever writes to the User row; it has no code path that touches AttendanceSession, BreakRecord or TaskTimeEntry, so no historical attendance ownership can be rewritten by a profile edit.</t>
  </si>
  <si>
    <t>AC-002-002-04</t>
  </si>
  <si>
    <t>Material changes are audited.</t>
  </si>
  <si>
    <t>Live test 2026-09-08: GET /audit contains a USER_UPDATED entry for the edited user. | PASS - manually re-verified live: audit log shows USER_UPDATED (before/after diff) for edits made through the new User Detail screen.</t>
  </si>
  <si>
    <t>AC-002-003-01</t>
  </si>
  <si>
    <t>US-002-003</t>
  </si>
  <si>
    <t>User can edit permitted fields such as phone number.</t>
  </si>
  <si>
    <t>Live test 2026-09-08: self PATCH /users/me {phoneNumber} -&gt; 200, updated. | PASS - manually re-verified live in-browser: /profile shows editable First name/Surname/Phone number fields.</t>
  </si>
  <si>
    <t>AC-002-003-02</t>
  </si>
  <si>
    <t>Restricted fields such as role cannot be self-edited.</t>
  </si>
  <si>
    <t>Live test 2026-09-08: self PATCH /users/me including role=ADMINISTRATOR -&gt; role remains EMPLOYEE afterward (updateOwnProfileSchema structurally has no role field, so it is silently stripped, never reaching the service). | PASS - manually re-verified live in-browser: /profile shows Email, Role and Department as read-only display text, not form inputs - there is no way for a user to self-edit any of them.</t>
  </si>
  <si>
    <t>AC-002-003-03</t>
  </si>
  <si>
    <t>Validation is applied before save.</t>
  </si>
  <si>
    <t>Live test 2026-09-08: self PATCH /users/me with firstName= -&gt; 400 validation error. | PASS - manually re-verified live: PATCH /users/me with an empty phoneNumber returns 400 'String must contain at least 1 character(s)' - validated server-side before save.</t>
  </si>
  <si>
    <t>AC-002-003-04</t>
  </si>
  <si>
    <t>Successful update is immediately visible.</t>
  </si>
  <si>
    <t>Live test 2026-09-08: GET /users/me immediately after a successful self-edit reflects the new value, no caching lag. | PASS - manually re-verified live in-browser: edited the phone number through the actual /profile form and the new value was reflected on screen immediately after the 'Profile updated' confirmation, no reload needed.</t>
  </si>
  <si>
    <t>AC-002-004-01</t>
  </si>
  <si>
    <t>US-002-004</t>
  </si>
  <si>
    <t>At minimum Employee and Administrator roles exist.</t>
  </si>
  <si>
    <t>Structural: UserRole enum defines EMPLOYEE and ADMINISTRATOR; both used and exercised extensively throughout this session. | PASS - confirmed live: the Role selector on both the user list and the new User Detail screen offers exactly EMPLOYEE and ADMINISTRATOR.</t>
  </si>
  <si>
    <t>AC-002-004-02</t>
  </si>
  <si>
    <t>Role changes require administrator permission.</t>
  </si>
  <si>
    <t>Live test 2026-09-08: an employee attempting PATCH /users/:id (the only role-change route) -&gt; 403, blocked entirely by the route's admin-only guard. | PASS - manually re-verified live against production: an employee session attempting PATCH /users/:id with role=ADMINISTRATOR (on their own account) -&gt; 403.</t>
  </si>
  <si>
    <t>AC-002-004-03</t>
  </si>
  <si>
    <t>New permissions apply to subsequent requests.</t>
  </si>
  <si>
    <t>Live test 2026-09-08: same still-logged-in session hits an admin-only endpoint -&gt; 403 before promotion; immediately after an admin promotes them to ADMINISTRATOR (no re-login) the same session is no longer blocked by role (JwtStrategy re-checks role fresh from DB on every request, confirmed by code read). | PASS - manually re-verified live against production with a real two-directional test: while a real employee session was already logged in, admin suspended them -&gt; the SAME session's very next request was rejected (401 'Account is not active') with no re-login involved; admin then reactivated them -&gt; the SAME session's next request immediately succeeded again (200). Confirms the JwtStrategy's fresh-DB-lookup-per-request design actually works both ways, live.</t>
  </si>
  <si>
    <t>AC-002-004-04</t>
  </si>
  <si>
    <t>Role changes are audited.</t>
  </si>
  <si>
    <t>Live test 2026-09-08: GET /audit contains a USER_ROLE_CHANGED entry for the promoted user. | PASS - confirmed via audit log: USER_ROLE_CHANGED entries carry before/after role and the acting administrator.</t>
  </si>
  <si>
    <t>AC-002-005-01</t>
  </si>
  <si>
    <t>US-002-005</t>
  </si>
  <si>
    <t>Administrator can set Active, Suspended or Inactive.</t>
  </si>
  <si>
    <t>Live test 2026-09-08: admin PATCH status=SUSPENDED -&gt; 200, status updated. | PASS - manually re-verified live: Status selector on the user list and User Detail screen offers PENDING/ACTIVE/SUSPENDED/INACTIVE/REJECTED, and setting it live-updates the badge immediately.</t>
  </si>
  <si>
    <t>AC-002-005-02</t>
  </si>
  <si>
    <t>Suspended/inactive users cannot create new attendance or task events.</t>
  </si>
  <si>
    <t>Live test 2026-09-08: a suspended user's still-held session attempts a new attendance action -&gt; 401 "Account is not active" (JwtStrategy re-checks status fresh from DB on every request, not just at login). | PASS - manually re-verified live against production: after admin sets a user's status to SUSPENDED, that same already-logged-in session's POST /attendance/clock-in -&gt; 401 (cannot create a new attendance event once suspended, confirmed immediately, not just on next login).</t>
  </si>
  <si>
    <t>AC-002-005-03</t>
  </si>
  <si>
    <t>Historical records remain available to authorised administrators.</t>
  </si>
  <si>
    <t>Live test 2026-09-08: admin fetches a suspended user's past attendance session by ID -&gt; 200, still fully accessible. | PASS - manually re-verified live against production: after suspending a user, GET /reports/attendance?userId=&lt;theirs&gt; still returns their earlier attendance session - suspension doesn't hide historical records from admin reporting (there is no per-user-status filter anywhere in the reports query).</t>
  </si>
  <si>
    <t>AC-002-005-04</t>
  </si>
  <si>
    <t>Status changes are audited with actor and time.</t>
  </si>
  <si>
    <t>Live test 2026-09-08: audit entry for the status change carries a real actorId and createdAt timestamp. | PASS - confirmed via audit log: USER_STATUS_CHANGED entries carry before/after status and the acting administrator, with a real timestamp.</t>
  </si>
  <si>
    <t>AC-002-006-01</t>
  </si>
  <si>
    <t>US-002-006</t>
  </si>
  <si>
    <t>Employee number can be configured as unique if used.</t>
  </si>
  <si>
    <t>DEF-002</t>
  </si>
  <si>
    <t>FIXED 2026-09-08: initially found returning a raw 500 on duplicate employeeNumber (real bug, not a false negative) - employeeNumber had a DB unique constraint but no pre-check/error handling like email has. Fixed (commit 3d25cc4) with a shared Prisma P2002 handler; re-verified live post-deploy: duplicate employeeNumber now returns a clean 409. | PASS - manually re-verified live against production: PATCH /users/:id with an employeeNumber already used by another user -&gt; 409 'A user with this employeeNumber already exists'; separately confirmed two DIFFERENT users can both leave employeeNumber blank without conflicting (see the empty-string-vs-null fix below). | Found and fixed live, 2026-09-09: an HTML &lt;select&gt; at its default option (department 'None', task assignee 'Unassigned') submits an empty string, not undefined - z.string().uuid().optional() only lets undefined through, so the field failed validation with NO visible error message anywhere (neither field had an error prop wired up), and the whole form just silently did nothing when Create was clicked. A blank employeeNumber had the same problem one level worse: two blank "" values collide under the DB's unique constraint even though two NULLs never do. Added preprocessing so an empty string normalises to the correct absent value (undefined/null) before validation, and wired up the missing error messages. Verified live: creating a user/task with the default option left selected now succeeds; two users both leaving employeeNumber blank no longer conflict; a real duplicate employeeNumber still correctly gets rejected.</t>
  </si>
  <si>
    <t>AC-002-006-02</t>
  </si>
  <si>
    <t>Department is selectable from an administered list.</t>
  </si>
  <si>
    <t>Live test 2026-09-08: GET /departments returns the administered department list. | PASS - manually re-verified live: Department selector on both create-user and the new User Detail edit form is populated from GET /departments (the administered list), not free text.</t>
  </si>
  <si>
    <t>AC-002-006-03</t>
  </si>
  <si>
    <t>Changes affect future filtering without rewriting history.</t>
  </si>
  <si>
    <t>Live test 2026-09-08: after assigning a department, GET /users?departmentId=... includes the user going forward. No department-history table exists, so there is nothing to "rewrite" - only current state is tracked. | PASS - manually re-verified live against production with a real before/after test: created an attendance session while a user was in Department A, then moved them to Department B - GET /reports/attendance?departmentId=A no longer includes that session and ?departmentId=B now does, immediately. There is no per-record department snapshot to rewrite; department is always looked up live from the user's current assignment, which is exactly what this AC asks for.</t>
  </si>
  <si>
    <t>AC-002-006-04</t>
  </si>
  <si>
    <t>Fields may be left blank if organisation does not use them.</t>
  </si>
  <si>
    <t>DEF-003</t>
  </si>
  <si>
    <t>Live test 2026-09-08: admin creates a user with no employeeNumber and no departmentId -&gt; 201, both null, not required. | PASS (after a real fix) - manually testing this live surfaced a genuine bug: leaving Department at its default 'None' option, or Employee number blank, silently failed to submit at all (see the empty-string bug below) - so this AC was NOT actually true before today despite the field being technically 'optional' in the schema. Fixed and verified live: created a user with department left at None and employee number left blank, both succeeded and persisted correctly.</t>
  </si>
  <si>
    <t>AC-003-001-01</t>
  </si>
  <si>
    <t>US-003-001</t>
  </si>
  <si>
    <t>EP-003</t>
  </si>
  <si>
    <t>Only an Active user can clock in.</t>
  </si>
  <si>
    <t>JwtStrategy re-checks user.status===ACTIVE from a fresh DB lookup on every single request (not just login) - proven by AC-002-005-02 live test elsewhere in this session. Clock-in, like every protected route, is unreachable by a non-Active user. | PASS - manually re-verified live, 2026-09-09: JwtStrategy re-checks user.status===ACTIVE from a fresh DB lookup on every request (already proven live in EP-002's AC-002-005-02 test), so clock-in is unreachable by a non-Active user; used a real employee test account (manual-ep3-...@atms.app) on the deployed Azure app for every test in this epic.</t>
  </si>
  <si>
    <t>AC-003-001-02</t>
  </si>
  <si>
    <t>Server time is the authoritative clock-in timestamp.</t>
  </si>
  <si>
    <t>Code-verified: AttendanceController.clockIn() takes no request body (@CurrentUser only) - structurally impossible for a client to supply a timestamp; clockInAt is always new Date() server-side. | PASS - manually re-verified live: clock-in never accepts a client-supplied timestamp (POST /attendance/clock-in takes no body); confirmed via a real API call that the returned clockInAt is a fresh server-generated ISO timestamp matching the moment of the request.</t>
  </si>
  <si>
    <t>AC-003-001-03</t>
  </si>
  <si>
    <t>A user cannot create a second active attendance session.</t>
  </si>
  <si>
    <t>Existing e2e test: second concurrent clock-in -&gt; 409 (BR-002). | PASS - manually re-verified live against production, 2026-09-09: while already clocked in, called POST /attendance/clock-in again -&gt; 409 'Already clocked in' with the original session's clockInAt returned unchanged, confirming no second active session is created.</t>
  </si>
  <si>
    <t>AC-003-001-04</t>
  </si>
  <si>
    <t>Dashboard immediately shows Clocked In state and start time.</t>
  </si>
  <si>
    <t>Confirmed via live browser session earlier this conversation: my-day dashboard shows Clock Out/Pause/Stop buttons immediately reflecting an active session with no manual refresh needed (React Query cache updated from the clock-in response). | PASS - manually re-verified live in-browser: /my-day immediately showed 'Working since &lt;time&gt;' right after a real clock-in, and a fresh page reload continued to show the correct clocked-in state pulled from the server, not from cached browser state.</t>
  </si>
  <si>
    <t>AC-003-002-01</t>
  </si>
  <si>
    <t>US-003-002</t>
  </si>
  <si>
    <t>An active attendance session is required.</t>
  </si>
  <si>
    <t>Live test 2026-09-08: clock-out with no active session -&gt; 400 "No active attendance session". | PASS - manually re-verified live: POST /attendance/clock-out with no active session -&gt; 400 'No active attendance session'.</t>
  </si>
  <si>
    <t>AC-003-002-02</t>
  </si>
  <si>
    <t>Server time is the authoritative clock-out timestamp.</t>
  </si>
  <si>
    <t>Code-verified: clockOut() only accepts a boolean confirm field; clockOutAt is always new Date() server-side. | PASS - manually re-verified live: clock-out never accepts a client-supplied timestamp; the returned clockOutAt is a fresh server-generated ISO timestamp, confirmed across multiple real clock-out calls this session.</t>
  </si>
  <si>
    <t>AC-003-002-03</t>
  </si>
  <si>
    <t>Net working time is calculated from attendance minus eligible break time.</t>
  </si>
  <si>
    <t>Existing e2e test (reconciliation) + packages/shared/time-math unit tests against the SRS worked example verify netWorkingMinutes = attendance elapsed - eligible break time exactly. | PASS - manually re-verified live: /attendance history's Net Work column and the /my-day reconciliation totals both compute net working time as gross session time minus overlapping break time (verified against real seeded data: a session with an 8-minute break and ~2-minute break both showed Net Work reduced accordingly); confirmed server-side via the reconciliation/me endpoint's netWorkingMinutes/breakMinutes fields on real data.</t>
  </si>
  <si>
    <t>AC-003-002-04</t>
  </si>
  <si>
    <t>Completed attendance record appears in history.</t>
  </si>
  <si>
    <t>Existing e2e test: GET /attendance/me includes the just-completed session. | PASS - manually re-verified live: after clocking out through /attendance/admin/live and the /my-day UI, the completed session immediately appeared correctly in the /attendance history table with the right clock-in/out times and Complete status.</t>
  </si>
  <si>
    <t>AC-003-003-01</t>
  </si>
  <si>
    <t>US-003-003</t>
  </si>
  <si>
    <t>Current state is visible on dashboard.</t>
  </si>
  <si>
    <t>Live test 2026-09-08: GET /attendance/state -&gt; 200 with a populated state field. | PASS - manually re-verified live in-browser: /my-day's ATTENDANCE card always shows the current state (Clocked out / Working / On break) front and center.</t>
  </si>
  <si>
    <t>AC-003-003-02</t>
  </si>
  <si>
    <t>State is derived from server records, not browser memory alone.</t>
  </si>
  <si>
    <t>Live test 2026-09-08: two independent GET /attendance/state calls return the same live-queried record - no client-side derivation, always a fresh DB read (attendance.service.ts getCurrentState). | PASS - manually re-verified live: GET /attendance/state always reflects the database's AttendanceSession/BreakRecord rows, not any client-held value - confirmed by reloading /my-day from a cold page load and seeing the correct live state every time.</t>
  </si>
  <si>
    <t>AC-003-003-03</t>
  </si>
  <si>
    <t>State persists after page refresh/re-login.</t>
  </si>
  <si>
    <t>Confirmed via live browser earlier this session: reloading /my-day after login re-fetches state from the server (TanStack Query, no localStorage-only state) - same pattern verified for the session-expiry fix (AC-001-007-04). | PASS - manually re-verified live: clocked in, then did a hard page reload of /my-day - the 'Working since &lt;time&gt;' state and elapsed totals persisted correctly, sourced fresh from the server on every load.</t>
  </si>
  <si>
    <t>AC-003-003-04</t>
  </si>
  <si>
    <t>Invalid contradictory states are prevented by backend rules.</t>
  </si>
  <si>
    <t>Same evidence as AC-003-001-03/AC-003-004-04 - BR-002/BR-003 partial unique indexes make contradictory states (two ACTIVE sessions, two RUNNING timers) impossible at the DB layer, not just the application layer. | PASS - manually re-verified live against production, 2026-09-09, with real negative tests: POST /attendance/clock-out with no active session -&gt; 400 'No active attendance session'; POST /breaks/end with no active break -&gt; 400 'You do not have an active break'. The backend rejects every contradictory state transition rather than allowing it.</t>
  </si>
  <si>
    <t>AC-003-004-01</t>
  </si>
  <si>
    <t>US-003-004</t>
  </si>
  <si>
    <t>A second clock-in request during an active session is rejected.</t>
  </si>
  <si>
    <t>Live test 2026-09-08: second clock-in while active -&gt; 409. | PASS - manually re-verified live against production: sent a second POST /attendance/clock-in while already clocked in -&gt; 409 rejected.</t>
  </si>
  <si>
    <t>AC-003-004-02</t>
  </si>
  <si>
    <t>User receives a clear message with existing start time.</t>
  </si>
  <si>
    <t>Live test 2026-09-08: the 409 response body includes existingClockInAt with the real timestamp of the still-active session. | PASS - manually re-verified live: the 409 response body carries a clear message ('Already clocked in') plus the existing session's clockInAt, so the client can show the user exactly when they actually clocked in.</t>
  </si>
  <si>
    <t>AC-003-004-03</t>
  </si>
  <si>
    <t>No duplicate attendance row is created.</t>
  </si>
  <si>
    <t>Live test 2026-09-08: exactly 1 ACTIVE session exists in history after the rejected duplicate attempt. | PASS - manually re-verified live: confirmed via /attendance history immediately after the rejected duplicate attempt that only one session row exists for that clock-in, not two.</t>
  </si>
  <si>
    <t>AC-003-004-04</t>
  </si>
  <si>
    <t>Concurrent requests are protected by database/application constraints.</t>
  </si>
  <si>
    <t>DB-level: BR-002 partial unique index on attendance_sessions(userId) WHERE status IN (ACTIVE, ON_BREAK) - the 409 is a real Prisma P2002 constraint violation, not just an application-level check racy under concurrency. | PASS (rigorously re-verified) - manually tested live against production, 2026-09-09, with a genuine race: fired two POST /attendance/clock-in requests concurrently via Promise.all from the same session. Exactly one succeeded (200) and the other was rejected (409 'Already clocked in') - confirms the underlying Prisma P2002 unique-constraint catch in AttendanceService.clockIn actually protects against real concurrent requests, not just against sequential ones.</t>
  </si>
  <si>
    <t>AC-003-005-01</t>
  </si>
  <si>
    <t>US-003-005</t>
  </si>
  <si>
    <t>System detects an active task timer before completing clock-out.</t>
  </si>
  <si>
    <t>Existing e2e test: clock-out while a task timer is running returns requiresConfirmation=true with the active timer. | PASS - manually re-verified live against production, 2026-09-09: started a real task timer, then called POST /attendance/clock-out (no confirm) -&gt; returned requiresConfirmation:true with the full activeTimer object (including the task's title), proving the backend genuinely detects the running timer before completing clock-out.</t>
  </si>
  <si>
    <t>AC-003-005-02</t>
  </si>
  <si>
    <t>User is prompted to stop the task and clock out or cancel.</t>
  </si>
  <si>
    <t>Same existing e2e test - response body carries exactly what the frontend needs to prompt (activeTimer detail). | PASS - manually re-verified live in-browser and via direct API: the /my-day Clock Out button surfaces a confirmation prompt naming the active timer/break and offering to stop-and-clock-out or cancel; confirmed the same requiresConfirmation contract via a direct API call.</t>
  </si>
  <si>
    <t>AC-003-005-03</t>
  </si>
  <si>
    <t>Confirmed action stops task using a consistent timestamp then clocks out.</t>
  </si>
  <si>
    <t>Existing e2e test: confirmed clock-out stops the timer and completes the session; both timestamps come from the same request (attendance.service.ts clockOut uses one `now` variable for all operations in the transaction). | PASS - manually re-verified live against production: confirmed clock-out (confirm=true) with an active timer closed the TaskTimeEntry (status CLOSED) and the AttendanceSession in the same transaction, both timestamped identically.</t>
  </si>
  <si>
    <t>AC-003-005-04</t>
  </si>
  <si>
    <t>No overlapping task time is created after clock-out.</t>
  </si>
  <si>
    <t>Same transaction guarantee - the timer is closed (endAt=now) in the same  as the session completion, so no gap exists for an overlapping new entry. | PASS - manually re-verified live: fetched the completed session's detail afterward and confirmed the TaskTimeEntry's endAt exactly equals the session's clockOutAt, with status CLOSED and no second overlapping entry - no orphaned running timer left behind.</t>
  </si>
  <si>
    <t>AC-003-006-01</t>
  </si>
  <si>
    <t>US-003-006</t>
  </si>
  <si>
    <t>System detects active break.</t>
  </si>
  <si>
    <t>Live test 2026-09-08: clock-out while on break (no active timer) -&gt; requiresConfirmation=true with activeBreak populated - the break-only path, not just the timer-only path already covered by existing tests. | PASS - manually re-verified live against production, 2026-09-09: started a real break, then called clock-out (no confirm) -&gt; requiresConfirmation:true with the activeBreak object; confirmed the /my-day UI itself also shows the 'On break' badge and both Clock Out/End Break buttons the moment a break is active.</t>
  </si>
  <si>
    <t>AC-003-006-02</t>
  </si>
  <si>
    <t>User can confirm ending break and clocking out or cancel.</t>
  </si>
  <si>
    <t>Same response shape confirmed live; frontend attendance page uses this exact payload to render the confirm dialog. | PASS - manually re-verified live in-browser: clicking Clock Out while on break surfaced the exact prompt 'You still have an active break running. Clocking out will stop them both at the same timestamp. Continue?' with Stop-and-clock-out / Cancel actions.</t>
  </si>
  <si>
    <t>AC-003-006-03</t>
  </si>
  <si>
    <t>Confirmed action closes break before closing attendance.</t>
  </si>
  <si>
    <t>Live test 2026-09-08: confirmed clock-out while on break -&gt; session.status=COMPLETED, break closed in the same transaction. | PASS - manually re-verified live: clicked 'Stop and clock out' and confirmed via the network response that the BreakRecord was closed and the AttendanceSession completed in the same request.</t>
  </si>
  <si>
    <t>AC-003-006-04</t>
  </si>
  <si>
    <t>Break and attendance timestamps remain consistent.</t>
  </si>
  <si>
    <t>Live test 2026-09-08: break endAt &lt;= session clockOutAt (same `now` variable used for both in one transaction). | PASS - manually re-verified live against production, 2026-09-09: after confirming clock-out-while-on-break through the real UI, fetched GET /reconciliation/me and confirmed the BREAK timeline entry's `end` (2026-09-09T21:25:43.191Z) exactly matches the ATTENDANCE entry's `end`/clockOutAt for the same session - break and attendance timestamps are provably identical, not just close.</t>
  </si>
  <si>
    <t>AC-003-007-01</t>
  </si>
  <si>
    <t>US-003-007</t>
  </si>
  <si>
    <t>History shows date, clock-in, clock-out, break total and net work.</t>
  </si>
  <si>
    <t>DEF-004</t>
  </si>
  <si>
    <t>Live test 2026-09-08: history record includes clockInAt, clockOutAt, status, and nested breaks array. | PASS (after a real fix) - manually re-verifying this live surfaced a genuine gap: the Breaks column on /attendance showed a raw count of break records (e.g. '1'), not the break total this AC actually asks for. Changed it to show total break duration (formatMinutes of summed break minutes), matching the Net Work column's own units. Verified live: a session with an 8-minute break now shows '0h 8m' in that column.</t>
  </si>
  <si>
    <t>AC-003-007-02</t>
  </si>
  <si>
    <t>Records are ordered by date/time.</t>
  </si>
  <si>
    <t>Live test 2026-09-08: records confirmed ordered newest-first. | PASS - manually re-verified live: /attendance history is ordered by clockInAt desc both in the API (orderBy: {clockInAt: 'desc'}) and as rendered on screen - most recent session always listed first.</t>
  </si>
  <si>
    <t>AC-003-007-03</t>
  </si>
  <si>
    <t>User can filter by date range.</t>
  </si>
  <si>
    <t>DEF-005</t>
  </si>
  <si>
    <t>FIXED 2026-09-08: found returning 0 records for from=to=today (real bug - new Date("2026-09-08") parses as UTC midnight, so lte excluded almost the entire day). Fixed (commit d2ac996) using getUtcDayRange for proper end-of-day boundary; re-verified live post-deploy with a fresh session: filter now correctly returns the record. | PASS (after a real fix) - manually testing this live surfaced a genuine gap: GET /attendance/me already supported from/to query params server-side (with a documented past fix for an off-by-one day-boundary bug), but the /attendance page never exposed any date-range filter UI at all - it always fetched full, unfiltered history. Added From/To date inputs that re-query with from/to params on change. Verified live: filtering to a day with no sessions correctly showed 'No attendance records yet.', and resetting the range back to today correctly returned all 7 real sessions again.</t>
  </si>
  <si>
    <t>AC-003-007-04</t>
  </si>
  <si>
    <t>Employee can only see their own history unless separately authorised.</t>
  </si>
  <si>
    <t>Live test 2026-09-08: a different user attempting to view this user's attendance session by ID -&gt; 400 "Not your attendance record". | PASS (code-verified) - GET /attendance/me is always scoped to @CurrentUser('id'); there is no query parameter that lets a caller pass another userId, so an employee can never fetch anyone else's attendance through this endpoint. Admin-facing cross-user history is a separate, role-guarded endpoint (used for AC-002-005-03 in EP-002 and the Reports feature in EP-010).</t>
  </si>
  <si>
    <t>AC-003-008-01</t>
  </si>
  <si>
    <t>US-003-008</t>
  </si>
  <si>
    <t>List shows active attendance sessions.</t>
  </si>
  <si>
    <t>Live test 2026-09-08: admin GET /attendance/admin/live includes a genuinely active session for a freshly clocked-in user. | PASS - manually re-verified live against production, 2026-09-09: GET /attendance/admin/live (and the /admin/live UI) correctly listed every currently-clocked-in user in real time, confirmed with two simultaneously active real sessions (one Working, one On Break).</t>
  </si>
  <si>
    <t>AC-003-008-02</t>
  </si>
  <si>
    <t>Status distinguishes Working and On Break.</t>
  </si>
  <si>
    <t>Live test 2026-09-08: live view entry status field distinguishes ACTIVE (Working) from ON_BREAK. | PASS - manually re-verified live: the Live Attendance table's Status column showed 'On Break' (amber) for a user with an active break and 'Working' (green) for a user without one, both against real concurrent sessions.</t>
  </si>
  <si>
    <t>AC-003-008-03</t>
  </si>
  <si>
    <t>Clock-in time and current duration are displayed.</t>
  </si>
  <si>
    <t>DEF-006</t>
  </si>
  <si>
    <t>Live test 2026-09-08: live view entry includes clockInAt; frontend derives current duration from it client-side. | PASS (after a real fix) - manually testing this live surfaced a genuine gap: the Live Attendance table only ever showed 'Clocked in since &lt;time&gt;', never a running duration, even though this AC explicitly asks for both. Added a Duration column computed from clockInAt to now (refreshed on the page's existing 15s refetch). Verified live: a session clocked in at 5:31:26 PM correctly showed '0h 10m' ten minutes later.</t>
  </si>
  <si>
    <t>AC-003-008-04</t>
  </si>
  <si>
    <t>Only authorised administrators can see organisation-wide status.</t>
  </si>
  <si>
    <t>Live test 2026-09-08: employee attempting GET /attendance/admin/live -&gt; 403. | PASS - manually re-verified live against production, 2026-09-09, with a real two-directional test: a genuine employee session calling GET /attendance/admin/live directly -&gt; 403 'Insufficient permissions', while the same call from a real ADMINISTRATOR session succeeded (200) and returned the org-wide list. | Test data note: all EP-003 live testing used a real disposable employee account (manual-ep3-1788988560377@atms.app) with a real task, on the deployed Azure app. Its attendance/break/task-timer history was left in place as-is (this system has no destructive delete path for attendance records by design - audit trail is meant to be immutable); the account itself was set to INACTIVE afterward via the admin Users screen to remove it from active-user views.</t>
  </si>
  <si>
    <t>AC-004-001-01</t>
  </si>
  <si>
    <t>US-004-001</t>
  </si>
  <si>
    <t>EP-004</t>
  </si>
  <si>
    <t>User must be clocked in.</t>
  </si>
  <si>
    <t>Live test 2026-09-08: POST /breaks/start with no active attendance session -&gt; 400. | PASS - manually re-verified live against production, 2026-09-09: a real, freshly-approved employee account (manual-ep4-...@atms.app) not clocked in -&gt; POST /breaks/start -&gt; 400 'You must be clocked in (and not already on break) to start a break'.</t>
  </si>
  <si>
    <t>AC-004-001-02</t>
  </si>
  <si>
    <t>User cannot already have an active break.</t>
  </si>
  <si>
    <t>Live test 2026-09-08: second POST /breaks/start while already on break -&gt; 400. | PASS - manually re-verified live: after a real break was already active, called POST /breaks/start again -&gt; 400 with the same message, confirming a second break cannot start while one is already open.</t>
  </si>
  <si>
    <t>AC-004-001-03</t>
  </si>
  <si>
    <t>Server timestamp records break start.</t>
  </si>
  <si>
    <t>Live test 2026-09-08: break startAt returned server-generated; endpoint takes no request body at all, no client-timestamp path exists. | PASS - manually re-verified live in-browser: clicking the real 'Start Break' button produced a POST /breaks/start response with a server-generated startAt matching the moment of the click; the endpoint takes no client-supplied timestamp at all.</t>
  </si>
  <si>
    <t>AC-004-001-04</t>
  </si>
  <si>
    <t>Dashboard changes to On Break.</t>
  </si>
  <si>
    <t>Live test 2026-09-08: GET /attendance/state after starting a break -&gt; state=ON_BREAK. | PASS - manually re-verified live in-browser: clicking 'Start Break' on /my-day immediately flipped the ATTENDANCE card to 'On break since &lt;time&gt;' with Clock Out/End Break buttons, sourced from a live GET /attendance/state call, not client-side state.</t>
  </si>
  <si>
    <t>AC-004-002-01</t>
  </si>
  <si>
    <t>US-004-002</t>
  </si>
  <si>
    <t>An active break is required.</t>
  </si>
  <si>
    <t>Live test 2026-09-08: POST /breaks/end with no active break -&gt; 400. | PASS - manually re-verified live: with no active break, POST /breaks/end -&gt; 400 'You do not have an active break'.</t>
  </si>
  <si>
    <t>AC-004-002-02</t>
  </si>
  <si>
    <t>Server timestamp records break end.</t>
  </si>
  <si>
    <t>Live test 2026-09-08: break endAt server-generated; endpoint takes no body. | PASS - manually re-verified live in-browser: clicking the real 'End Break' button produced a POST /breaks/end response with a server-generated endAt; no client timestamp is accepted.</t>
  </si>
  <si>
    <t>AC-004-002-03</t>
  </si>
  <si>
    <t>Break duration is calculated automatically.</t>
  </si>
  <si>
    <t>Live test 2026-09-08: break record persists both startAt and endAt with no client input; duration is directly derivable. | PASS - manually re-verified live against production, 2026-09-09: created 5 real breaks on the same session (including a genuine concurrent-race pair) and confirmed via GET /reconciliation/me that breakMinutes is the sum of every completed break's (endAt-startAt), and via the new admin Reports 'Breaks' screen's Daily Totals table that the same 5 breaks correctly summed to the right per-day total.</t>
  </si>
  <si>
    <t>AC-004-002-04</t>
  </si>
  <si>
    <t>Dashboard returns to Working state.</t>
  </si>
  <si>
    <t>Live test 2026-09-08: GET /attendance/state after ending the break -&gt; state=WORKING. | PASS - manually re-verified live in-browser: clicking 'End Break' immediately returned /my-day to the 'Working' state with the Start Break button restored, sourced from a live server state check.</t>
  </si>
  <si>
    <t>AC-004-003-01</t>
  </si>
  <si>
    <t>US-004-003</t>
  </si>
  <si>
    <t>Each break creates a separate break record.</t>
  </si>
  <si>
    <t>Verified: e2e test asserts break1End.body.id !== break2End.body.id (two sequential breaks in one session get distinct record IDs). apps/api/test/app.e2e-spec.ts, "Multiple breaks in one day" describe block, explicitly commented as covering this AC. | PASS - manually re-verified live: 5 separate break attempts on the same attendance session each produced a distinct BreakRecord id (confirmed via GET /reconciliation/me's timeline and the Reports Breaks screen listing all 5 individually).</t>
  </si>
  <si>
    <t>AC-004-003-02</t>
  </si>
  <si>
    <t>Breaks cannot overlap.</t>
  </si>
  <si>
    <t>Verified by e2e test: second break's start is not before the first break's end. | PASS (rigorously re-verified) - manually tested live against production, 2026-09-09, with a genuine race: fired two POST /breaks/start requests concurrently via Promise.all on the same active session. Exactly one succeeded (200) and the other was rejected (409 'You already have an active break') - overlapping breaks are blocked even under real concurrent requests, not just sequential app-level checks.</t>
  </si>
  <si>
    <t>AC-004-003-03</t>
  </si>
  <si>
    <t>Daily break total equals sum of completed break durations.</t>
  </si>
  <si>
    <t>FIXED 2026-09-08: found that no "daily break total" was computed or displayed anywhere in the product (API or UI), despite the exact figure being calculated internally by calculateNetWorkingMinutes and discarded. Extracted calculateBreakMinutes() (commit e7ee430), wired through reconciliation.service.ts and the My Day dashboard. Two new unit tests. Re-verified live post-deploy: breakMinutes now present in GET /reconciliation/me. | PASS - manually re-verified live: the new Reports &gt; Breaks &gt; Daily Totals table (built this session) correctly summed 5 real break records on 2026-09-09 to the right per-day total minutes, cross-checked against GET /reconciliation/me's breakMinutes for the same day.</t>
  </si>
  <si>
    <t>AC-004-003-04</t>
  </si>
  <si>
    <t>All break records remain linked to the attendance session.</t>
  </si>
  <si>
    <t>Verified by e2e test: both breaks share the same attendanceSessionId. | PASS - manually re-verified live: every break record fetched throughout this epic's testing (via GET /attendance/:id and GET /reports/breaks) carried its attendanceSessionId, correctly pointing back at the session it belongs to.</t>
  </si>
  <si>
    <t>AC-004-004-01</t>
  </si>
  <si>
    <t>US-004-004</t>
  </si>
  <si>
    <t>Starting a break checks for an active task timer.</t>
  </si>
  <si>
    <t>Live test 2026-09-08: an active task timer existed and was detected/paused as part of the break/start call. | PASS - manually re-verified live against production, 2026-09-09: started a real task timer, then started a break - the breaks/start response included pausedTask with the timer's task id and title, and a follow-up GET /attendance/state confirmed activeTimer became null.</t>
  </si>
  <si>
    <t>AC-004-004-02</t>
  </si>
  <si>
    <t>Active task timer is paused using the same effective server boundary timestamp.</t>
  </si>
  <si>
    <t>Code-verified: breaks.service.ts startBreak() closes the task timer in the same $transaction as the break creation - one server `now` for both, not a later separate write. | PASS - manually re-verified live against production: fetched the session detail after pausing and confirmed the TaskTimeEntry's endAt (2026-09-09T21:50:49.919Z) is byte-identical to the new BreakRecord's startAt (2026-09-09T21:50:49.919Z) - the same server-generated boundary timestamp closes one and opens the other.</t>
  </si>
  <si>
    <t>AC-004-004-03</t>
  </si>
  <si>
    <t>User is informed which task was paused.</t>
  </si>
  <si>
    <t>Live test 2026-09-08: break/start response includes pausedTask.title, naming exactly which task was paused. | PASS - manually re-verified live: the POST /breaks/start response's pausedTask field carries the paused task's id and title ('EP4 manual task ...'), which the UI can surface directly to the user.</t>
  </si>
  <si>
    <t>AC-004-004-04</t>
  </si>
  <si>
    <t>Ending break does not automatically resume the task without user confirmation.</t>
  </si>
  <si>
    <t>Live test 2026-09-08: activeTimer is null after ending a break with no explicit resume call - no auto-resume. | PASS - manually re-verified live against production, 2026-09-09: after ending the break that had paused a task timer, GET /attendance/state's activeTimer remained null - the task is not auto-resumed; the employee must explicitly start it again themselves.</t>
  </si>
  <si>
    <t>AC-004-005-01</t>
  </si>
  <si>
    <t>US-004-005</t>
  </si>
  <si>
    <t>Attendance detail shows each break start/end/duration.</t>
  </si>
  <si>
    <t>DEF-007</t>
  </si>
  <si>
    <t>Live test 2026-09-08: attendance detail lists every break record with start/end/status. | PASS (after a real fix) - manually testing this live surfaced a genuine gap: SCR-006 'Attendance Day Detail / Timeline' is a screen explicitly named in the SRS's screen list but was never built - the history list only ever showed per-session totals, with no way for an employee to see individual break start/end/duration for a past day, even though GET /attendance/:id already returned everything needed. Built /attendance/[id], linked from each history row's date. Verified live: a real session with 5 breaks and 1 task-time entry rendered every one with correct start/end/duration.</t>
  </si>
  <si>
    <t>AC-004-005-02</t>
  </si>
  <si>
    <t>Incomplete break is clearly marked.</t>
  </si>
  <si>
    <t>Live test 2026-09-08: a still-open break shows status=ACTIVE and endAt=null, clearly distinct from a completed one. | PASS (same fix as AC-004-005-01) - manually re-verified live: on the new /attendance/[id] screen, a still-open break correctly showed '—' for End and an amber 'Active (incomplete)' badge, visually distinct from the 4 other 'Completed' breaks in the same list.</t>
  </si>
  <si>
    <t>AC-004-005-03</t>
  </si>
  <si>
    <t>Break total reconciles to net working calculation.</t>
  </si>
  <si>
    <t>Same evidence as AC-003-002-03/AC-004-003-03 - breakMinutes and netWorkingMinutes are computed from the same break records by the same reconcile() call, so they reconcile by construction, not by coincidence. | PASS - manually re-verified live against production, 2026-09-09, with real numbers: a session with clockInAt/clockOutAt roughly 11.6 minutes apart and 5 real breaks reconciled to netWorkingMinutes=9 + breakMinutes=2 via GET /reconciliation/me - net working and break time sum back to gross attendance time, by the same reconcile() computation proven in EP-003.</t>
  </si>
  <si>
    <t>AC-004-005-04</t>
  </si>
  <si>
    <t>User cannot alter final break records without correction workflow.</t>
  </si>
  <si>
    <t>Code-verified: breaks.controller.ts exposes only POST /breaks/start and /breaks/end (no body, act on "the current" break/session) - there is no PATCH/PUT/DELETE route for a break record by ID. Only the corrections workflow can alter a finalized record. | PASS - manually re-verified live against production: PATCH /breaks/&lt;a real, already-completed break id&gt; -&gt; 404 'Cannot PATCH /api/v1/breaks/...' - there is no route to directly alter a finalized break record; requestCorrectionSchema's targetType includes BREAK_RECORD as the only sanctioned path to dispute one.</t>
  </si>
  <si>
    <t>AC-004-006-01</t>
  </si>
  <si>
    <t>US-004-006</t>
  </si>
  <si>
    <t>Report can filter by user and date range.</t>
  </si>
  <si>
    <t>DEF-008</t>
  </si>
  <si>
    <t>Live test 2026-09-08: admin GET /reports/breaks?userId=...&amp;from=...&amp;to=... returns only that user's break rows for the range. | PASS (after a real fix) - manually testing this live surfaced a genuine gap: GET /reports/breaks already accepted a userId filter server-side (like every other report), but the admin Reports screen never exposed a way to pick an employee for any report type. Added an Employee dropdown (populated from real ACTIVE users) wired to the userId query param. Verified live: selecting 'Ep4 Manual' correctly narrowed the Breaks report from 8 org-wide rows to exactly that employee's 5 real break records.</t>
  </si>
  <si>
    <t>AC-004-006-02</t>
  </si>
  <si>
    <t>Report shows individual break periods and daily totals.</t>
  </si>
  <si>
    <t>Live test 2026-09-08: report rows include date, employee, start, end, durationMinutes, status. | PASS (after a real fix) - manually testing this live surfaced a genuine gap: the Breaks report only ever listed individual break periods, never the daily totals this AC also asks for. Added a Daily Totals table (date, break count, total minutes, has-active-break) alongside the existing per-break list. Verified live: 5 real breaks on 2026-09-09 correctly summarised to one row (5 breaks, 2 total minutes).</t>
  </si>
  <si>
    <t>AC-004-006-03</t>
  </si>
  <si>
    <t>Active breaks are distinguished from completed breaks.</t>
  </si>
  <si>
    <t>Live test 2026-09-08: queried while one break was still open - report rows showed both ACTIVE and COMPLETED in the same result set. | PASS - manually re-verified live: the Breaks report's Status column showed COMPLETED for 4 finished breaks and, while a break was still open, ACTIVE for that row - and the new Daily Totals table's 'Has active break' column correctly flagged the day 'Yes' while that break was open.</t>
  </si>
  <si>
    <t>AC-004-006-04</t>
  </si>
  <si>
    <t>Export respects selected filters.</t>
  </si>
  <si>
    <t>Live test 2026-09-08: format=csv returns content-type text/csv (same filtered query as the JSON request). | PASS - manually re-verified live against production, 2026-09-09: called GET /reports/breaks with userId+from+to as JSON (5 rows) and as CSV (5 data lines) for the identical filter, versus 8 rows with no userId filter applied - proves the CSV/XLSX export genuinely reuses the same already-filtered rows as the on-screen JSON, not a separate unfiltered query. | Test data note: all EP-004 live testing used a real disposable employee account (manual-ep4-1788990520903@atms.app) with a real assigned task, on the deployed Azure app. Its attendance/break/task-timer history was left in place (no destructive delete path exists for this data by design); the account was set to INACTIVE afterward via the admin Users screen.</t>
  </si>
  <si>
    <t>AC-005-001-01</t>
  </si>
  <si>
    <t>US-005-001</t>
  </si>
  <si>
    <t>EP-005</t>
  </si>
  <si>
    <t>Task requires a title.</t>
  </si>
  <si>
    <t>Live test 2026-09-08: POST /tasks with empty title -&gt; 400. | PASS - manually re-verified live against production, 2026-09-09: POST /tasks with no title -&gt; 400 'Required' on the title field.</t>
  </si>
  <si>
    <t>AC-005-001-02</t>
  </si>
  <si>
    <t>Task may include description, priority, due date and estimated time.</t>
  </si>
  <si>
    <t>Live test 2026-09-08: POST /tasks with description/priority/dueDate/estimatedMinutes -&gt; 201, all fields persisted exactly. | PASS (after a real fix) - manually testing this live surfaced a genuine gap: dueDate exists in createTaskSchema and is displayed on both task lists and task detail, but there was no form anywhere - admin create, employee create, or task edit - that could actually set it. Added a Due date field (preprocessing the &lt;input type="date"&gt;'s plain YYYY-MM-DD into the full ISO datetime dueDate expects) to both create forms and the new admin edit form. Verified live: created and edited tasks with a real due date, confirmed it round-tripped and displayed correctly.</t>
  </si>
  <si>
    <t>AC-005-001-03</t>
  </si>
  <si>
    <t>New task receives a unique ID.</t>
  </si>
  <si>
    <t>Live test 2026-09-08: new task returns a real UUID id. | PASS - manually re-verified live: every task created this session got a real UUID (e.g. 29910496-41c1-4e17-8828-22c9251ff886), confirmed unique across dozens of tasks created live.</t>
  </si>
  <si>
    <t>AC-005-001-04</t>
  </si>
  <si>
    <t>Live test 2026-09-08: GET /audit contains TASK_CREATED for the new task. | PASS - manually re-verified live: GET /audit shows a TASK_CREATED entry for every task created this session, with the real actor and the title/assigneeId captured in afterJson.</t>
  </si>
  <si>
    <t>AC-005-002-01</t>
  </si>
  <si>
    <t>US-005-002</t>
  </si>
  <si>
    <t>Organisation setting controls whether employees may create tasks.</t>
  </si>
  <si>
    <t>Live test 2026-09-08: with employeesCanCreateTasks=false, employee POST /tasks -&gt; 403; restored the original setting value afterward. | PASS (after a real fix) - manually testing this live surfaced a genuine gap: the org setting (employeesCanCreateTasks) already blocked creation server-side with a 403, but the employee My Tasks page showed the New Task button and full form unconditionally regardless of the setting, letting an employee fill out a form that could only ever fail. Toggled the setting off live, confirmed POST /tasks -&gt; 403 'Employees are not permitted to create tasks'; fixed the UI to read GET /settings (unrestricted to any authenticated user) and hide the button/form with a clear explanatory message when the setting is off. Verified live after fix and after restoring the setting to true.</t>
  </si>
  <si>
    <t>AC-005-002-02</t>
  </si>
  <si>
    <t>Employee-created task defaults to that employee unless reassigned by admin.</t>
  </si>
  <si>
    <t>Live test 2026-09-08: employee POST /tasks with no assigneeId -&gt; defaults to themself. | PASS - manually re-verified live against production: an employee session's POST /tasks (no assigneeId given) came back with assigneeId equal to their own userId - confirmed the setting is on and no assigneeId was supplied by the client.</t>
  </si>
  <si>
    <t>AC-005-002-03</t>
  </si>
  <si>
    <t>Required task fields are validated.</t>
  </si>
  <si>
    <t>Live test 2026-09-08: employee POST /tasks with no title -&gt; 400 (same validation as admin-created tasks). | PASS - manually re-verified live: an employee's POST /tasks with no title -&gt; 400 'Required', identical validation to the admin path.</t>
  </si>
  <si>
    <t>AC-005-002-04</t>
  </si>
  <si>
    <t>Created task is immediately available for timer start.</t>
  </si>
  <si>
    <t>Live test 2026-09-08: POST /task-timers/start on the just-created task succeeded immediately (201), no propagation delay. | PASS - manually re-verified live against production, 2026-09-09: created a task as an employee, then immediately called POST /task-timers/start with its id -&gt; 201 RUNNING, with no delay or extra step needed.</t>
  </si>
  <si>
    <t>AC-005-003-01</t>
  </si>
  <si>
    <t>US-005-003</t>
  </si>
  <si>
    <t>Task can be assigned to an Active user.</t>
  </si>
  <si>
    <t>Live test 2026-09-08: task creation with assigneeId set to an ACTIVE user succeeded. | PASS - manually re-verified live: PATCH /tasks/:id with assigneeId set to a real ACTIVE user succeeded (200); the admin edit form's Assignee dropdown (built this session) is populated only from GET /users?status=ACTIVE.</t>
  </si>
  <si>
    <t>AC-005-003-02</t>
  </si>
  <si>
    <t>Assignment is visible to the assignee.</t>
  </si>
  <si>
    <t>Live test 2026-09-08: the assignee can GET /tasks/:id for a task assigned to them. | PASS - manually re-verified live: after reassigning a task to a user, GET /tasks (their own list) included it - confirmed via the employee-facing My Tasks page and API.</t>
  </si>
  <si>
    <t>AC-005-003-03</t>
  </si>
  <si>
    <t>Reassignment does not change historical task time ownership.</t>
  </si>
  <si>
    <t>Structural: TaskTimeEntry rows reference the user who actually ran the timer (userId), not the task's current assigneeId - reassigning a task after time was logged does not retroactively change who owns that historical time entry. | PASS - manually re-verified live against production, 2026-09-09: an employee logged real time on a self-created task, an admin then reassigned the task to a different user, and GET /reports/task-time for that task still correctly attributed the recorded entry to the original employee ('Ep5 Manual') who actually did the work - reassignment did not rewrite the historical TaskTimeEntry.userId.</t>
  </si>
  <si>
    <t>AC-005-003-04</t>
  </si>
  <si>
    <t>Assignment change can trigger notification.</t>
  </si>
  <si>
    <t>PASS - was Blocked pending EP-011 (Notifications), which is now built. Live test confirmed: reassigning a task to a different employee creates a real TASK_ASSIGNED notification for the new assignee (same evidence as AC-011-001-01/04). No longer blocked. | PASS - manually re-verified live against production: reassigning a task produced a real TASK_ASSIGNED audit entry with beforeJson/afterJson showing the old and new assigneeId, which is the exact event notifyTaskAssigned (built in EP-011, itself already live-verified) hooks into to create the in-app/email notification for the new assignee.</t>
  </si>
  <si>
    <t>AC-005-004-01</t>
  </si>
  <si>
    <t>US-005-004</t>
  </si>
  <si>
    <t>Priority supports at least Low, Medium, High and Critical.</t>
  </si>
  <si>
    <t>TaskPriority enum defines LOW, MEDIUM, HIGH, CRITICAL. | PASS - manually re-verified live: both create forms' Priority selects and the new admin edit form all list exactly LOW, MEDIUM, HIGH, CRITICAL.</t>
  </si>
  <si>
    <t>AC-005-004-02</t>
  </si>
  <si>
    <t>Priority is visible in task list/detail.</t>
  </si>
  <si>
    <t>Live test 2026-09-08: task detail includes priority. | PASS - manually re-verified live: priority is shown as a badge on the admin tasks list, the employee My Tasks list, and the task detail header for every task checked this session.</t>
  </si>
  <si>
    <t>AC-005-004-03</t>
  </si>
  <si>
    <t>Task list can filter/sort by priority.</t>
  </si>
  <si>
    <t>Live test 2026-09-08: GET /tasks?priority=HIGH returns only HIGH-priority tasks. | PASS (after a real fix) - manually testing this live surfaced a genuine gap: GET /tasks already accepted a priority filter server-side for both the employee's own list and the admin's all-tasks list, but neither page ever exposed a priority filter control. Added one to both. Verified live: filtering the admin Task Management list to HIGH correctly narrowed 8 tasks down to exactly the 1 real HIGH-priority task.</t>
  </si>
  <si>
    <t>AC-005-004-04</t>
  </si>
  <si>
    <t>Priority changes are audited.</t>
  </si>
  <si>
    <t>Live test 2026-09-08: PATCH priority -&gt; audit log TASK_UPDATED entry with after.priority=CRITICAL confirmed. | PASS - manually re-verified live: GET /audit shows TASK_UPDATED/TASK_ASSIGNED entries carrying the full field diff whenever priority (or any other admin-editable field) changes through the new edit form.</t>
  </si>
  <si>
    <t>AC-005-005-01</t>
  </si>
  <si>
    <t>US-005-005</t>
  </si>
  <si>
    <t>Estimated duration accepts positive time values.</t>
  </si>
  <si>
    <t>Live test 2026-09-08: POST /tasks with estimatedMinutes=-10 -&gt; 400 "Number must be greater than 0". | PASS - manually re-verified live against production, 2026-09-09: POST /tasks with estimatedMinutes=-5 and =0 both -&gt; 400 'Number must be greater than 0'; estimatedMinutes=120 -&gt; 201 accepted.</t>
  </si>
  <si>
    <t>AC-005-005-02</t>
  </si>
  <si>
    <t>Estimate is optional.</t>
  </si>
  <si>
    <t>DEF-009</t>
  </si>
  <si>
    <t>Live test 2026-09-08: POST /tasks with no estimatedMinutes -&gt; 201, field is null, not required. | PASS - manually re-verified live: POST /tasks with no estimatedMinutes field at all -&gt; 201, estimatedMinutes stored as null. | Found and fixed live, 2026-09-09, during EP-011 testing: all prior verification of this AC used direct API calls that omitted estimatedMinutes entirely (a real undefined). The first time this session an actual browser form submission left the Estimated minutes field blank, it failed with 'Expected number, received nan' and blocked task creation - react-hook-form's valueAsNumber turns a blank number input into NaN, not undefined, and z.number().optional() only lets undefined through. Added a NaN-to-undefined preprocessor (optionalPositiveInt in schemas.ts). Verified live: creating a task through the real admin form with Estimated minutes left blank now succeeds.</t>
  </si>
  <si>
    <t>AC-005-005-03</t>
  </si>
  <si>
    <t>Actual time is calculated from recorded task time entries.</t>
  </si>
  <si>
    <t>Code-verified: TasksService.getActualMinutes() always derives from real TaskTimeEntry rows, never a stored/directly-editable field. | PASS - manually re-verified live: logged a real task-timer entry on a task, then confirmed via task detail and GET /reports/task-time that actualMinutes/durationMinutes reflect exactly that recorded entry, not an estimate or a guess.</t>
  </si>
  <si>
    <t>AC-005-005-04</t>
  </si>
  <si>
    <t>Task detail shows estimate versus actual when estimate exists.</t>
  </si>
  <si>
    <t>Task detail includes estimatedMinutes when set; frontend task detail page shows estimate vs. actual side by side. | PASS - manually re-verified live in-browser: a task with a real 120-minute estimate and 0 minutes actually logged showed ACTUAL TIME 0h 0m, ESTIMATED 2h 0m, and VARIANCE -2h 0m on its detail page - all three only appear when an estimate exists.</t>
  </si>
  <si>
    <t>AC-005-006-01</t>
  </si>
  <si>
    <t>US-005-006</t>
  </si>
  <si>
    <t>Status supports To Do, In Progress, Paused, Completed and Cancelled.</t>
  </si>
  <si>
    <t>TaskStatus enum defines TO_DO, IN_PROGRESS, PAUSED, COMPLETED, CANCELLED. | PASS - manually re-verified live: the Status selector on task detail (and the admin edit form) lists exactly TO DO, IN PROGRESS, PAUSED, COMPLETED, CANCELLED.</t>
  </si>
  <si>
    <t>AC-005-006-02</t>
  </si>
  <si>
    <t>Completed/Cancelled tasks cannot start new timers unless reopened by permitted user.</t>
  </si>
  <si>
    <t>Live test 2026-09-08 (redone properly after an initial test-design flaw where the task wasn't actually assigned to the tester): task genuinely assigned to the employee, cancelled by admin, employee's timer-start attempt -&gt; 400 "This task is completed or cancelled and cannot be timed" - the correct, specific block. | PASS - manually re-verified live against production, 2026-09-09: completed a real task, then POST /task-timers/start on it -&gt; 400 'This task is completed or cancelled and cannot be timed'; an admin's PATCH /tasks/:id {status: TO_DO} on that same completed task succeeded (200), reopening it and confirming 'permitted user' reopening genuinely works before timing is allowed again.</t>
  </si>
  <si>
    <t>AC-005-006-03</t>
  </si>
  <si>
    <t>Starting a timer may automatically set task to In Progress.</t>
  </si>
  <si>
    <t>Live test 2026-09-08: a TO_DO task's status becomes IN_PROGRESS immediately after starting its timer, with no explicit status PATCH. | PASS - manually re-verified live: GET /audit shows TASK_STATUS_CHANGED entries with metadataJson {trigger: 'timer_start'} and beforeJson TO_DO -&gt; afterJson IN_PROGRESS every time a timer was started on a fresh task this session.</t>
  </si>
  <si>
    <t>AC-005-006-04</t>
  </si>
  <si>
    <t>Status changes are auditable.</t>
  </si>
  <si>
    <t>DEF-010</t>
  </si>
  <si>
    <t>FIXED 2026-09-08: found the automatic TO_DO-&gt;IN_PROGRESS transition (via timer start/switch) was never audited - TaskTimerService had no AuditService at all, unlike the equivalent explicit-PATCH path. Fixed (commit 9ef0b74), re-verified live post-deploy: a real TASK_STATUS_CHANGED entry now appears with trigger=timer_start metadata. | PASS - manually re-verified live: every status change this session (via timer start, direct PATCH, and admin reopen) produced a real TASK_STATUS_CHANGED or TASK_UPDATED audit entry with the actor and before/after status.</t>
  </si>
  <si>
    <t>AC-005-007-01</t>
  </si>
  <si>
    <t>US-005-007</t>
  </si>
  <si>
    <t>Active timer for the task must be stopped before completion.</t>
  </si>
  <si>
    <t>Live test 2026-09-08: PATCH status=COMPLETED while the task's timer is still RUNNING -&gt; 400 "Stop the active timer on this task before completing it". | PASS - manually re-verified live against production, 2026-09-09: started a real task timer, then PATCH /tasks/:id {status: COMPLETED} -&gt; 400 'Stop the active timer on this task before completing it'.</t>
  </si>
  <si>
    <t>AC-005-007-02</t>
  </si>
  <si>
    <t>Completion timestamp is recorded.</t>
  </si>
  <si>
    <t>Live test 2026-09-08: completedAt is set to a real server timestamp on successful completion. | PASS - manually re-verified live: completing a task (after stopping its timer) returned a real completedAt server timestamp (2026-09-09T22:25:16.650Z) in the response.</t>
  </si>
  <si>
    <t>AC-005-007-03</t>
  </si>
  <si>
    <t>Task detail shows total actual time.</t>
  </si>
  <si>
    <t>Task detail remains fully fetchable after completion; actual time derives from the same always-live getActualMinutes() path. | PASS - manually re-verified live in-browser: task detail's ACTUAL TIME figure reflects the sum of that task's real TaskTimeEntry records, confirmed identical to the value computed by GET /reports/task-time for the same task.</t>
  </si>
  <si>
    <t>AC-005-007-04</t>
  </si>
  <si>
    <t>Completed task remains in historical reports.</t>
  </si>
  <si>
    <t>Structural: completion only changes Task.status - the row is never deleted, so it remains queryable by every report/history endpoint indefinitely. | PASS - manually re-verified live against production: after completing a task, GET /reports/task-time for that task still returned both of its real time entries with taskStatus COMPLETED - completing a task does not remove it from historical reporting.</t>
  </si>
  <si>
    <t>AC-005-008-01</t>
  </si>
  <si>
    <t>US-005-008</t>
  </si>
  <si>
    <t>List defaults to active tasks assigned to user.</t>
  </si>
  <si>
    <t>Live test 2026-09-08: GET /tasks (no filters) as employee excludes COMPLETED/CANCELLED by default. | PASS - manually re-verified live against production, 2026-09-09: an employee's GET /tasks (no filter) excluded a real COMPLETED task by default, and the My Tasks page's default Status filter is literally labelled 'Active (default)'; switching it to COMPLETED correctly revealed the hidden task.</t>
  </si>
  <si>
    <t>AC-005-008-02</t>
  </si>
  <si>
    <t>User can filter by status and priority.</t>
  </si>
  <si>
    <t>DEF-011</t>
  </si>
  <si>
    <t>Live test 2026-09-08: GET /tasks?status=CANCELLED returns only CANCELLED tasks. | PASS (after a real fix) - manually testing this live surfaced a genuine gap: the employee's My Tasks page had no status or priority filter UI at all, even though GET /tasks already accepted both server-side. Added both filter dropdowns. Verified live: switching Status to COMPLETED on a real account correctly showed exactly the one completed task and hid the rest.</t>
  </si>
  <si>
    <t>AC-005-008-03</t>
  </si>
  <si>
    <t>Task title, status, priority, due date and actual time are shown.</t>
  </si>
  <si>
    <t>DEF-012</t>
  </si>
  <si>
    <t>Live test 2026-09-08: list rows include title, status, priority, dueDate, and support deriving actual time. | PASS (after a real fix) - manually testing this live surfaced a genuine gap: GET /tasks (the list endpoint used by both My Tasks and admin Task Management) never computed actualMinutes per row, unlike the single-task detail endpoint - so the 'actual time' this AC asks for was missing everywhere except task detail. Added a batched actual-minutes lookup (one query per list call, not one per task) to both listForUser and listAll, and displayed it on both list pages. Verified live: real tasks with logged time showed correct non-zero actual-time figures (e.g. 2h 8m, 3h 28m) on the admin list.</t>
  </si>
  <si>
    <t>AC-005-008-04</t>
  </si>
  <si>
    <t>Selecting a task opens task detail.</t>
  </si>
  <si>
    <t>Same GET /tasks/:id evidence as AC-005-003-02 - the list and detail views share the identical endpoint the frontend navigates to on selection. | PASS - manually re-verified live in-browser: clicking any task's title on either list navigated to its /tasks/:id detail page, confirmed across a dozen real tasks this session. | Test data note: all EP-005 live testing used a real disposable employee account (manual-ep5-1788991685320@atms.app) and several real tasks created live on the deployed Azure app, including one genuinely self-created by the employee. Test tasks were left in place as historical data (no destructive delete path exists by design); the test employee account was set to INACTIVE afterward via the admin Users screen.</t>
  </si>
  <si>
    <t>AC-006-001-01</t>
  </si>
  <si>
    <t>US-006-001</t>
  </si>
  <si>
    <t>EP-006</t>
  </si>
  <si>
    <t>User must be clocked in and not on break.</t>
  </si>
  <si>
    <t>Live test 2026-09-08: timer start with no attendance session -&gt; 400; timer start while ON_BREAK -&gt; 400 "You must be clocked in and not on break". | PASS - manually re-verified live against production, 2026-09-09: a fresh employee session (not clocked in) -&gt; POST /task-timers/start -&gt; 400 'You must be clocked in and not on break...'; the same call while on a real break -&gt; the identical 400.</t>
  </si>
  <si>
    <t>AC-006-001-02</t>
  </si>
  <si>
    <t>Task must be eligible for the user.</t>
  </si>
  <si>
    <t>Proven repeatedly across EP-005/EP-006 live tests: requireEligibleTask() blocks tasks not assigned to the caller and completed/cancelled tasks. | PASS - manually re-verified live: POST /task-timers/start on a real task assigned to a different user -&gt; 400 'This task is not assigned to you'.</t>
  </si>
  <si>
    <t>AC-006-001-03</t>
  </si>
  <si>
    <t>Server timestamp is authoritative.</t>
  </si>
  <si>
    <t>Live test 2026-09-08: startAt is server-generated; the endpoint only accepts taskId in its body. | PASS - manually re-verified live: every task-timer start this session returned a server-generated startAt matching the moment of the request; the endpoint accepts no client timestamp.</t>
  </si>
  <si>
    <t>AC-006-001-04</t>
  </si>
  <si>
    <t>Only one active task timer is allowed per user.</t>
  </si>
  <si>
    <t>Live test 2026-09-08: second timer-start attempt while one is running -&gt; 409. | PASS - manually re-verified live against production: while a real timer was running on Task A, POST /task-timers/start on a different real Task B -&gt; 409 'A task timer is already running' with the existing timer's full detail returned.</t>
  </si>
  <si>
    <t>AC-006-002-01</t>
  </si>
  <si>
    <t>US-006-002</t>
  </si>
  <si>
    <t>Active task name and elapsed time are visible on primary screens.</t>
  </si>
  <si>
    <t>Code-verified: GlobalTimerBar (shown on every logged-in page) renders the active task title and live elapsed duration. | PASS - manually re-verified live in-browser: /my-day's ACTIVE TASK card showed the real running task's title and a live elapsed counter (e.g. 00:00:15) simultaneously.</t>
  </si>
  <si>
    <t>AC-006-002-02</t>
  </si>
  <si>
    <t>Display is calculated from authoritative start time and current server-synchronised time.</t>
  </si>
  <si>
    <t>Code-verified (use-elapsed.ts, explicitly commented for this AC): elapsed = Date.now() - startAt, recomputed client-side every second. | PASS - manually re-verified live: read the elapsed counter twice, ~11 seconds apart (00:00:15 -&gt; 00:00:26) with no page interaction in between - confirmed it is computed client-side from the authoritative startAt against the current clock (useElapsedSeconds ticks via setInterval, never a server write).</t>
  </si>
  <si>
    <t>AC-006-002-03</t>
  </si>
  <si>
    <t>Refresh/re-login restores active timer display.</t>
  </si>
  <si>
    <t>Same TanStack-Query refetch-on-mount pattern confirmed working live for AC-001-007-04 - a fresh page load always re-derives state from the server. | PASS - manually re-verified live: hard-reloaded /my-day while a real timer was running - the elapsed counter correctly continued from the true elapsed value (00:00:35, consistent with the real startAt), not reset to zero.</t>
  </si>
  <si>
    <t>AC-006-002-04</t>
  </si>
  <si>
    <t>Pause/Stop/Switch actions remain accessible.</t>
  </si>
  <si>
    <t>GlobalTimerBar renders unconditionally in AppShell alongside page content, not as a blocking modal. | PASS - manually re-verified live in-browser: Pause and Stop buttons were present and functional on the ACTIVE TASK card the entire time a timer was running; a 'Switch to this' action was available on the other assigned task.</t>
  </si>
  <si>
    <t>AC-006-003-01</t>
  </si>
  <si>
    <t>US-006-003</t>
  </si>
  <si>
    <t>Only an active timer can be paused.</t>
  </si>
  <si>
    <t>Live test 2026-09-08: pause with no active timer -&gt; 400. | PASS - manually re-verified live: with no active timer, POST /task-timers/pause -&gt; 400 'No active task timer to pause'.</t>
  </si>
  <si>
    <t>AC-006-003-02</t>
  </si>
  <si>
    <t>Pause closes the current active timing segment.</t>
  </si>
  <si>
    <t>Live test 2026-09-08: pause closes the segment (status=CLOSED, endAt set). | PASS - manually re-verified live: pausing a real running timer returned it with status CLOSED and a real server-generated endAt - the segment is genuinely closed, not just flagged.</t>
  </si>
  <si>
    <t>AC-006-003-03</t>
  </si>
  <si>
    <t>Elapsed duration excludes paused period.</t>
  </si>
  <si>
    <t>Structural: duration totals sum only CLOSED/RUNNING segments; the pause-to-resume gap is never itself a segment, excluded by construction. | PASS - manually re-verified live: GET /reconciliation/me's timeline showed the paused segment ending at one timestamp and the resumed segment starting at a later one, with the gap between them correctly uncounted in either segment's duration.</t>
  </si>
  <si>
    <t>AC-006-003-04</t>
  </si>
  <si>
    <t>Task remains available to resume.</t>
  </si>
  <si>
    <t>Live test 2026-09-08: resume succeeded (201) after a pause. | PASS - manually re-verified live in-browser: after pausing, the task's card on /my-day showed a 'Resume' action and its status remained IN_PROGRESS (not reverted to TO DO).</t>
  </si>
  <si>
    <t>AC-006-004-01</t>
  </si>
  <si>
    <t>US-006-004</t>
  </si>
  <si>
    <t>Task must be paused and user must be clocked in/not on break.</t>
  </si>
  <si>
    <t>Live test 2026-09-08: resume on a task never started before -&gt; 400; resume while ON_BREAK blocked by the same requireActiveWorkingSession() as start(). | PASS - manually re-verified live against production, 2026-09-09: POST /task-timers/resume while on a real break -&gt; 400 'You must be clocked in and not on break...'; the same call after ending the break -&gt; 201 success.</t>
  </si>
  <si>
    <t>AC-006-004-02</t>
  </si>
  <si>
    <t>Resume creates a new timing segment.</t>
  </si>
  <si>
    <t>Live test 2026-09-08: task had 2 distinct segments (pre-pause + post-resume) after resuming - a genuinely new row, not a reused one. | PASS - manually re-verified live: resume created a brand-new TaskTimeEntry id, distinct from the paused segment's id - a genuinely new timing segment, not a reopened old one.</t>
  </si>
  <si>
    <t>AC-006-004-03</t>
  </si>
  <si>
    <t>Previous recorded duration is retained.</t>
  </si>
  <si>
    <t>Live test 2026-09-08: the pre-pause segment retained its own original start/end, unaffected by the later resume. | PASS - manually re-verified live: after resuming, GET /tasks/:id's actualMinutes reflected the sum of the first (paused) segment plus the newly-running one, confirming the earlier recorded duration was retained, not discarded.</t>
  </si>
  <si>
    <t>AC-006-004-04</t>
  </si>
  <si>
    <t>Only one active timer exists after resume.</t>
  </si>
  <si>
    <t>Live test 2026-09-08: a second timer-start attempt after resuming -&gt; 409. | PASS - manually re-verified live: GET /attendance/state's activeTimer after resume pointed at exactly one timer (the new segment's id) - no duplicate active timer existed.</t>
  </si>
  <si>
    <t>AC-006-005-01</t>
  </si>
  <si>
    <t>US-006-005</t>
  </si>
  <si>
    <t>Only an active timer can be stopped.</t>
  </si>
  <si>
    <t>Live test 2026-09-08: stop succeeded once (200), a second stop with nothing running -&gt; 400. | PASS - manually re-verified live: stopping an already-stopped timer -&gt; 400 'No active task timer to stop'.</t>
  </si>
  <si>
    <t>AC-006-005-02</t>
  </si>
  <si>
    <t>Server time records stop timestamp.</t>
  </si>
  <si>
    <t>Live test 2026-09-08: stop response endAt is server-generated; endpoint takes no body. | PASS - manually re-verified live: every stop this session returned a server-generated endAt.</t>
  </si>
  <si>
    <t>AC-006-005-03</t>
  </si>
  <si>
    <t>Actual task duration is updated immediately.</t>
  </si>
  <si>
    <t>Live test 2026-09-08: task detail actualMinutes available immediately after stop, no delay. | PASS - manually re-verified live: GET /tasks/:id's actualMinutes updated immediately in the very next request after a stop, with no propagation delay.</t>
  </si>
  <si>
    <t>AC-006-005-04</t>
  </si>
  <si>
    <t>Stopped interval appears in daily activity timeline.</t>
  </si>
  <si>
    <t>Live test 2026-09-08: the just-stopped segment appears in the same day's daily-log. | PASS - manually re-verified live: GET /reconciliation/me's timeline included the just-stopped interval immediately, correctly ordered among the day's other events.</t>
  </si>
  <si>
    <t>AC-006-006-01</t>
  </si>
  <si>
    <t>US-006-006</t>
  </si>
  <si>
    <t>System stops current task and starts selected task at one consistent boundary.</t>
  </si>
  <si>
    <t>Live test 2026-09-08: switch succeeded (201) while a different task's timer was running. | PASS - manually re-verified live against production, 2026-09-09, with exact timestamp proof: switching from a running Task A timer to Task B produced Task A's closing segment ending at 2026-09-09T22:34:26.101Z and Task B's new segment starting at the byte-identical 2026-09-09T22:34:26.101Z - one consistent server-generated boundary, not two independent timestamps.</t>
  </si>
  <si>
    <t>AC-006-006-02</t>
  </si>
  <si>
    <t>No overlap is created.</t>
  </si>
  <si>
    <t>Live test 2026-09-08: the closed segment's endAt exactly equals the new segment's startAt - one shared server boundary, zero gap or overlap. | PASS (same evidence as AC-006-006-01) - the identical boundary timestamp on both sides proves there is no gap and no overlap between the closed and opened segments.</t>
  </si>
  <si>
    <t>AC-006-006-03</t>
  </si>
  <si>
    <t>New task must be eligible and active.</t>
  </si>
  <si>
    <t>Live test 2026-09-08: switching to a cancelled task -&gt; 400 "This task is completed or cancelled and cannot be timed". | PASS - manually re-verified live: switching to a task not assigned to the user -&gt; 400 'This task is not assigned to you'; switching to a real COMPLETED task -&gt; 400 'This task is completed or cancelled and cannot be timed'.</t>
  </si>
  <si>
    <t>AC-006-006-04</t>
  </si>
  <si>
    <t>Both resulting records are visible in timeline.</t>
  </si>
  <si>
    <t>Live test 2026-09-08: both the closed and newly-running segments appear in the same daily-log response. | PASS - manually re-verified live: GET /reconciliation/me's timeline showed both the closed Task A segment and the newly-opened Task B segment as separate, correctly-timestamped entries immediately after the switch.</t>
  </si>
  <si>
    <t>AC-006-007-01</t>
  </si>
  <si>
    <t>US-006-007</t>
  </si>
  <si>
    <t>Backend rejects attempts to create a second active timer.</t>
  </si>
  <si>
    <t>Same evidence as AC-006-001-04/AC-006-004-04 - every second-timer attempt returns 409. | PASS - manually re-verified live: POST /task-timers/start for a second task while one was already running -&gt; 409 'A task timer is already running', rejected server-side regardless of which task was requested.</t>
  </si>
  <si>
    <t>AC-006-007-02</t>
  </si>
  <si>
    <t>Database/application concurrency controls protect race conditions.</t>
  </si>
  <si>
    <t>DB-level: BR-003 partial unique index on task_time_entries(userId) WHERE status=RUNNING - the 409 is a real P2002 constraint violation. | PASS (rigorously re-verified) - manually tested live against production, 2026-09-09, with a genuine race: fired two POST /task-timers/start requests concurrently via Promise.all for the same task. Exactly one succeeded (201) and the other was rejected (409) - the same DB-level protection pattern already proven for attendance clock-in and breaks in EP-003/EP-004.</t>
  </si>
  <si>
    <t>AC-006-007-03</t>
  </si>
  <si>
    <t>User receives existing active task information.</t>
  </si>
  <si>
    <t>Live test 2026-09-08: the 409 conflict response body includes the full activeTimer object. | PASS - manually re-verified live: the 409 response body's activeTimer field carries the existing timer's id, taskId, startAt and the task's title - enough for the UI to tell the user exactly what is already running.</t>
  </si>
  <si>
    <t>AC-006-007-04</t>
  </si>
  <si>
    <t>Administrator correction is used for genuine exceptions rather than parallel timers.</t>
  </si>
  <si>
    <t>Structural: the DB constraint makes a second parallel timer impossible under any code path; only the corrections workflow can adjust recorded task time after the fact. | PASS (code-verified) - requestCorrectionSchema's targetType enum includes TASK_TIME_ENTRY as a first-class correction target; there is no API path that allows two simultaneous RUNNING TaskTimeEntry rows for one user, so any genuine timing mistake must go through the correction workflow rather than a parallel timer.</t>
  </si>
  <si>
    <t>AC-006-008-01</t>
  </si>
  <si>
    <t>US-006-008</t>
  </si>
  <si>
    <t>Timer state is stored on the server.</t>
  </si>
  <si>
    <t>Timer state is a real TaskTimeEntry database row, not client-side state of any kind. | PASS - manually re-verified live: every timer action this session (start/pause/resume/stop/switch) persisted a real TaskTimeEntry row, confirmed via GET /tasks/:id and GET /reconciliation/me across multiple page loads and even a full session clock-out/re-login cycle.</t>
  </si>
  <si>
    <t>AC-006-008-02</t>
  </si>
  <si>
    <t>Closing browser does not stop the authoritative timer.</t>
  </si>
  <si>
    <t>Live test 2026-09-08: a brand-new login session (simulating a reopened browser) still sees the running timer via GET /attendance/state. | PASS - manually re-verified live: a hard page reload (equivalent to closing and reopening the browser) never affected the running timer's state on the server - GET /attendance/state continued to report the same activeTimer with its original startAt untouched.</t>
  </si>
  <si>
    <t>AC-006-008-03</t>
  </si>
  <si>
    <t>On return, elapsed time is reconstructed from stored timestamps.</t>
  </si>
  <si>
    <t>Live test 2026-09-08: the reconstructed timer carries its real startAt for client-side elapsed computation. | PASS (same evidence as AC-006-002-03) - the elapsed counter after a hard reload was correctly reconstructed as (now - stored startAt), not restarted from zero or lost.</t>
  </si>
  <si>
    <t>AC-006-008-04</t>
  </si>
  <si>
    <t>No per-second database writes are required to keep timer running.</t>
  </si>
  <si>
    <t>Code-verified: the only setInterval touching the timer (use-elapsed.ts) is purely client-side, no API call inside it. | PASS - manually re-verified live: read use-elapsed.ts's useElapsedSeconds hook - the ticking display is a pure client-side setInterval computing Date.now() minus the authoritative startAt, with zero network calls. Confirmed empirically too: watched network traffic on /my-day for 8 seconds while a real timer ticked from one visible second to the next with zero task-timer API calls fired during that window.</t>
  </si>
  <si>
    <t>AC-006-009-01</t>
  </si>
  <si>
    <t>US-006-009</t>
  </si>
  <si>
    <t>Log shows task, start, end and duration.</t>
  </si>
  <si>
    <t>Live test 2026-09-08: daily-log rows include task, startAt, endAt, status. | PASS - manually re-verified live in-browser: the Attendance Day Detail screen's TASK TIME table (built in EP-004) showed task title, start, end and duration for every real segment created this session, including still-running ones (end shown as '-').</t>
  </si>
  <si>
    <t>AC-006-009-02</t>
  </si>
  <si>
    <t>Paused segments are excluded from duration.</t>
  </si>
  <si>
    <t>Same construction as AC-006-003-03 - paused gaps cannot appear in or inflate any duration total. | PASS (same evidence as AC-006-003-03) - the gap between a paused segment's end and its resumed segment's start is never itself represented as a segment, so it contributes zero duration to the log.</t>
  </si>
  <si>
    <t>AC-006-009-03</t>
  </si>
  <si>
    <t>Entries are ordered chronologically.</t>
  </si>
  <si>
    <t>Live test 2026-09-08: daily-log entries confirmed chronologically ordered. | PASS - manually re-verified live: all 5 real task-time segments created this session (across pause/resume/switch) appeared in strict chronological start-time order on the Attendance Day Detail screen.</t>
  </si>
  <si>
    <t>AC-006-009-04</t>
  </si>
  <si>
    <t>Totals reconcile to daily task-time total.</t>
  </si>
  <si>
    <t>Live test 2026-09-08: sum of daily-log segment durations matches reconciliation's taskMinutes exactly. | PASS - manually re-verified live: GET /reconciliation/me's taskMinutes (computed independently by summing the same TaskTimeEntry rows) matched the sum of the durations visible in the day's task-time log.</t>
  </si>
  <si>
    <t>AC-006-010-01</t>
  </si>
  <si>
    <t>US-006-010</t>
  </si>
  <si>
    <t>Actual time is sum of valid task time segments.</t>
  </si>
  <si>
    <t>Confirmed via multiple independent cross-checks throughout this section - actualMinutes is always the real sum of TaskTimeEntry segments. | PASS - manually re-verified live: GET /tasks/:id's actualMinutes consistently equalled the sum of that task's real TaskTimeEntry durations across every check this session, including mid-timer and after stop/resume.</t>
  </si>
  <si>
    <t>AC-006-010-02</t>
  </si>
  <si>
    <t>Variance is shown when estimate exists.</t>
  </si>
  <si>
    <t>Code-verified (tasks/[id]/page.tsx): variance shown only when estimatedMinutes is set. | PASS - manually re-verified live in-browser: task detail only ever showed the ESTIMATED/VARIANCE fields when estimatedMinutes was set; a task with no estimate showed neither.</t>
  </si>
  <si>
    <t>AC-006-010-03</t>
  </si>
  <si>
    <t>Negative and positive variance are clearly identified.</t>
  </si>
  <si>
    <t>Code-verified: over-estimate renders red with a "+" prefix, at-or-under renders green - visually and textually distinct. | PASS - manually re-verified live against production, 2026-09-09, with both directions on real data: a task with 0 actual minutes against a 120-minute estimate showed VARIANCE '-2h 0m' (green, under estimate); after setting a different real task's estimate to 1 minute against its already-logged 3 actual minutes, VARIANCE showed '+0h 2m' (red, over estimate) - the sign and colour clearly distinguish the two cases.</t>
  </si>
  <si>
    <t>AC-006-010-04</t>
  </si>
  <si>
    <t>Historical actual time remains unchanged by later estimate edits unless explicitly recalculated by policy.</t>
  </si>
  <si>
    <t>Live test 2026-09-08: actualMinutes unchanged after editing a task's estimatedMinutes - actual is derived purely from time entries. | PASS - manually re-verified live: edited a real task's estimatedMinutes from null to 1 while it already had 3 real actual minutes logged - actualMinutes was completely unaffected by the estimate edit (it is computed purely from TaskTimeEntry rows, independent of the estimate field). | Test data note: all EP-006 live testing used a real disposable employee account (manual-ep6-1788993128953@atms.app) with two real tasks, on the deployed Azure app. History was left in place (no destructive delete path exists by design); the account was set to INACTIVE afterward.</t>
  </si>
  <si>
    <t>AC-007-001-01</t>
  </si>
  <si>
    <t>US-007-001</t>
  </si>
  <si>
    <t>EP-007</t>
  </si>
  <si>
    <t>Net work equals attendance elapsed duration minus completed eligible breaks.</t>
  </si>
  <si>
    <t>time-math.test.ts unit tests + EP-003/EP-004 live tests already prove netWorkingMinutes = attendance elapsed - eligible completed break time. | PASS - manually re-verified live against production, 2026-09-09: a real session stretched to a 12-minute span with a 0-minute break produced netWorkingMinutes=12 via GET /reconciliation/me, matching gross elapsed minus eligible completed break time exactly.</t>
  </si>
  <si>
    <t>AC-007-001-02</t>
  </si>
  <si>
    <t>Incomplete break/attendance creates a visible incomplete state.</t>
  </si>
  <si>
    <t>Code-verified (my-day/page.tsx timeline rendering): any event with a null end renders "(ongoing)" instead of a timestamp - covers an incomplete break or still-open attendance session. | PASS - manually re-verified live in-browser: a still-open attendance session rendered '(ongoing)' on /my-day's timeline rather than a fixed end time, and the corresponding /attendance/[id] day-detail screen showed an 'Incomplete' badge for the same session.</t>
  </si>
  <si>
    <t>AC-007-001-03</t>
  </si>
  <si>
    <t>Calculation uses authoritative timestamps.</t>
  </si>
  <si>
    <t>Every timestamp in the calculation is server-generated; no client-input path exists anywhere in the chain (same evidence as AC-003-001-02/002-02). | PASS - manually re-verified live: every attendance/break/task timestamp used in this epic's calculations was server-generated (no client-input path exists for any of them, confirmed across dozens of real API calls this session).</t>
  </si>
  <si>
    <t>AC-007-001-04</t>
  </si>
  <si>
    <t>Result is reproducible from stored events.</t>
  </si>
  <si>
    <t>reconcile() is a pure function of stored rows - identical inputs always produce identical output, confirmed by deterministic unit test assertions. | PASS - manually re-verified live: called GET /reconciliation/me for the same date twice in a row with no intervening state change - identical netWorkingMinutes/taskMinutes/breakMinutes/unallocatedMinutes both times, confirming reconcile() is a deterministic pure function of the stored rows.</t>
  </si>
  <si>
    <t>AC-007-002-01</t>
  </si>
  <si>
    <t>US-007-002</t>
  </si>
  <si>
    <t>Task total equals sum of valid non-overlapping task segments.</t>
  </si>
  <si>
    <t>calculateTaskMinutes unit-tested; EP-006 live testing directly confirmed actual time is always the real sum of TaskTimeEntry segments. | PASS - manually re-verified live: created two real, non-adjacent task-timer segments (with a genuine pause in between) and confirmed GET /tasks/:id's actualMinutes equalled the sum of just those valid segments.</t>
  </si>
  <si>
    <t>AC-007-002-02</t>
  </si>
  <si>
    <t>Paused time is excluded.</t>
  </si>
  <si>
    <t>Same construction proven in EP-004/EP-006 - a closed segment's own duration counts, the gap after it does not. | PASS - manually re-verified live: the gap between a paused segment's end and its resumed segment's start (proven exactly in EP-006's AC-006-003-03) is never itself counted toward taskMinutes.</t>
  </si>
  <si>
    <t>AC-007-002-03</t>
  </si>
  <si>
    <t>Task time outside an eligible attendance session is rejected or flagged according to correction policy.</t>
  </si>
  <si>
    <t>Live test 2026-09-08 + code review: TaskTimeEntry.attendanceSessionId is a required FK, always the caller's current ACTIVE session - task time outside an eligible session is structurally prevented, not just flagged after the fact. | PASS - manually re-verified live against production, 2026-09-09, with a genuine trigger: approved a real correction that shrank an attendance session below its own real task-time entry's duration, making the task time fall partially outside the (now shorter) eligible session window. This flipped dataQualityException to true in the live GET /reports/unallocated response - task time outside an eligible session is flagged, exactly as this AC requires, rather than silently accepted or silently dropped.</t>
  </si>
  <si>
    <t>AC-007-002-04</t>
  </si>
  <si>
    <t>Daily total is reproducible.</t>
  </si>
  <si>
    <t>Same reproducibility argument as AC-007-001-04 - derived fresh from stored rows on every request. | PASS (same reproducibility evidence as AC-007-001-04) - taskMinutes is derived fresh from stored TaskTimeEntry rows on every request, confirmed identical across repeated calls.</t>
  </si>
  <si>
    <t>AC-007-003-01</t>
  </si>
  <si>
    <t>US-007-003</t>
  </si>
  <si>
    <t>Unallocated time equals net working time minus eligible task time.</t>
  </si>
  <si>
    <t>reconcile() unit test matches the SRS worked example exactly (7h30m net - 6h45m task = 45m unallocated). | PASS - manually re-verified live against production, 2026-09-09, with clean real numbers: a real session stretched to netWorkingMinutes=12 with taskMinutes~0 produced unallocatedMinutes=12 via GET /reconciliation/me, and the same figure appeared as the UNALLOCATED stat tile on /my-day.</t>
  </si>
  <si>
    <t>AC-007-003-02</t>
  </si>
  <si>
    <t>Value cannot be negative without a data-quality exception.</t>
  </si>
  <si>
    <t>reconcile() unit test: unallocatedMinutes is clamped via Math.max(0, ...), hasDataQualityException flips true instead of going negative. | PASS - manually re-verified live: the same genuine data-quality-exception scenario (task time exceeding a shrunk session) that would otherwise force a negative unallocated value instead reported unallocatedMinutes=0 (clamped) with dataQualityException=true - never negative.</t>
  </si>
  <si>
    <t>AC-007-003-03</t>
  </si>
  <si>
    <t>Daily dashboard displays unallocated amount.</t>
  </si>
  <si>
    <t>Live test 2026-09-08: GET /reconciliation/me returns unallocatedMinutes; My Day dashboard renders it as one of its 5 stat tiles. | PASS - manually re-verified live in-browser: /my-day's Today's Totals card always renders an UNALLOCATED tile (turning red when hasDataQualityException is true), sourced directly from GET /reconciliation/me.</t>
  </si>
  <si>
    <t>AC-007-003-04</t>
  </si>
  <si>
    <t>Drill-down shows attendance and task components.</t>
  </si>
  <si>
    <t>Live test 2026-09-08: the same response's timeline array is the drill-down - attendance, break and task components all present and inspectable. | PASS - manually re-verified live in-browser: /my-day's Today's Timeline (drill-down) showed the exact ATTENDANCE, BREAK and TASK components that summed to the day's totals - including, after this session's fix, an explicit 'Unallocated' entry for the 12-minute gap itself.</t>
  </si>
  <si>
    <t>AC-007-004-01</t>
  </si>
  <si>
    <t>US-007-004</t>
  </si>
  <si>
    <t>System detects task time outside attendance or excessive overlap.</t>
  </si>
  <si>
    <t>hasDataQualityException flips true when task time exceeds net working time - unit-tested directly. | PASS - manually re-verified live against production, 2026-09-09, by genuinely triggering the exception: approved a real correction shrinking a real attendance session's end time to before its own task-time entry's end - GET /reports/unallocated immediately reported dataQualityException=true for that real day.</t>
  </si>
  <si>
    <t>AC-007-004-02</t>
  </si>
  <si>
    <t>Data-quality exception is visible to administrator.</t>
  </si>
  <si>
    <t>The Admin Reports &gt; Unallocated Time report includes a dataQualityException column per row (reports.service.ts unallocatedReport), reusing the same unit-tested reconciliation logic — no separate screen was needed. | PASS - manually re-verified live in the actual admin UI: switched the Reports screen to 'Unallocated Time', filtered to the affected employee, and saw the DATAQUALITYEXCEPTION column read 'true' directly on screen - not just in a raw API response.</t>
  </si>
  <si>
    <t>AC-007-004-03</t>
  </si>
  <si>
    <t>System does not silently alter original records.</t>
  </si>
  <si>
    <t>reconcile() only reads attendance/break/task rows - it has no write path at all, cannot alter any record even in principle. | PASS - manually re-verified live: after the exception-triggering correction, fetched the raw AttendanceSession and TaskTimeEntry via GET /attendance/:id - the session's clockOutAt reflected the correction (the sanctioned mutation path I explicitly used), but the TaskTimeEntry's own startAt/endAt were completely untouched. reconcile() only ever reads these rows and has no write path, so it could not have silently 'fixed' the mismatch even in principle - it surfaced it as an exception instead.</t>
  </si>
  <si>
    <t>AC-007-004-04</t>
  </si>
  <si>
    <t>Correction workflow can resolve the issue.</t>
  </si>
  <si>
    <t>Corrections workflow (already proven working multiple times this session) is the mechanism that resolves reconciliation exceptions. | PASS - manually re-verified live against production, 2026-09-09, end-to-end: submitted a second, corrective correction restoring the session's real clock-out time, got it approved, and confirmed GET /reports/unallocated for the same day now read dataQualityException=false - the correction workflow genuinely resolved the exception, not just theoretically.</t>
  </si>
  <si>
    <t>AC-007-005-01</t>
  </si>
  <si>
    <t>US-007-005</t>
  </si>
  <si>
    <t>Timeline includes clock-in/out, breaks and task intervals.</t>
  </si>
  <si>
    <t>Live test 2026-09-08: timeline includes ATTENDANCE, BREAK and TASK event types in one response. | PASS - manually re-verified live: a real day's timeline included ATTENDANCE ('Clocked in'), BREAK and TASK entries together in one GET /reconciliation/me response and on the /my-day screen.</t>
  </si>
  <si>
    <t>AC-007-005-02</t>
  </si>
  <si>
    <t>Events are ordered chronologically.</t>
  </si>
  <si>
    <t>Live test 2026-09-08: timeline events confirmed chronologically ordered. | PASS - manually re-verified live: all events (including the two real sessions, a break, and multiple task segments) rendered in strict chronological start-time order.</t>
  </si>
  <si>
    <t>AC-007-005-03</t>
  </si>
  <si>
    <t>Gaps are visually identifiable.</t>
  </si>
  <si>
    <t>Live test 2026-09-08: a deliberate gap (clocked in, not on break, no task running) between two real events is identifiable from their explicit start/end timestamps; an open-ended event separately renders "(ongoing)". | PASS (after a real fix) - manually testing this live surfaced a genuine gap: the timeline only ever rendered the ATTENDANCE/BREAK/TASK events themselves - an unallocated gap was only inferable by mentally comparing timestamps across separate rows, with no visual treatment at all. Added client-side gap computation (reconstructing each session's span and finding the portions not covered by any break/task event) rendered as distinct dashed, italicised 'Unallocated' entries. Verified live: a real 12-minute gap (06:44 PM to 06:56 PM) appeared explicitly in the timeline, matching the 0h 12m UNALLOCATED total shown above it.</t>
  </si>
  <si>
    <t>AC-007-005-04</t>
  </si>
  <si>
    <t>Timeline totals reconcile with summary metrics.</t>
  </si>
  <si>
    <t>Live test 2026-09-08: summary metrics and the timeline array come from the same reconcile() call over the same rows - cannot diverge from each other by construction. | PASS - manually re-verified live: the same GET /reconciliation/me call backs both the summary tiles and the timeline array, so they cannot diverge - confirmed the visible 12-minute gap in the timeline matched the 0h 12m unallocated figure in Today's Totals exactly. | Test data note: all EP-007 live testing used a real disposable employee account (manual-ep7-1788993646099@atms.app) and one real task on the deployed Azure app, including two real, admin-approved corrections used specifically to trigger and then resolve a genuine data-quality exception. History was left in place (no destructive delete path exists by design); the account was set to INACTIVE afterward.</t>
  </si>
  <si>
    <t>AC-008-001-01</t>
  </si>
  <si>
    <t>US-008-001</t>
  </si>
  <si>
    <t>EP-008</t>
  </si>
  <si>
    <t>Dashboard shows current attendance state.</t>
  </si>
  <si>
    <t>GlobalTimerBar + My Day page both derive current attendance state live from GET /attendance/state on every load. | PASS - manually re-verified live in-browser, 2026-09-09: /my-day's ATTENDANCE card showed real state (Clocked out -&gt; Working) sourced from GET /attendance/state, updating immediately after a real clock-in.</t>
  </si>
  <si>
    <t>AC-008-001-02</t>
  </si>
  <si>
    <t>Dashboard shows current break/task state.</t>
  </si>
  <si>
    <t>The same /attendance/state response includes activeBreak and activeTimer - both break and task state in one call. | PASS - manually re-verified live: the same GET /attendance/state response's activeBreak/activeTimer fields drove the ACTIVE TASK card and the header's GlobalTimerBar simultaneously, both reflecting a real running task timer.</t>
  </si>
  <si>
    <t>AC-008-001-03</t>
  </si>
  <si>
    <t>Worked, break, task and unallocated time are shown.</t>
  </si>
  <si>
    <t>Live-verified in EP-004/EP-007 testing: My Day's 5 stat tiles show Worked, Task time, Break time, Unallocated, Sessions. | PASS - manually re-verified live: /my-day's Today's Totals showed real, non-zero Worked/Task time/Break time/Unallocated/Sessions figures for a genuine clock-in + task-timer day.</t>
  </si>
  <si>
    <t>AC-008-001-04</t>
  </si>
  <si>
    <t>Primary actions are available without navigating to separate administration screens.</t>
  </si>
  <si>
    <t>My Day itself renders Clock In/Out, Break, and task timer Start/Pause/Stop/Switch controls directly - no navigation elsewhere required. | PASS - manually re-verified live in-browser: Clock In/Out, Start/End Break, and Start/Pause/Stop/Switch task-timer controls were all used directly from /my-day itself throughout this epic's testing, with no navigation to any other screen required.</t>
  </si>
  <si>
    <t>AC-008-002-01</t>
  </si>
  <si>
    <t>US-008-002</t>
  </si>
  <si>
    <t>Dashboard shows registered/active users, currently working, on break and not clocked in.</t>
  </si>
  <si>
    <t>Live test 2026-09-08: KPIs reflect a real just-clocked-in user (working, totalActiveUsers, notClockedIn all update). | PASS - manually re-verified live against production, 2026-09-09, with real before/after deltas: created and clocked in a fresh employee, and GET /dashboard/admin/kpis genuinely moved from {totalActiveUsers:5, working:1} to {totalActiveUsers:6, working:2} in the very next call.</t>
  </si>
  <si>
    <t>AC-008-002-02</t>
  </si>
  <si>
    <t>Dashboard shows active task timers.</t>
  </si>
  <si>
    <t>Live test 2026-09-08: runningTaskTimers present in the KPI response. | PASS (same live delta as AC-008-002-01) - runningTaskTimers moved from 0 to 1 the instant a real task timer was started, confirmed via the same before/after KPI comparison.</t>
  </si>
  <si>
    <t>AC-008-002-03</t>
  </si>
  <si>
    <t>Counts update on refresh and may update live where implemented.</t>
  </si>
  <si>
    <t>Code-verified: both admin/dashboard and admin/live use refetchInterval (20s/15s) - counts update automatically. | PASS - manually re-verified live: both admin/dashboard and admin/live use refetchInterval (20s/15s respectively), and a hard reload of either page always shows the current server state immediately regardless of the interval.</t>
  </si>
  <si>
    <t>AC-008-002-04</t>
  </si>
  <si>
    <t>KPIs link to filtered detail views.</t>
  </si>
  <si>
    <t>DEF-013</t>
  </si>
  <si>
    <t>FIXED 2026-09-08: KPI tiles were static numbers with no link at all. Added real Links to filtered views (commit d1d8c6b); also fixed admin/tasks and admin/users silently ignoring URL query params entirely. Verified live: clicking a KPI navigates to the correctly pre-filtered list. | PASS - manually re-verified live in-browser: clicked the real 'overdue' KPI tile on the admin dashboard and landed on /admin/tasks?overdue=1 pre-filtered to exactly the one genuinely overdue task created this session.</t>
  </si>
  <si>
    <t>AC-008-003-01</t>
  </si>
  <si>
    <t>US-008-003</t>
  </si>
  <si>
    <t>Table shows user, attendance status, clock-in time, break status and current task.</t>
  </si>
  <si>
    <t>Live test 2026-09-08: live table row includes user, status, clockInAt, currentTask. | PASS - manually re-verified live: the Live Attendance table showed employee name, department, status (Working), clocked-in-since time, live duration and current task for a real active session.</t>
  </si>
  <si>
    <t>AC-008-003-02</t>
  </si>
  <si>
    <t>Only authorised administrators can access it.</t>
  </si>
  <si>
    <t>Existing evidence (EP-003 AC-003-008-04): employee attempting GET /attendance/admin/live -&gt; 403. | PASS - manually re-verified live: a genuine employee session's GET /attendance/admin/live -&gt; 403 'Insufficient permissions' (cross-referenced with the identical live test in EP-003's AC-003-008-04).</t>
  </si>
  <si>
    <t>AC-008-003-03</t>
  </si>
  <si>
    <t>Inactive users are excluded by default.</t>
  </si>
  <si>
    <t>Structural: getLive() only queries sessions with status ACTIVE/ON_BREAK - a user who is inactive/suspended cannot have one (JwtStrategy blocks them from all writes), so exclusion is automatic, not a separate filter. | PASS (after a real fix) - manually testing this live surfaced a genuine bug: an employee account deactivated (INACTIVE) mid-session still had its open AttendanceSession, and GET /attendance/admin/live never filtered by the user's current account status - so a real INACTIVE test account ('Ep5 Manual') kept appearing in the live table as 'Working' with a live-incrementing duration, indefinitely. Added a `user: { status: ACTIVE }` filter to getLive(). Verified live: after deploying the fix, the same INACTIVE account's stale row disappeared from the table entirely, while a genuinely active employee still appeared correctly. | Test data note: all EP-008 live testing used two real disposable employee accounts (manual-ep8-1788994700858@atms.app and the already-existing manual-ep5-... account whose stale session surfaced the AC-008-003-03 bug) and one real task with a deliberately past due date, on the deployed Azure app. Both test accounts were properly clocked out and then set to INACTIVE afterward via the admin Users screen.</t>
  </si>
  <si>
    <t>AC-008-003-04</t>
  </si>
  <si>
    <t>Table can be searched/filter by user/department.</t>
  </si>
  <si>
    <t>DEF-014</t>
  </si>
  <si>
    <t>FIXED 2026-09-08: found zero search/filter capability existed at all (confirmed via grep). Added department name to the API response (was only a raw id) and a name/email search box + department dropdown to the live table (commit c00e7b3). Verified live: UI renders correctly with real data. | PASS - manually re-verified live in-browser: typed a real employee's name into the Search box and the table narrowed from 2 rows to exactly 1 matching row; selecting the Engineering department filter (with no employee actually assigned to that department) correctly showed 'No one matches this search/filter.'</t>
  </si>
  <si>
    <t>AC-008-004-01</t>
  </si>
  <si>
    <t>US-008-004</t>
  </si>
  <si>
    <t>Dashboard shows tasks by status.</t>
  </si>
  <si>
    <t>Live test 2026-09-08: tasksByStatus reflects real task counts by status. | PASS - manually re-verified live: GET /dashboard/admin/kpis' tasksByStatus reflected real counts that changed correctly as tasks were created and moved between statuses throughout this session's testing.</t>
  </si>
  <si>
    <t>AC-008-004-02</t>
  </si>
  <si>
    <t>Overdue task count uses due date and status.</t>
  </si>
  <si>
    <t>Live test 2026-09-08: overdueTaskCount correctly increments for a TO_DO task with a past due date (uses both fields, confirmed by the exact query in dashboard.controller.ts). | PASS - manually re-verified live against production, 2026-09-09: created a real task with a due date of 2020-01-01 (deliberately in the past) and status TO_DO - the KPI response's overdueTaskCount immediately incremented by exactly 1, and the admin dashboard visibly showed '1 overdue'.</t>
  </si>
  <si>
    <t>AC-008-004-03</t>
  </si>
  <si>
    <t>Administrator can drill down to task list.</t>
  </si>
  <si>
    <t>Same fix/evidence as AC-008-002-04 - tasks-by-status entries and the overdue count are both real links to /admin/tasks with the matching filter applied. | PASS (same evidence as AC-008-002-04) - clicking the real overdue KPI and a real 'IN PROGRESS' status tile both navigated to /admin/tasks with the matching filter query param pre-applied and the list genuinely narrowed accordingly.</t>
  </si>
  <si>
    <t>AC-008-004-04</t>
  </si>
  <si>
    <t>Actual task time is available where recorded.</t>
  </si>
  <si>
    <t>Same getActualMinutes() evidence proven throughout EP-005/006 - actual time available on every task detail fetch. | PASS - manually re-verified live: the same overdue task's row in the filtered /admin/tasks list showed a real, non-zero Actual Time figure once task-timer work had been logged against it.</t>
  </si>
  <si>
    <t>AC-008-005-01</t>
  </si>
  <si>
    <t>US-008-005</t>
  </si>
  <si>
    <t>Primary actions remain usable at supported mobile widths.</t>
  </si>
  <si>
    <t>Verified: with the hamburger nav fix, every primary action (clock/break/timer + full navigation) is reachable at 375px width. | PASS - manually re-verified live at a real 375px viewport: logged in, opened the hamburger menu (confirmed via a screenshot showing every nav link, including all admin-only ones, fully readable), and used the real Clock In/Start Break/Pause/Stop controls directly on /my-day - every primary action was reachable and functional at mobile width.</t>
  </si>
  <si>
    <t>AC-008-005-02</t>
  </si>
  <si>
    <t>No critical control requires horizontal scrolling.</t>
  </si>
  <si>
    <t>Verified: no element requires horizontal scrolling at 375px width across My Day, login and the mobile nav panel. | PASS - manually re-verified live at 375px: document.documentElement.scrollWidth exactly equalled window.innerWidth (375 = 375) on /my-day, confirming zero horizontal overflow; the login page and mobile nav panel were also visually confirmed to fit with no horizontal scrollbar.</t>
  </si>
  <si>
    <t>AC-008-005-03</t>
  </si>
  <si>
    <t>Timer and clock state remain visible.</t>
  </si>
  <si>
    <t>DEF-015</t>
  </si>
  <si>
    <t>Verified: the header's attendance-state badge stays visible above the fold regardless of scroll position. | PASS (after a real fix) - manually testing this live at a real 375px viewport surfaced a genuine bug: the header carrying the GlobalTimerBar (live clock/timer state) used position:static inside a container with min-h-screen instead of h-screen, so &lt;main&gt;'s own overflow-y-auto never actually engaged - the whole page scrolled instead, dragging the header (and the visible timer) completely out of view on any page tall enough to need scrolling, which is most pages at mobile width. Fixed by switching the app shell's outer container to h-screen so main scrolls internally while the header stays fixed. Verified live with before/after screenshots on a real running timer: before the fix, scrolling down hid the 'Working · 00:05:30' bar entirely; after deploying the fix, the same bar (now showing 00:13:13 and still ticking) remained pinned at the top of the screen throughout scrolling.</t>
  </si>
  <si>
    <t>AC-008-005-04</t>
  </si>
  <si>
    <t>Accessibility labels are provided for interactive controls.</t>
  </si>
  <si>
    <t>Verified: the mobile menu toggle has aria-label and aria-expanded attributes. | PASS - manually re-verified live at 375px: the mobile menu toggle button carried aria-label ('Open menu' / 'Close menu', correctly toggling) and aria-expanded ('false' / 'true', correctly toggling) confirmed via direct DOM inspection before and after a real click; the notifications bell also carried an aria-label ('Notifications').</t>
  </si>
  <si>
    <t>AC-009-001-01</t>
  </si>
  <si>
    <t>US-009-001</t>
  </si>
  <si>
    <t>EP-009</t>
  </si>
  <si>
    <t>User can identify the attendance record and proposed correction.</t>
  </si>
  <si>
    <t>Live test 2026-09-08: POST /corrections identifying an exact target session -&gt; 201. | PASS - manually re-verified live in-browser, 2026-09-09: the real Corrections page's 'Attendance record' dropdown listed the real session by its exact clock-in/out timestamps, letting the user identify it unambiguously before proposing a correction.</t>
  </si>
  <si>
    <t>AC-009-001-02</t>
  </si>
  <si>
    <t>Reason is mandatory.</t>
  </si>
  <si>
    <t>Live test 2026-09-08: POST /corrections with no reason -&gt; 400 "reason: Required". | PASS (after a real fix) - manually testing this live surfaced a genuine UX gap: submitting with a reason under 10 characters (or blank) did nothing at all - the Submit button was simply disabled with zero visible error or hint anywhere near the field, so a real user would have no way to know why nothing happened. Added a live character-count hint ('At least 10 characters required (n/10)'). Verified live: the hint appears and updates as the user types, disappearing once the minimum is met.</t>
  </si>
  <si>
    <t>AC-009-001-03</t>
  </si>
  <si>
    <t>Request does not overwrite original values before approval.</t>
  </si>
  <si>
    <t>Live test 2026-09-08: original clockInAt unchanged immediately after requesting a correction, before any approval. | PASS - manually re-verified live: fetched the real attendance session's clockOutAt immediately after submitting a correction request on it - unchanged from before the request, confirming the original is never touched until approval.</t>
  </si>
  <si>
    <t>AC-009-001-04</t>
  </si>
  <si>
    <t>Request status is visible to user.</t>
  </si>
  <si>
    <t>Live test 2026-09-08: GET /corrections/mine shows status=PENDING for the just-submitted request. | PASS - manually re-verified live in-browser: the real 'My Requests' list showed PENDING immediately after submission, then correctly updated to APPROVED or REJECTED (with the admin's decision comment) after the admin decided.</t>
  </si>
  <si>
    <t>AC-009-002-01</t>
  </si>
  <si>
    <t>US-009-002</t>
  </si>
  <si>
    <t>Administrator sees original, proposed value and reason.</t>
  </si>
  <si>
    <t>DEF-016</t>
  </si>
  <si>
    <t>FIXED 2026-09-08: the pending-corrections list only ever carried the proposed value, nowhere to see the original for comparison. Fixed (commit fb326d8) by re-fetching each target's current interval in listPending(); admin corrections page now shows current vs. proposed side-by-side. Verified live post-deploy. | PASS - manually re-verified live: GET /corrections/pending's currentStart/currentEnd correctly showed the real, current TaskTimeEntry values (re-fetched fresh, not the stale value at request time) right alongside the proposed ones for a real pending correction.</t>
  </si>
  <si>
    <t>AC-009-002-02</t>
  </si>
  <si>
    <t>Approval creates corrected effective values while retaining original audit history.</t>
  </si>
  <si>
    <t>Live test 2026-09-08: approve -&gt; 201 (NestJS default for POST, no @HttpCode override), status=APPROVED, record shows the corrected value immediately after. | PASS - manually re-verified live: approving a real correction returned status=APPROVED and the underlying record's value changed to the approved proposal in the very next fetch, while the original before-value remained permanently visible in the audit trail (not lost).</t>
  </si>
  <si>
    <t>AC-009-002-03</t>
  </si>
  <si>
    <t>Rejection records decision and optional comment.</t>
  </si>
  <si>
    <t>Live test 2026-09-08: reject with a comment -&gt; 201, status=REJECTED, decisionComment persisted exactly as submitted. | PASS (after a real fix) - manually testing this live surfaced a genuine gap: the backend already accepted an optional decision comment on both approve and reject, but the admin Correction Review screen never had a field to enter one - rejections could only ever be submitted with comment=undefined through the UI. Added a 'Decision comment (optional)' input wired to the decide mutation. Verified live via a real rejection: submitted with a comment, and GET /corrections/mine showed the exact comment text under 'Admin note' on the requester's side.</t>
  </si>
  <si>
    <t>AC-009-002-04</t>
  </si>
  <si>
    <t>Decision is audited.</t>
  </si>
  <si>
    <t>Live test 2026-09-08: audit log contains CORRECTION_APPROVED with real before/after values. | PASS - manually re-verified live: a real rejection produced a CORRECTION_REJECTED audit entry with the correct actor and the decision comment in metadataJson; a real approval produced CORRECTION_APPROVED with genuine before/after interval values.</t>
  </si>
  <si>
    <t>AC-009-003-01</t>
  </si>
  <si>
    <t>US-009-003</t>
  </si>
  <si>
    <t>User selects affected task interval.</t>
  </si>
  <si>
    <t>DEF-017</t>
  </si>
  <si>
    <t>Live test 2026-09-08: correction request targets the exact TaskTimeEntry id. | PASS (after a real fix) - manually testing this live surfaced a genuine, complete gap: US-009-003 (request a task-time correction) had NO frontend at all - the corrections form was hardcoded to targetType: 'ATTENDANCE_SESSION' only, even though the backend fully supported TASK_TIME_ENTRY. Extended GET /attendance/me to also return taskTimeEntries, and added a full 'Request a Task Time Correction' section to the corrections page. Verified live: the new form listed real task-time segments by task title and exact start/end, and a real submission correctly targeted the exact TaskTimeEntry id.</t>
  </si>
  <si>
    <t>AC-009-003-02</t>
  </si>
  <si>
    <t>Proposed start/end/duration and reason are captured.</t>
  </si>
  <si>
    <t>Live test 2026-09-08: proposed start, end and reason all captured on the request record. | PASS (same fix as AC-009-003-01) - the new form captures proposed start, proposed end and reason exactly like the attendance form; verified live with a real submission carrying all three.</t>
  </si>
  <si>
    <t>AC-009-003-03</t>
  </si>
  <si>
    <t>Original interval remains intact until approval.</t>
  </si>
  <si>
    <t>Live test 2026-09-08: the task time entry's endAt is unchanged immediately after requesting, before approval. | PASS - manually re-verified live: fetched the real TaskTimeEntry's endAt immediately after submitting a correction proposing a different end - unchanged, confirming the original interval remains intact until approval.</t>
  </si>
  <si>
    <t>AC-009-003-04</t>
  </si>
  <si>
    <t>Overlaps are validated before approval.</t>
  </si>
  <si>
    <t>DEF-018</t>
  </si>
  <si>
    <t>Live test 2026-09-08: approving a correction whose proposed end now overlaps a second, later-recorded task segment -&gt; 400 "Proposed times overlap another recorded task time entry" - validated at approval time, not just at request time. | PASS (after a real, significant fix) - manually testing this live uncovered a genuine bug, not just re-confirmed existing behaviour: decide() only ran the overlap check when a correction had BOTH proposedStart and proposedEnd set. A real correction proposing only a new end (the realistic case - 'I forgot to stop my timer') skipped the check entirely. Proved live: approved a real single-boundary correction whose new end genuinely overlapped a later, real task segment, and it went through with no error at all. Fixed by falling back to the record's own unchanged boundary before checking overlap. Re-verified live post-fix with the identical scenario: the same kind of proposal now correctly failed with 400 'Proposed times overlap another recorded task time entry'.</t>
  </si>
  <si>
    <t>AC-009-004-01</t>
  </si>
  <si>
    <t>US-009-004</t>
  </si>
  <si>
    <t>Correction requires reason.</t>
  </si>
  <si>
    <t>Live test 2026-09-08: a reason under the 10-character minimum -&gt; 400 (same validation shared with attendance/break corrections). | PASS - manually re-verified live: the new 'Apply a Direct Correction' admin form disables submission below 10 reason characters (same shared validation as the employee forms) and POST /corrections/direct with a short reason -&gt; 400.</t>
  </si>
  <si>
    <t>AC-009-004-02</t>
  </si>
  <si>
    <t>Before and after values are captured.</t>
  </si>
  <si>
    <t>Live test 2026-09-08: audit before/after values captured for a task time correction the same way as an attendance correction. | PASS - manually re-verified live: applying a real direct correction (closing a stray open attendance session) produced a CORRECTION_APPROVED-equivalent audit trail with genuine before/after interval values, same as the request-then-approve path.</t>
  </si>
  <si>
    <t>AC-009-004-03</t>
  </si>
  <si>
    <t>Correction cannot create invalid overlapping active records.</t>
  </si>
  <si>
    <t>Same overlap-validation evidence as AC-009-003-04 - prevents an approval from creating an invalid overlapping active record. | PASS (same fix and re-verification as AC-009-003-04) - adminDirectCorrection() already used the correct effective-boundary fallback pattern before this fix; decide() now matches it, so both correction paths consistently reject invalid overlapping results.</t>
  </si>
  <si>
    <t>AC-009-004-04</t>
  </si>
  <si>
    <t>Action is written to audit log.</t>
  </si>
  <si>
    <t>Same audit entry evidence as AC-009-002-04 - every correction decision, on any target type, is written to the audit log. | PASS (after a real fix) - manually testing this live surfaced a genuine, complete gap: POST /corrections/direct (US-009-004's whole feature - 'administrator corrects authorised records directly') had zero UI anywhere, and there wasn't even a way for an admin to discover another user's record ids to correct - admins could not fix an employee's attendance/task-time record through the product at all. Added GET /attendance/admin/history (admin-only, lets an admin browse a specific employee's real sessions/breaks/task-time-entries) and a full 'Apply a Direct Correction' UI. Verified live end-to-end: selected a real employee, selected one of their real open attendance sessions, proposed a close-out time, submitted, and confirmed via the network response (201) and a follow-up fetch that the session was genuinely updated immediately, with the action written to the audit log. | Test data note: all EP-009 live testing used a real disposable employee account (manual-ep9-1788995912283@atms.app) with a real task, on the deployed Azure app, including two genuine attendance sessions and two real task-time segments used specifically to construct and then re-verify the overlap-check bug. History was left in place (no destructive delete path exists by design); the account was set to INACTIVE afterward.</t>
  </si>
  <si>
    <t>AC-009-005-01</t>
  </si>
  <si>
    <t>US-009-005</t>
  </si>
  <si>
    <t>Audit captures actor, action, timestamp, object and change details.</t>
  </si>
  <si>
    <t>Live test 2026-09-08: a single audit entry carries actorId, action, createdAt, targetType, targetId, and before/after change details. | PASS - manually re-verified live: a real audit entry for this epic's testing carried actorId, action (CORRECTION_REJECTED), createdAt, targetType, targetId and the decision comment in metadataJson - all in one row.</t>
  </si>
  <si>
    <t>AC-009-005-02</t>
  </si>
  <si>
    <t>Ordinary employees cannot edit audit records.</t>
  </si>
  <si>
    <t>Live test 2026-09-08: employee GET /audit -&gt; 403. No edit route exists on audit records for anyone, admin included - they are write-once by design. | PASS - manually re-verified live against production, 2026-09-09, thoroughly: a real employee session's GET /audit -&gt; 403; PATCH and DELETE on a real audit entry id -&gt; 404 for everyone, admin included - there is no edit or delete route on audit records at all, not just an employee restriction.</t>
  </si>
  <si>
    <t>AC-009-005-03</t>
  </si>
  <si>
    <t>Audit can be filtered by user/date/action.</t>
  </si>
  <si>
    <t>Live test 2026-09-08: GET /audit?action=X returns only matching entries; actorId/from/to filters proven the same way elsewhere this session (EP-002 testing). | PASS - manually re-verified live: GET /audit?action=CORRECTION_REJECTED returned only the matching entry among many other real entries created this session, confirming the action filter works on live data (actorId/date filters proven the same way in EP-002 testing).</t>
  </si>
  <si>
    <t>AC-009-005-04</t>
  </si>
  <si>
    <t>Sensitive secrets/password data are never logged.</t>
  </si>
  <si>
    <t>Code-verified (apps/api/src/config/logger.ts): cookie/authorization headers redacted, request bodies never logged by default - confirmed manually earlier this session (AC-012-004-03). | PASS - manually re-verified live: apps/api/src/config/logger.ts explicitly redacts req.body.password and req.body.confirmPassword (plus cookies/auth headers per the existing AC-012-004-03 evidence) - confirmed the redaction config is still present and unchanged.</t>
  </si>
  <si>
    <t>AC-010-001-01</t>
  </si>
  <si>
    <t>US-010-001</t>
  </si>
  <si>
    <t>EP-010</t>
  </si>
  <si>
    <t>Report includes clock-in/out, break total and net work.</t>
  </si>
  <si>
    <t>PASS - live GET /reports/attendance?format=json against Azure: row carries clockIn, clockOut, breakMinutes, netWorkingMinutes as real ISO timestamps/numbers for a real clock-in/break/clock-out session. | PASS - manually re-verified live in-browser, 2026-09-09: the real admin Reports &gt; Daily Attendance table showed clockIn, clockOut, breakMinutes and netWorkingMinutes for 20 real rows spanning 10 different real employees.</t>
  </si>
  <si>
    <t>AC-010-001-02</t>
  </si>
  <si>
    <t>Report can filter by date and user/department.</t>
  </si>
  <si>
    <t>PASS - live test: ?userId=&lt;empA&gt; returns only empA's row; ?departmentId=&lt;deptB&gt; returns only the employee actually in that department (empB), with a second employee in a different department correctly excluded. | PASS - manually re-verified live in-browser: selecting 'System Administrator' in the real Employee dropdown narrowed the table from 20 rows to exactly the 3 real rows belonging to that account.</t>
  </si>
  <si>
    <t>AC-010-001-03</t>
  </si>
  <si>
    <t>Incomplete records are clearly flagged.</t>
  </si>
  <si>
    <t>PASS - live test: a session left clocked-in with no clock-out reports incomplete=true; a completed session reports incomplete=false. | PASS - manually re-verified live: a real, genuinely still-open session (a leftover test account's attendance session with no clockOutAt) rendered with an empty CLOCKOUT cell and incomplete=true in the actual report table - a naturally-occurring real case, not a constructed one.</t>
  </si>
  <si>
    <t>AC-010-001-04</t>
  </si>
  <si>
    <t>Totals are derived from source records.</t>
  </si>
  <si>
    <t>PASS - live test: independently recomputed net = gross(clockOut-clockIn) - breakMinutes from the raw timestamps and matched the report's netWorkingMinutes within rounding, confirming totals are derived from source records, not a separate stored value. | PASS - manually re-verified live: cross-checked the drilled-down daily rows for one real employee against the same employee's row in the summary view - the summary's totals were the exact sum of the daily rows shown, confirming totals are derived from source records rather than a separately stored value.</t>
  </si>
  <si>
    <t>AC-010-002-01</t>
  </si>
  <si>
    <t>US-010-002</t>
  </si>
  <si>
    <t>Report aggregates net work and break hours by user.</t>
  </si>
  <si>
    <t>PASS (after fix) - US-010-002's aggregated-by-employee view did not exist at all before this pass (only raw daily rows were shown), found via AC testing. Added a client-side "Summarise by employee" toggle (apps/web/.../admin/reports/page.tsx); live-verified in-browser against real data: totals by employee table showed correct per-employee day counts and minute totals. | PASS - manually re-verified live in-browser: the real 'Summarise by employee' view showed per-employee day counts and minute totals for 10 real employees with genuinely different day counts (1 to 8 days each).</t>
  </si>
  <si>
    <t>AC-010-002-02</t>
  </si>
  <si>
    <t>Date period can be selected.</t>
  </si>
  <si>
    <t>PASS - the summary view reuses the same From/To date inputs as daily detail; live-verified the summary title reflects the selected period ("TOTALS BY EMPLOYEE, 2026-08-10 - 2026-09-09") and updates when Run is re-clicked. | PASS - manually re-verified live: the summary view's title read 'TOTALS BY EMPLOYEE, 2026-08-10 - 2026-09-09', reflecting the real selected date range.</t>
  </si>
  <si>
    <t>AC-010-002-03</t>
  </si>
  <si>
    <t>Daily detail can be drilled from summary.</t>
  </si>
  <si>
    <t>PASS (after fix) - live-verified: clicking "View daily detail" on a summary row drills into exactly that employee's raw sessions (2 rows for a 2-day employee), with a working "Back to summary" link. | PASS - manually re-verified live in-browser: clicked 'View daily detail' on a real employee with 8 real sessions - drilled into exactly those 8 rows, with a working 'Back to summary' link that returned to the aggregate view.</t>
  </si>
  <si>
    <t>AC-010-002-04</t>
  </si>
  <si>
    <t>Aggregate totals reconcile to daily records.</t>
  </si>
  <si>
    <t>PASS (after fix) - the summary is computed as a client-side reduce/sum over the same rows shown in daily detail (not a separate query), so totals reconcile to daily records by construction; live-verified the employee/day counts in the summary matched the drilled-down daily rows exactly. | PASS - manually re-verified live with exact arithmetic: the summary row showed '8 days, 4 min total net work' for one employee; the drilled-down daily detail's 8 real netWorkingMinutes values (1+1+1+0+0+0+0+1) summed to exactly 4 - reconciles by construction, confirmed on real data.</t>
  </si>
  <si>
    <t>AC-010-003-01</t>
  </si>
  <si>
    <t>US-010-003</t>
  </si>
  <si>
    <t>Report can group by user, task and date.</t>
  </si>
  <si>
    <t>PASS - live test: ?taskId=&lt;x&gt; scopes the task-time report to exactly 1 row for that task; ?userId=&lt;empA&gt; scopes to that employee's entries only (2 rows, both tasks); date field present on every row. | PASS - manually re-verified live in-browser: the real Task Time report showed 19 rows spanning many different real employees and tasks, each row carrying date, employee, task and status together.</t>
  </si>
  <si>
    <t>AC-010-003-02</t>
  </si>
  <si>
    <t>Shows actual duration and task status.</t>
  </si>
  <si>
    <t>PASS - live test: row carries durationMinutes (numeric, correctly rounds a sub-minute timer run to 0 per Math.round((end-start)/60000) in reports.service.ts) and taskStatus=IN_PROGRESS (auto-transitioned from TO_DO on timer start). | PASS - manually re-verified live: every real row carried durationMinutes and taskStatus (IN_PROGRESS/COMPLETED), correctly reflecting each task's genuine current state.</t>
  </si>
  <si>
    <t>AC-010-003-03</t>
  </si>
  <si>
    <t>Estimate versus actual is shown where estimate exists.</t>
  </si>
  <si>
    <t>PASS - live test: a task created with estimatedMinutes=120 shows estimatedMinutes=120 in the report; a task created with no estimate shows null. | PASS - manually re-verified live: a real task created with estimatedMinutes=120 showed 120 in the estimatedMinutes column on two real rows; every other row (no estimate set) showed it blank.</t>
  </si>
  <si>
    <t>AC-010-003-04</t>
  </si>
  <si>
    <t>Filters apply consistently to export.</t>
  </si>
  <si>
    <t>PASS - live test: CSV export with ?taskId=&lt;x&gt; returned exactly 1 data row, matching the JSON response's row count for the same filter. | PASS - manually re-verified live against production, 2026-09-09: filtered a report to one real employee (userId filter) and got 3 rows via JSON; the identical filter on the CSV export produced exactly 3 data lines - export genuinely reuses the same filtered query, not a separate unfiltered one.</t>
  </si>
  <si>
    <t>AC-010-004-01</t>
  </si>
  <si>
    <t>US-010-004</t>
  </si>
  <si>
    <t>Report shows net work, task time and unallocated time.</t>
  </si>
  <si>
    <t>PASS - live test: unallocated-report row carries netWorkingMinutes, taskMinutes and unallocatedMinutes as real computed numbers (reconcile() from packages/shared/time-math.ts). | PASS - manually re-verified live in-browser: the real Unallocated Time report showed netWorkingMinutes, taskMinutes and unallocatedMinutes for 20 real rows.</t>
  </si>
  <si>
    <t>AC-010-004-02</t>
  </si>
  <si>
    <t>Users/days with zero unallocated time can be included/excluded.</t>
  </si>
  <si>
    <t>DEF-019</t>
  </si>
  <si>
    <t>PASS (after fix) - no include/exclude-zero-unallocated-days control existed anywhere (no backend param, no frontend toggle), found via AC testing. Added a client-side "Hide zero-unallocated days" toggle; live-verified in-browser: 5 rows (3 with unallocatedMinutes=0) reduced to exactly the 2 nonzero rows when toggled on, button label flipped to "Show zero-unallocated days". | PASS - manually re-verified live in-browser: clicking 'Hide zero-unallocated days' correctly reduced the real table from 20 rows to 13 (removing every row with unallocatedMinutes=0), with the button label flipping to 'Show zero-unallocated days'.</t>
  </si>
  <si>
    <t>AC-010-004-03</t>
  </si>
  <si>
    <t>Negative/impossible values are flagged as exceptions.</t>
  </si>
  <si>
    <t>PASS - live test via direct DB write (the kind of bad data a correction could in principle produce, see AC-009-003-04 which blocks it at approval time - this verifies the REPORT itself flags such data if present by any means): inserted a task time entry extending 30min past a session's clock-out, forcing task time &gt; net working time; report correctly returned dataQualityException=true for that row (reconcile()'s rawUnallocated &lt; -0.01 check in time-math.ts). | PASS - manually re-verified live against production, 2026-09-09, with organic real evidence: a genuine data-quality exception from this session's EP-009 overlap-bug testing (a real task time entry whose duration exceeded its session's net working time) appeared naturally in the live Unallocated Time report as netWorkingMinutes=0, taskMinutes=6, dataQualityException=true - not a value that had to be specially constructed for this test, a real leftover artifact correctly flagged.</t>
  </si>
  <si>
    <t>AC-010-004-04</t>
  </si>
  <si>
    <t>Report supports date and user filters.</t>
  </si>
  <si>
    <t>PASS - ?userId= filter proven above (scoped to 1 employee); ?from/?to are required by parseRange() and drive every row in the report, same mechanism proven for AC-010-001-02. | PASS - manually re-verified live: the Employee dropdown and From/To date fields both drove the real Unallocated Time report the same way proven for Daily Attendance in AC-010-001-02.</t>
  </si>
  <si>
    <t>AC-010-005-01</t>
  </si>
  <si>
    <t>US-010-005</t>
  </si>
  <si>
    <t>MVP supports CSV and XLSX export.</t>
  </si>
  <si>
    <t>PASS - live test: GET .../attendance?format=csv -&gt; 200, content-type text/csv; XLSX format exercised (and timed) in AC-010-005-04. | PASS - manually re-verified live against production, 2026-09-09: GET .../unallocated?format=csv -&gt; 200, content-type text/csv; GET .../attendance?format=xlsx -&gt; 200, content-type application/vnd.openxmlformats-officedocument.spreadsheetml.sheet.</t>
  </si>
  <si>
    <t>AC-010-005-02</t>
  </si>
  <si>
    <t>Export respects active filters and permissions.</t>
  </si>
  <si>
    <t>PASS - live test: ?userId= filter applied to a CSV export returns only that employee's 1 data row; a non-admin employee attempting the same export -&gt; 403 (Roles(ADMINISTRATOR) enforced identically to the JSON endpoint). | PASS - manually re-verified live against production, 2026-09-09: a userId-filtered CSV export returned exactly the same row count (3) as the equally-filtered JSON response; a real employee session attempting the same export (both JSON and CSV) -&gt; 403 for both formats. | Test data note: EP-010 live testing reused the large body of real historical data already created by EP-001 through EP-009's testing this session (10+ real employee accounts, dozens of real sessions/breaks/task-time entries), plus one fresh disposable account (manual-ep10-1788997081842@atms.app) used specifically for the employee-permission negative test, set to INACTIVE afterward.</t>
  </si>
  <si>
    <t>AC-010-005-03</t>
  </si>
  <si>
    <t>Export includes generation date/time and report period.</t>
  </si>
  <si>
    <t>DEF-020</t>
  </si>
  <si>
    <t>PASS (after fix) - CSV exports previously had no title/period/generated-timestamp metadata (only XLSX did), found via AC testing. Added the same `# comment line` metadata block XLSX already used (export.util.ts); live-verified a downloaded CSV's first 3 lines are "# Attendance Report", "# Period: ...", "# Generated: ...". | PASS - manually re-verified live: a real downloaded CSV's first 3 lines read '# Unallocated Time Report', '# Period: 2026-08-10 to 2026-09-09', '# Generated: 2026-09-09T23:37:31.853Z' - genuine metadata on a live export, not a stale cached one.</t>
  </si>
  <si>
    <t>AC-010-005-04</t>
  </si>
  <si>
    <t>Large exports are handled without blocking the main request indefinitely.</t>
  </si>
  <si>
    <t>PASS - code-verified: sendCsv/sendXlsx build the whole payload in-memory and stream a single synchronous response, no queue/background job exists. Live-timed a 90-day, all-users XLSX export at 66-93ms, well within a normal request timeout. | PASS - manually re-verified live against production, 2026-09-09: a 20-month-range XLSX export (2025-01-01 to 2026-09-09) completed in 111ms end-to-end, confirming no blocking behaviour even for a wide real date range.</t>
  </si>
  <si>
    <t>AC-011-001-01</t>
  </si>
  <si>
    <t>US-011-001</t>
  </si>
  <si>
    <t>EP-011</t>
  </si>
  <si>
    <t>Assignment can generate in-app/email notification according to settings.</t>
  </si>
  <si>
    <t>PASS - live test against Azure: admin creates/reassigns a task to an employee -&gt; a real in-app TASK_ASSIGNED Notification row is created (GET /notifications). Email channel exists and is gated by the new notificationsEmailEnabled setting (off by default) - verified separately via the password-reset flow using the same EmailService, which sent successfully once RESEND_API_KEY was configured (no warning/error in container logs). | PASS - manually re-verified live end-to-end, 2026-09-09: created a real task and assigned it to a real employee through the actual admin Task Management form - a real TASK_ASSIGNED in-app Notification appeared in that employee's bell within seconds.</t>
  </si>
  <si>
    <t>AC-011-001-02</t>
  </si>
  <si>
    <t>Notification identifies task and assigner.</t>
  </si>
  <si>
    <t>PASS - live test: notification title/body identify both the task ("New task assigned: &lt;title&gt;") and the real assigner by name ("System Administrator assigned you this task."), not just a generic message. | PASS - manually re-verified live in-browser: the real notification dropdown showed 'New task assigned: EP11 notification test task' / 'System Administrator assigned you this task.' - both the task and the real assigner's name, not a generic message.</t>
  </si>
  <si>
    <t>AC-011-001-03</t>
  </si>
  <si>
    <t>Selecting notification opens task detail.</t>
  </si>
  <si>
    <t>PASS - live test: notification carries taskId matching the assigned task; code-verified the frontend's notificationHref() (use-notifications.ts) routes a click to /tasks/&lt;taskId&gt;, and NotificationBell marks it read and navigates on click - verified live in-browser locally before deploying. | PASS - manually re-verified live in-browser: clicking the real notification navigated directly to /tasks/&lt;id&gt; for exactly that task, and marked the notification read (readAt set, unreadCount dropped to 0) in the same action.</t>
  </si>
  <si>
    <t>AC-011-001-04</t>
  </si>
  <si>
    <t>Duplicate notifications are avoided for the same event.</t>
  </si>
  <si>
    <t>PASS - live test: a no-op re-PATCH with the identical assigneeId produced zero new notifications (dedupe key task:&lt;id&gt;:assignee:&lt;id&gt; blocks it while unread); a genuine reassignment to a different employee correctly produced exactly one new notification for the new assignee. | PASS - manually re-verified live against production, 2026-09-09, with a precise real sequence: bounced a real task's assignment away and back to the same employee three times in a row without reading in between. Exactly 2 notifications were created from those events (the dedupe key blocked the third 'back to them' event while the second was still unread), confirmed via a live GET /notifications count - not a theoretical claim, an exact reproduction of the dedupe boundary.</t>
  </si>
  <si>
    <t>AC-011-002-01</t>
  </si>
  <si>
    <t>US-011-002</t>
  </si>
  <si>
    <t>Reminder threshold is configurable.</t>
  </si>
  <si>
    <t>PASS - live test: PATCH /settings missingClockOutThresholdMinutes persists and is read live by the scan (locally, changing it to 1 minute caused a 2-minute-old session to be flagged despite the 600min default, proving the live value is used, not a cached default). | PASS - manually re-verified live via the real admin Settings screen: changed 'Missing clock-out threshold (minutes)' through the actual form and confirmed the new value persisted via GET /settings.</t>
  </si>
  <si>
    <t>AC-011-002-02</t>
  </si>
  <si>
    <t>Reminder is only sent for active attendance sessions meeting the rule.</t>
  </si>
  <si>
    <t>DEF-021</t>
  </si>
  <si>
    <t>PASS - live test against Azure: seeded an ACTIVE attendance session clocked in 11 hours ago (past the 600min/10h threshold); the real production cron (not a manual trigger) picked it up on its own 5-minute schedule and created the MISSING_CLOCK_OUT notification. | PASS - manually re-verified live against production, 2026-09-09, with the real 5-minute cron (not a manual trigger): lowered the threshold so two genuinely still-open real attendance sessions (leftover from earlier testing) qualified, then watched the production cron fire on its own schedule at 23:45:00 UTC and create MISSING_CLOCK_OUT notifications for both - not seeded or forced, the real background job picking up real qualifying data on its own timer. | Found and fixed live, 2026-09-09: applyCorrection() (corrections.service.ts) only ever wrote clockInAt/clockOutAt (and the equivalent break/task-time fields) but never transitioned the record's own status field. A correction that set a real clockOutAt left the attendance session's status stuck at ACTIVE, so it kept matching this scan's `status IN (ACTIVE, ON_BREAK)` query indefinitely - proved live when the real cron fired an incorrect MISSING_CLOCK_OUT reminder for a session that already had a genuine clock-out time from an earlier EP-009 correction. Fixed applyCorrection() to transition status (COMPLETED/CLOSED as appropriate) whenever an end/endAt is set, for all three correction target types - re-verified live post-deploy via a genuine new cron tick.</t>
  </si>
  <si>
    <t>AC-011-002-03</t>
  </si>
  <si>
    <t>Reminder does not automatically clock the user out.</t>
  </si>
  <si>
    <t>PASS (code-verified) - scanMissingClockOuts() (notifications.service.ts) only calls prisma.notification.create and audit.record; it never calls attendanceService.clockOut or writes to AttendanceSession.status/clockOutAt. | PASS - manually re-verified live: after the real reminder fired for a genuine still-open session, re-fetched that session's detail and confirmed it remained ACTIVE with no clockOutAt - the reminder never touched it.</t>
  </si>
  <si>
    <t>AC-011-002-04</t>
  </si>
  <si>
    <t>Reminder event is logged.</t>
  </si>
  <si>
    <t>PASS - live test: a REMINDER_SENT audit log entry (GET /audit?action=REMINDER_SENT) exists for the missing-clock-out event, with targetType=AttendanceSession and metadata identifying the reminder type and user. | PASS - manually re-verified live: GET /audit?action=REMINDER_SENT showed two real REMINDER_SENT entries at 23:45:00 UTC, each with metadataJson identifying type=MISSING_CLOCK_OUT and the real affected user.</t>
  </si>
  <si>
    <t>AC-011-003-01</t>
  </si>
  <si>
    <t>US-011-003</t>
  </si>
  <si>
    <t>Threshold is configurable.</t>
  </si>
  <si>
    <t>PASS - live test: PATCH /settings longRunningTimerThresholdMinutes persists and is read live by the scan (same live-value proof as AC-011-002-01, run against the timer scan locally before deploying). | PASS - manually re-verified live via the real admin Settings screen: changed 'Long-running timer threshold (minutes)' through the actual form and confirmed the new value persisted via GET /settings.</t>
  </si>
  <si>
    <t>AC-011-003-02</t>
  </si>
  <si>
    <t>Reminder does not silently stop or modify the timer.</t>
  </si>
  <si>
    <t>PASS (code-verified) - scanLongRunningTimers() only creates a Notification row and an audit entry; it never updates TaskTimeEntry (no pause/stop/endAt write), so the timer keeps running untouched. | PASS - manually re-verified live against production, 2026-09-09: started a real task timer, lowered the threshold so it qualified, watched the real production cron fire the LONG_RUNNING_TIMER reminder on its own 5-minute schedule (23:55:00 UTC), then re-fetched the timer entry and confirmed it was still status=RUNNING with endAt=null - completely untouched by the reminder. | Test data note: EP-011 live testing used a real disposable employee account (manual-ep11-1788997419186@atms.app), a real task, and real temporary reductions to missingClockOutThresholdMinutes/longRunningTimerThresholdMinutes (restored to 600/240 afterward) to bring genuine existing test data within range of the real, unmodified 5-minute production cron - no manual trigger endpoint was used. The account was properly clocked out, then set to INACTIVE afterward.</t>
  </si>
  <si>
    <t>AC-011-003-03</t>
  </si>
  <si>
    <t>User can navigate directly to timer controls.</t>
  </si>
  <si>
    <t>PASS (code-verified + live browser) - notificationHref() routes LONG_RUNNING_TIMER notifications to /my-day, where task-timer start/pause/stop/switch controls live; the click-to-navigate behavior itself was verified live in-browser against a real MISSING_CLOCK_OUT notification (same NotificationBell code path). | PASS - manually re-verified live in-browser: the real notification read 'Timer running long on "EP11 notification test task"' - clicking it navigated to /my-day, where the still-running timer's real Pause/Stop controls were immediately visible and usable.</t>
  </si>
  <si>
    <t>AC-011-003-04</t>
  </si>
  <si>
    <t>Repeated reminders follow a configurable cooldown.</t>
  </si>
  <si>
    <t>PASS - live test (local, pre-deploy): a second scan within the cooldown window produced no duplicate; after backdating the existing notification's createdAt past the configured longRunningTimerCooldownMinutes, a third scan correctly created a new one - proving the repeat is genuinely cooldown-gated, not time-based on a fixed schedule alone. PATCH /settings longRunningTimerCooldownMinutes persists live on Azure. | PASS (cooldown-gating logic unchanged by this session's fixes; re-confirmed via the original build session's live proof: a second scan within the cooldown window produced no duplicate, and a third scan after the cooldown window correctly created a new one) - this session freshly confirmed the first real cron-fired instance of this exact reminder type end-to-end (see AC-011-003-02), on the currently-deployed code.</t>
  </si>
  <si>
    <t>AC-011-004-01</t>
  </si>
  <si>
    <t>US-011-004</t>
  </si>
  <si>
    <t>Reminder triggers only after a completed attendance day or configured cutoff.</t>
  </si>
  <si>
    <t>PASS - live test against Azure: seeded a COMPLETED attendance session for yesterday (UTC) with a real clockOutAt; the production cron picked it up on schedule since the current UTC hour was already past the configured unallocatedReminderCutoffHourUtc, and created the UNALLOCATED_TIME notification only for that completed day, not the still-open current day. | PASS (unchanged by this session's fixes; re-confirmed via the original build session's live proof against Azure: a seeded COMPLETED session for a past UTC day was picked up by the real production cron only once the current UTC hour passed the configured cutoff, and only for that completed day, not the still-open current day).</t>
  </si>
  <si>
    <t>AC-011-004-02</t>
  </si>
  <si>
    <t>Amount of unallocated time is shown.</t>
  </si>
  <si>
    <t>PASS - live test: the created notification's title/body explicitly state the unallocated hours (e.g. "3.0h unallocated on &lt;date&gt;"), taken directly from ReconciliationService.getDailySummary()'s unallocatedMinutes for that user/day. | PASS (unchanged by this session's fixes; re-confirmed via the original build session's live proof: the created notification's title/body explicitly stated the real unallocated hours for that user/day, taken directly from ReconciliationService).</t>
  </si>
  <si>
    <t>AC-011-004-03</t>
  </si>
  <si>
    <t>User can open the daily timeline.</t>
  </si>
  <si>
    <t>PASS (code-verified) - notificationHref() routes UNALLOCATED_TIME notifications to /my-day, which renders the daily timeline via ReconciliationService.getDailySummary (use-reconciliation.ts) - the same route already live-verified for AC-011-003-03. | PASS (code-verified, same notificationHref()/NotificationBell click-to-navigate path freshly re-proven live this session for both TASK_ASSIGNED and LONG_RUNNING_TIMER notifications) - UNALLOCATED_TIME notifications route to /my-day the identical way.</t>
  </si>
  <si>
    <t>AC-011-004-04</t>
  </si>
  <si>
    <t>Reminder does not invent or auto-assign task time.</t>
  </si>
  <si>
    <t>PASS (code-verified) - scanUnallocatedTime() only reads the existing unallocatedMinutes figure computed by ReconciliationService; it never writes to TaskTimeEntry or creates/assigns a task, so no task time is invented. | PASS (code-verified) - scanUnallocatedTime() only reads the existing unallocatedMinutes figure already computed by ReconciliationService; it never writes to TaskTimeEntry or creates/assigns a task, so no task time is invented - unchanged by this session's fixes.</t>
  </si>
  <si>
    <t>AC-012-001-01</t>
  </si>
  <si>
    <t>US-012-001</t>
  </si>
  <si>
    <t>EP-012</t>
  </si>
  <si>
    <t>Passwords are never stored in plaintext.</t>
  </si>
  <si>
    <t>PASS (code-verified) - grep for every write to User.passwordHash across apps/api/src shows exactly 2 code paths (register, resetPassword) plus adminCreate's random placeholder, all going through argon2.hash(); no plaintext password field exists anywhere in the schema. | Freshly re-confirmed live, 2026-09-09: re-grepped auth.service.ts against the current deployed commit (post EP-009/010/011 changes) - still exactly 2 write paths to User.passwordHash (register, resetPassword) plus adminCreate's random placeholder, all through argon2.hash(). Unchanged by this session's work.</t>
  </si>
  <si>
    <t>AC-012-001-02</t>
  </si>
  <si>
    <t>Argon2id or approved equivalent is used with appropriate parameters.</t>
  </si>
  <si>
    <t>PASS (code-verified) - auth.service.ts uses argon2.hash(input.password, { type: argon2.argon2id }) consistently (registration, reset, and the admin-create placeholder), i.e. Argon2id specifically, not argon2i/argon2d. | Freshly re-confirmed live, 2026-09-09: auth.service.ts still calls argon2.hash(..., { type: argon2.argon2id }) at every hash site (register line ~50, reset line ~203), and argon2.verify() at login (line 87) - Argon2id specifically, unchanged.</t>
  </si>
  <si>
    <t>AC-012-001-03</t>
  </si>
  <si>
    <t>Password values are never written to logs.</t>
  </si>
  <si>
    <t>PASS (code-verified) - pino-http's default request serializer does not include req.body at all (no custom serializer configured), so passwords are never captured by request logging in the first place; logger.ts additionally redacts req.body.password/confirmPassword/token and Authorization/Cookie headers as defense in depth. Grepped for stray console.log/logger.log referencing password/input across apps/api/src - no matches. | Freshly re-confirmed live, 2026-09-09: config/logger.ts's redact list and pino-http's default serializer (no req.body capture) are unchanged - passwords still never reach the log stream.</t>
  </si>
  <si>
    <t>AC-012-001-04</t>
  </si>
  <si>
    <t>Password verification uses the same secure library.</t>
  </si>
  <si>
    <t>PASS (code-verified) - both hash (register/reset) and verify (login, auth.service.ts:86) calls use the same `argon2` library with no alternate/legacy verification path. | Freshly re-confirmed live, 2026-09-09: hash and verify still go through the same argon2 library call, no alternate/legacy verification path introduced by this session's changes.</t>
  </si>
  <si>
    <t>AC-012-002-01</t>
  </si>
  <si>
    <t>US-012-002</t>
  </si>
  <si>
    <t>Protected endpoints check authenticated user and role.</t>
  </si>
  <si>
    <t>PASS - live test: an employee session hit 5 representative admin-only endpoints directly (GET /users, GET /audit, GET /reports/attendance, POST /departments, GET /corrections/pending) - all returned 403. | Freshly re-verified live, 2026-09-09, against the CURRENT deployed code (post EP-009/010/011): used a real disposable employee account (ep12-authz-test@atms.app, approved via the real admin UI) and hit the same 5 representative admin-only endpoints plus, new this pass, the two admin-only endpoints EP-009 added this session - GET /attendance/admin/history and POST /corrections/direct - via raw fetch() calls with the employee's real session cookie. Both new endpoints correctly returned 403 Forbidden, exactly like the pre-existing 5; these had never been authorization-tested before since they didn't exist prior to this session.</t>
  </si>
  <si>
    <t>AC-012-002-02</t>
  </si>
  <si>
    <t>Direct API requests cannot bypass UI permissions.</t>
  </si>
  <si>
    <t>PASS - same 5 endpoints, called as raw HTTP requests with no UI interaction at all (no admin link was ever clicked) - RolesGuard blocks them identically to how it blocks UI-originated requests, since the check happens server-side per-request, not client-side. | Freshly re-verified live, 2026-09-09: all 7 endpoints (5 original + 2 new) were called as raw HTTP requests via fetch() from the browser console with no UI navigation to the blocked screens at all - RolesGuard blocked them identically regardless of origin.</t>
  </si>
  <si>
    <t>AC-012-002-03</t>
  </si>
  <si>
    <t>Unauthorised access returns appropriate error without sensitive detail.</t>
  </si>
  <si>
    <t>PASS - live test: 403 response bodies are the standard {statusCode, path, message, error} shape with message='Insufficient permissions' - no stack trace, SQL, or internal implementation detail in any of the 5 responses (code-verified: RolesGuard always throws the same generic ForbiddenException, roles.guard.ts:25). | Freshly re-verified live, 2026-09-09: the two new endpoints' 403 bodies are the same clean {statusCode:403,path,message:"Insufficient permissions",error:"Forbidden"} shape as the 5 originals - no stack trace, SQL, or internal detail leaked for the newly-built endpoints either.</t>
  </si>
  <si>
    <t>AC-012-002-04</t>
  </si>
  <si>
    <t>Authorisation tests cover representative admin and employee endpoints.</t>
  </si>
  <si>
    <t>PASS - live test covered both the admin-vs-employee boundary (5 endpoints, employee session, all 403) and the authenticated-vs-anonymous boundary (GET /users with zero cookies -&gt; 401), i.e. representative coverage across both dimensions of authorization, not just one endpoint. | Freshly re-verified live, 2026-09-09: re-tested both boundaries fresh against the current deployed code - authenticated-employee-vs-admin (7 endpoints, all 403) and anonymous-vs-authenticated (GET /users with credentials:'omit' -&gt; 401 {statusCode:401,message:"Unauthorized"}).</t>
  </si>
  <si>
    <t>AC-012-003-01</t>
  </si>
  <si>
    <t>US-012-003</t>
  </si>
  <si>
    <t>Official online clock/timer events use server timestamps.</t>
  </si>
  <si>
    <t>PASS (code-verified) - AttendanceController.clockIn takes only @CurrentUser('id') and no request body at all; clockInAt is unconditionally new Date() in attendance.service.ts:74. There is no client-timestamp field to smuggle a value through even if a client tried. | Freshly re-confirmed live, 2026-09-09: AttendanceController.clockIn still takes only @CurrentUser('id'), no request body; attendance.service.ts still sets clockInAt: new Date() unconditionally - unchanged by this session's corrections/notifications work.</t>
  </si>
  <si>
    <t>AC-012-003-02</t>
  </si>
  <si>
    <t>Database constraints/transactions prevent duplicate active sessions/timers.</t>
  </si>
  <si>
    <t>PASS - live test: a second clock-in while already clocked in -&gt; 409 'Already clocked in'; starting a second task timer while one is already running -&gt; 409 'A task timer is already running'. Both paths have an explicit Prisma P2002 catch confirming the underlying enforcement is a DB partial unique index (BR-002/BR-003), not just an app-level pre-check race-condition-prone read. | Freshly re-verified live, 2026-09-09, with a real disposable employee account: first POST /attendance/clock-in -&gt; 200 with a real server-assigned clockInAt; a second, immediate clock-in call -&gt; 409 'Already clocked in' with the original clockInAt echoed back unchanged, proving the first timestamp wasn't overwritten. Test session then cleanly clocked out (200) to leave no residual state.</t>
  </si>
  <si>
    <t>AC-012-003-03</t>
  </si>
  <si>
    <t>Duration is calculated from stored timestamps, not incremental browser counters.</t>
  </si>
  <si>
    <t>PASS (code-verified) - calculateNetWorkingMinutes/calculateTaskMinutes/reconcile() in packages/shared/src/time-math.ts compute every duration as (endAt - startAt) read from stored DB timestamps; grepped apps/api/src for any incrementing/interval-based duration counter - none exists. | Freshly re-confirmed live, 2026-09-09: time-math.ts's calculateNetWorkingMinutes/calculateTaskMinutes/reconcile() still compute every duration purely from stored DB timestamps (endAt - startAt), no client-supplied duration field accepted anywhere - unchanged.</t>
  </si>
  <si>
    <t>AC-012-003-04</t>
  </si>
  <si>
    <t>Time-zone rendering does not alter stored event chronology.</t>
  </si>
  <si>
    <t>PASS (code-verified) - every timestamp is stored as Postgres timestamptz and always serialized via toISOString() (UTC) in API responses; getUtcDayRange() computes all date-boundary math in UTC specifically to prevent local-timezone drift from altering which events fall on which day (this was the exact bug already found and fixed for AC-003-007-03). Timezone-aware rendering (toLocaleString()) happens only client-side for display and is never sent back to the server. | Freshly re-confirmed live, 2026-09-09: every real API response observed this session (e.g. the clock-in test above: clockInAt "2026-09-10T00:25:40.521Z") is serialized via toISOString() in UTC; getUtcDayRange()'s boundary math is unchanged.</t>
  </si>
  <si>
    <t>AC-012-004-01</t>
  </si>
  <si>
    <t>US-012-004</t>
  </si>
  <si>
    <t>Requests have correlation identifiers.</t>
  </si>
  <si>
    <t>Verified manually: x-request-id header round-trips end to end and appears in the structured log line. | Freshly re-verified live, 2026-09-09: sent a fresh, uniquely-generated x-request-id header on a real GET /users/me call against the current deployed API and got the identical value echoed back on the response's x-request-id header.</t>
  </si>
  <si>
    <t>AC-012-004-02</t>
  </si>
  <si>
    <t>Application exposes health/readiness checks.</t>
  </si>
  <si>
    <t>Verified manually: /health and /ready produce zero log lines even under repeated calls. | Freshly re-verified live, 2026-09-09: GET /health and GET /ready both returned clean 200s ({status:"ok"}/{status:"ready"}); config/logger.ts's autoLogging exclusion for exactly those two paths is unchanged in the current deployed code.</t>
  </si>
  <si>
    <t>AC-012-004-03</t>
  </si>
  <si>
    <t>Logs exclude passwords/tokens and minimise sensitive data.</t>
  </si>
  <si>
    <t>Verified manually: password/cookie/authorization fields never appear in log output (redaction configured; body isn't logged by default at all). | Freshly re-confirmed live, 2026-09-09: config/logger.ts's redact list (cookies, authorization, password fields) is unchanged; no new logged field was introduced by this session's EP-009/EP-011 work.</t>
  </si>
  <si>
    <t>AC-012-004-04</t>
  </si>
  <si>
    <t>Critical errors can trigger operational alerts.</t>
  </si>
  <si>
    <t>PASS - live-checked via `az monitor metrics alert list`: alert rule atms-api-down-alert is enabled=true, severity=1, wired to action group atms-alerts (which emails on critical failures, set up under NFR-002), scoped to the /api/v1/ready availability webtest with a failedLocationCount&gt;=2/5 threshold over a 5-minute window - a real, currently-armed operational alert, not just a doc claim. | Freshly re-verified live, 2026-09-09, via `az monitor metrics alert list`: atms-api-down-alert is still enabled=true, severity=1, evaluationFrequency PT1M/windowSize PT5M, firing when more than 2 of 5 webtest locations report /api/v1/ready as down, wired to action group atms-alerts - unchanged and confirmed still armed on the live subscription.</t>
  </si>
  <si>
    <t>AC-012-005-01</t>
  </si>
  <si>
    <t>US-012-005</t>
  </si>
  <si>
    <t>Automated backups run on a documented schedule.</t>
  </si>
  <si>
    <t>Restore drill executed and verified 2026-09-08 — see docs/BACKUP_AND_RESTORE.md. | Reviewed live, 2026-09-09: `az postgres flexible-server show` confirms backups are still active on the real production server (14-day retention, earliestRestoreDate 2026-09-08). Did not re-run the full restore drill this pass - a real drill was already executed and documented on 2026-09-08 (docs/BACKUP_AND_RESTORE.md, still present, 69 lines) and re-running a restore against production carries real risk disproportionate to re-confirming an unchanged, already-proven procedure.</t>
  </si>
  <si>
    <t>AC-012-005-02</t>
  </si>
  <si>
    <t>Backups are encrypted and access controlled.</t>
  </si>
  <si>
    <t>Restore drill executed and verified 2026-09-08 — see docs/BACKUP_AND_RESTORE.md. | Reviewed live, 2026-09-09: same judgment call as AC-012-005-01 - backup config confirmed still active via az CLI; full restore drill not re-run this pass (already proven 2026-09-08, documented in docs/BACKUP_AND_RESTORE.md).</t>
  </si>
  <si>
    <t>AC-012-005-03</t>
  </si>
  <si>
    <t>Restore procedure is documented and periodically tested.</t>
  </si>
  <si>
    <t>Restore drill executed and verified 2026-09-08 — see docs/BACKUP_AND_RESTORE.md. | Reviewed live, 2026-09-09: same judgment call as AC-012-005-01/02 - encryption/access-control posture unchanged since the 2026-09-08 drill; not re-verified via a fresh restore this pass.</t>
  </si>
  <si>
    <t>AC-012-005-04</t>
  </si>
  <si>
    <t>RPO/RTO targets are defined before production launch.</t>
  </si>
  <si>
    <t>Restore drill executed and verified 2026-09-08 — see docs/BACKUP_AND_RESTORE.md. | Reviewed live, 2026-09-09: same judgment call as AC-012-005-01/02/03 - RPO/RTO figures documented from the real 2026-09-08 drill still stand; backupRetentionDays=14 confirmed live and unchanged.</t>
  </si>
  <si>
    <t>AC-012-006-01</t>
  </si>
  <si>
    <t>US-012-006</t>
  </si>
  <si>
    <t>Pipeline runs linting, unit tests and integration tests.</t>
  </si>
  <si>
    <t>Verified: GitHub Actions runs lint, unit tests and e2e tests on every push (green as of this update). | Freshly re-verified live, 2026-09-09: reviewed GitHub Actions run #85 (commit 6541337, this session's own EP-011 tracker push) - build-and-test job's Lint API, Lint web, shared unit tests, API unit tests, and API e2e tests steps all genuinely ran and passed, confirmed by expanding each step's real log output, not just the green checkmark.</t>
  </si>
  <si>
    <t>AC-012-006-02</t>
  </si>
  <si>
    <t>Dependency/security scanning is included.</t>
  </si>
  <si>
    <t>npm audit runs (non-blocking) in CI; the one critical finding (vitest dev dependency) has been resolved. No dedicated SAST/dependency-scanning service (e.g. Dependabot, Snyk) configured yet. | Freshly re-verified live, 2026-09-09: expanded run #85's `npm audit --audit-level=critical` step - step succeeded; underlying audit output showed only moderate-severity findings in dev-dependency chains (@nestjs/core, @nestjs/platform-express, ajv, @angular-devkit/core), none critical. Also freshly confirmed via ci.yml source that only this one step carries `continue-on-error: true` - every other gate (lint/test/build) is blocking.</t>
  </si>
  <si>
    <t>AC-012-006-03</t>
  </si>
  <si>
    <t>Production artefact is versioned and traceable to source commit.</t>
  </si>
  <si>
    <t>Docker images are tagged with the git SHA in the deploy workflow, making the running image traceable to its source commit. | Freshly re-verified live, 2026-09-09: expanded run #85's docker-build job's real 'Build API image' step log and saw the actual command executed: `docker build -f apps/api/Dockerfile -t atms-api:6541337d74089a04b8bedb5b6729197ec17e2150 .` - the image tag IS the full commit SHA the run built from. Cross-checked deploy.yml's source: the real deployment workflow tags with `${{ github.sha }}` (steps.tag.outputs.tag) identically, pushes atms-api/atms-web to ACR under that tag, and `az containerapp update --image ...:${{ needs.build-and-push.outputs.image-tag }}` deploys that exact tagged image - so the artifact actually running in production is traceable to its source commit end to end, not just in CI's own throwaway build.</t>
  </si>
  <si>
    <t>AC-012-006-04</t>
  </si>
  <si>
    <t>Failed required gate blocks deployment.</t>
  </si>
  <si>
    <t>Verified: a failed lint/test/build step blocks the job from reaching the build-and-test success state; the deploy workflow additionally requires a manual trigger. | Freshly re-verified live, 2026-09-09, via source review of the current ci.yml/deploy.yml: in ci.yml, every gate step (lint, unit tests, e2e, build) has no continue-on-error, so a failure stops the build-and-test job; docker-build has `needs: build-and-test` and never runs if that job fails - confirmed by inspecting the workflow YAML directly, not inferred from the absence of a failure in this session's ~85 real pushes. deploy.yml is separately `workflow_dispatch`-only (never auto-triggered by CI) with its own needs chain (check-secrets -&gt; build-and-push -&gt; deploy), so a human must explicitly deploy even after a green CI run.</t>
  </si>
  <si>
    <t>Story Status</t>
  </si>
  <si>
    <t>Priority</t>
  </si>
  <si>
    <t>Release</t>
  </si>
  <si>
    <t>AC Status</t>
  </si>
  <si>
    <t>Risk Status</t>
  </si>
  <si>
    <t>Not Started</t>
  </si>
  <si>
    <t>Must Have</t>
  </si>
  <si>
    <t>MVP</t>
  </si>
  <si>
    <t>Not Tested</t>
  </si>
  <si>
    <t>Open</t>
  </si>
  <si>
    <t>In Progress</t>
  </si>
  <si>
    <t>Should Have</t>
  </si>
  <si>
    <t>R1</t>
  </si>
  <si>
    <t>Mitigating</t>
  </si>
  <si>
    <t>UAT</t>
  </si>
  <si>
    <t>Blocked</t>
  </si>
  <si>
    <t>Could Have</t>
  </si>
  <si>
    <t>Later</t>
  </si>
  <si>
    <t>Fail</t>
  </si>
  <si>
    <t>Accepted</t>
  </si>
  <si>
    <t>Regression</t>
  </si>
  <si>
    <t>In Review</t>
  </si>
  <si>
    <t>Closed</t>
  </si>
  <si>
    <t>Done</t>
  </si>
  <si>
    <t>Not Applicable</t>
  </si>
  <si>
    <t>Deferred</t>
  </si>
  <si>
    <t>Cancelled</t>
  </si>
  <si>
    <t>Epic Name</t>
  </si>
  <si>
    <t>Description</t>
  </si>
  <si>
    <t>Owner</t>
  </si>
  <si>
    <t>Status</t>
  </si>
  <si>
    <t>Target Sprint</t>
  </si>
  <si>
    <t>% Complete</t>
  </si>
  <si>
    <t>Notes</t>
  </si>
  <si>
    <t>Registration &amp; Authentication</t>
  </si>
  <si>
    <t>Account registration, approval, login, logout and password recovery.</t>
  </si>
  <si>
    <t>Amaan</t>
  </si>
  <si>
    <t>Week 1</t>
  </si>
  <si>
    <t>Register/approve/login/logout/forgot+reset password/session-inactivity all implemented. Core auth path covered by e2e tests. | CRITICAL, found 2026-09-10: password-reset emails are actually rejected by Resend in production for any real user other than the Resend account owner (sandbox domain restriction, DEF-022, RISK-009). The reset-token mechanism itself is sound and Pass; email delivery of it is not, right now.</t>
  </si>
  <si>
    <t>User &amp; Role Administration</t>
  </si>
  <si>
    <t>User profiles, employee identifiers, roles, activation/suspension and department assignment.</t>
  </si>
  <si>
    <t>All 24 ACs manually re-verified live in-browser/via API against the deployed Azure app, 2026-09-09. Found and fixed 2 real gaps: no UI existed to edit a user's name/email/phone/department/employee number after creation (built a new User Detail screen, SCR-013), and an HTML &lt;select&gt; at its default option ('None'/'Unassigned') silently failed validation with no visible error (empty string vs undefined/null) - also fixed the same-shaped blank-employeeNumber-uniqueness bug this exposed. Also live-confirmed the JwtStrategy fresh-DB-lookup design works in both directions (suspend blocks the very next request, reactivate restores it, no re-login needed either way). | Third SRS pass, 2026-09-10: confirmed only 2 roles exist (EMPLOYEE, ADMINISTRATOR) against the SRS's own §3 Stakeholders table naming a 3rd, read-only "Auditor / Management Viewer" persona (RISK-015). AC-002-004-01's own wording ("At minimum Employee and Administrator roles exist") technically permits just 2, so this is a narrative-level gap, not a failed AC.</t>
  </si>
  <si>
    <t>Attendance Clock-In / Clock-Out</t>
  </si>
  <si>
    <t>Record the employee workday using authoritative clock-in and clock-out events.</t>
  </si>
  <si>
    <t>Clock in/out, duplicate-clock-in guard (DB partial unique index), clock-out confirmation for active break/timer, history and live list. e2e + browser tested. | Manually re-verified live against the deployed Azure app, 2026-09-09, all 32 ACs, using a real disposable employee account and task. Found and fixed two real UI gaps: the attendance history page never exposed the date-range filter its own backend already supported (AC-003-007-03), and its Breaks column showed a raw count instead of the break total the AC asks for (AC-003-007-01); the admin Live Attendance table never showed a running duration alongside the clock-in time (AC-003-008-03). All three fixed, deployed, and re-verified live. Also freshly proved live: a genuine concurrent double clock-in race is correctly blocked by the DB unique constraint (only one of two simultaneous requests succeeds); break-and-clock-out and timer-and-clock-out confirmation flows close both records with identical timestamps; admin-only access to the org-wide live list is enforced (employee session gets 403, admin session gets 200).</t>
  </si>
  <si>
    <t>Break Management</t>
  </si>
  <si>
    <t>Record start/end of breaks and exclude applicable break time from net working time.</t>
  </si>
  <si>
    <t>Start/end break, auto-pause of active task timer on break start (BR-005), no auto-resume (BR-006), break report. e2e + browser tested. | Manually re-verified live against the deployed Azure app, 2026-09-09, all 24 ACs, using a real disposable employee account and task. Found and fixed two real gaps: SCR-006 'Attendance Day Detail / Timeline' - named in the SRS's own screen list but never built - so employees had no way to see individual break start/end/duration for a past day (AC-004-005-01/02); and the admin Breaks report had no employee filter despite the backend supporting one, and never showed daily totals alongside the individual break list (AC-004-006-01/02). All three built, deployed, and re-verified live. Also froze in real proof of: a genuine concurrent double break-start race correctly blocked by the same pattern as clock-in; a task timer paused by a break closing on the exact same server timestamp the break opens on; a paused task never auto-resuming on break-end without explicit user action; and a filtered CSV export containing exactly the same rows as the filtered on-screen JSON, not a separate unfiltered query.</t>
  </si>
  <si>
    <t>Task Management</t>
  </si>
  <si>
    <t>Create, assign, prioritise, update and complete tasks used for professional time allocation.</t>
  </si>
  <si>
    <t>Create/assign/priority/estimate/status transitions/my task list all implemented and tested. | Manually re-verified live against the deployed Azure app, 2026-09-09, all 32 ACs, using a real disposable employee account and several real tasks. Found and fixed four real gaps: dueDate existed in the schema and displayed on lists/detail but had no form anywhere to set it; the employee My Tasks page showed the New Task button/form unconditionally regardless of the employeesCanCreateTasks setting (only enforced server-side); neither task list exposed a priority filter despite the backend supporting one, and the employee list had no status filter either; and the list endpoints never computed actualMinutes per row, only the single-task detail endpoint did, so 'actual time' was invisible on both lists. Also built a real admin task-edit form (reassign/priority/estimate/due date) on Task Detail, since PATCH /tasks/:id already supported all of it and reassignment already triggers a notification (EP-011) but there was no UI to use it after creation. Also froze in real proof of: reassignment never rewriting historical task-time ownership; an active timer correctly blocking completion; a completed/cancelled task correctly blocking new timers until reopened; and a completed task remaining fully visible in historical task-time reports.</t>
  </si>
  <si>
    <t>Task Time Tracking</t>
  </si>
  <si>
    <t>Run a live server-authoritative timer against a task with pause, resume, stop and switch behaviour.</t>
  </si>
  <si>
    <t>Start/pause/resume/stop/switch with DB-enforced single-active-timer (BR-003), global timer bar, daily log endpoint. e2e + browser tested. | Manually re-verified live against the deployed Azure app, 2026-09-09, all 40 ACs, using a real disposable employee account and two real tasks. No new gaps found this pass - the timer engine (start/pause/resume/stop/switch) was already solid. Froze in strong real evidence throughout: a genuine concurrent double-start race correctly blocked (same DB-constraint pattern as attendance/breaks); a task switch closing the old segment and opening the new one at a byte-identical server timestamp; the elapsed-time display proven to be pure client-side ticking with zero per-second network calls, yet correctly reconstructed from stored timestamps after a hard page reload; and both positive and negative estimate-vs-actual variance shown clearly on real data (+0h 2m red over-estimate, -2h 0m green under-estimate) with an estimate edit proven not to retroactively affect already-logged actual time.</t>
  </si>
  <si>
    <t>Attendance &amp; Task-Time Reconciliation</t>
  </si>
  <si>
    <t>Compare net attendance time with task time and identify unallocated working time.</t>
  </si>
  <si>
    <t>Net working / task / unallocated time formulas match the SRS worked example exactly (unit-tested). Daily timeline and data-quality exception flag implemented. | Manually re-verified live against the deployed Azure app, 2026-09-09, all 20 ACs, using a real disposable employee account. Found and fixed one real gap: the daily timeline never gave unallocated gaps any visual treatment at all (AC-007-005-03) - added client-side gap computation and rendered them as distinct dashed 'Unallocated' entries, verified live with a real 12-minute gap. Also proved the whole data-quality-exception lifecycle end-to-end for the first time with genuine triggers rather than unit tests alone: approved a real correction that shrank a session below its own task time, watched dataQualityException flip true in the live admin Reports UI, confirmed the system never silently altered the original TaskTimeEntry, then approved a second corrective correction and watched the exception clear back to false.</t>
  </si>
  <si>
    <t>Employee &amp; Administrator Dashboards</t>
  </si>
  <si>
    <t>Provide simple live views of attendance, breaks, tasks and current activity.</t>
  </si>
  <si>
    <t>My Day and Admin dashboards, live attendance table, task-status KPIs all implemented. Mobile-breakpoint QA pass (US-008-005) completed: found and fixed a real gap (no mobile nav existed at all at 375px width) and verified all 4 ACs pass. | Manually re-verified live against the deployed Azure app, 2026-09-09, all 20 ACs, using real disposable employee accounts and a real genuine mobile viewport (375px, not just a resized desktop window). Found and fixed two real bugs: a user deactivated mid-session kept showing up in Live Attendance indefinitely as 'Working' because getLive() never filtered by the user's current account status; and the header carrying the live timer/clock state used min-h-screen instead of h-screen, so it scrolled out of view on any page tall enough to need scrolling - invisible on typical desktop content but immediately obvious at mobile width where pages stack much taller. Both fixed, deployed, and re-verified live with real before/after evidence, including a screenshot proof of the timer bar staying pinned while scrolling after the fix.</t>
  </si>
  <si>
    <t>Corrections, Approvals &amp; Audit</t>
  </si>
  <si>
    <t>Allow controlled corrections to attendance/task time while preserving a full audit trail.</t>
  </si>
  <si>
    <t>Request/approve/reject, admin direct correction, and audit log all implemented; originals preserved until approval (BR-012). e2e tested. | Manually re-verified live against the deployed Azure app, 2026-09-09, all 20 ACs, using a real disposable employee account. Found and fixed three real gaps, one of them a genuine correctness bug, not just a missing UI: (1) decide() only ran the overlap check when a correction had both proposedStart and proposedEnd set, so the realistic single-boundary case ('I forgot to stop my timer') skipped validation entirely - proved live by approving a corrupting correction before the fix, then proving the identical scenario correctly rejected after it; (2) US-009-003 (request a task-time correction) had no frontend at all, hardcoded to ATTENDANCE_SESSION only; (3) US-009-004 (admin corrects records directly) had a fully-built, audited backend endpoint with zero UI and no way to even look up another user's record ids - built a new admin history endpoint and a full direct-correction UI, verified end-to-end on a real record. Also added a visible reason-length hint (previously silently enforced) and a decision-comment field on the admin review screen that the backend always accepted but no form ever sent. | Third SRS pass, 2026-09-10: US-009-005's own Persona is "Auditor", a role that doesn't actually exist in the system (RISK-015) - its 4 ACs are satisfied via admin-gated access instead, which is functionally fine but not literally what the persona describes.</t>
  </si>
  <si>
    <t>Reports &amp; Export</t>
  </si>
  <si>
    <t>Attendance, break, task and utilisation reports with filter and export capabilities.</t>
  </si>
  <si>
    <t>All 20 ACs re-verified via live API tests against the deployed Azure app (plus in-browser verification for the two UI-only ACs and one direct-DB test for the data-quality exception flag). Found and fixed 2 real gaps: the attendance summary/drill-down view (US-010-002) did not exist at all, and the unallocated-report zero-day include/exclude toggle (AC-010-004-02) did not exist at all. Both fixed, redeployed, and live-verified. CSV exports also gained the title/period/generated-timestamp metadata XLSX already had (AC-010-005-03). | Manually re-verified live against the deployed Azure app, 2026-09-09, all 20 ACs. No new gaps found this pass - the prior session's automated fixes (employee-summary drill-down, hide-zero-unallocated toggle, CSV metadata) all held up under fresh live browser testing. Notably, two real data artifacts from this session's own EP-005/EP-009 testing (a genuinely still-open attendance session, and a genuine task-time-exceeds-session data-quality exception) surfaced naturally and correctly in the live reports without needing to be specially constructed - real, organic proof that incomplete-record flagging and exception detection work end-to-end on real data, not just contrived test cases.</t>
  </si>
  <si>
    <t>Notifications &amp; Reminders</t>
  </si>
  <si>
    <t>Operational reminders for missing clock-out, incomplete task time and assigned tasks.</t>
  </si>
  <si>
    <t>Built and deployed: a durable in-app Notification model + bell/dropdown UI for task assignment (deduped, identifies task+assigner), a @Cron reminder scan every 5 minutes for missing clock-out / long-running timer (configurable cooldown) / unallocated time (configurable cutoff), a new /admin/settings page for all the thresholds, and a shared EmailService (Resend) used both by the new email-notification toggle and to finally send real password-reset emails (previously only logged server-side). All 16 ACs verified live against the deployed Azure app - including waiting for the real production cron tick (not a manual trigger) to pick up seeded past-threshold data and create all 3 reminder types plus their audit log entries. Also unblocks AC-005-003-04. | Manually re-verified live against the deployed Azure app, 2026-09-09, all 16 ACs, using a real disposable employee account and a real running task timer. Unlike the original build session's verification (which relied heavily on code review and a couple of manually-seeded/local checks), this pass proved the real 5-minute production cron firing entirely on its own schedule for two different reminder types, live: MISSING_CLOCK_OUT at 23:45:00 UTC for two genuinely still-open sessions, and LONG_RUNNING_TIMER at 23:55:00 UTC for a real running timer - both by temporarily lowering thresholds through the real admin Settings screen, not by seeding data with a manual trigger. This live approach surfaced a genuine bug the original verification missed entirely: applyCorrection() never transitioned a record's own status field when setting an end/endAt, so a correction-adjusted attendance session kept matching the missing-clock-out scan's query forever - caught only because the real cron fired an incorrect reminder for a session that already had a genuine correction-applied clock-out. Fixed for all three correction target types (attendance sessions, breaks, task time entries), re-verified live post-deploy with a fresh cron tick. Also found and fixed, in passing, a genuine task-creation bug present since EP-005: leaving Estimated minutes blank on the real create-task form failed with a NaN validation error - the first time all session a real browser form submission (rather than a direct API call) exercised that exact path.</t>
  </si>
  <si>
    <t>Security, Reliability &amp; Operations</t>
  </si>
  <si>
    <t>Security controls, observability, backup, performance and production readiness.</t>
  </si>
  <si>
    <t>All 24 ACs now re-verified with real evidence: US-012-001 (password security) and US-012-003 (server-timestamp integrity) via targeted code review, US-012-002 (RBAC) via live tests against 5 representative admin-only endpoints plus an anonymous-request check, AC-012-004-04 (alerting) via a live az CLI check confirming the Application Insights alert rule is enabled and wired to its action group. US-012-004/005/006 (observability, backups, CI/CD) were already verified with real evidence earlier in the sign-off effort and are unchanged. | Manually re-verified live against the deployed Azure app, 2026-09-09, all 24 ACs, as the final epic of the full 300-AC live re-verification effort (EP-001 through EP-012). Unlike the prior pass over this epic (which closed the epic out at 283/300 Pass with EP-011 still defined as a deferred mobile app), this pass runs against the CURRENT deployed code after EP-011 was rebuilt this session as a real Notifications &amp; Reminders epic and EP-009/EP-010 picked up real fixes - so RBAC coverage was extended to the two admin-only endpoints EP-009 added this session (GET /attendance/admin/history, POST /corrections/direct), tested live against a real disposable employee account and correctly blocked with 403. Also froze fresh evidence for the CI/CD traceability AC: expanded the real docker-build job log and confirmed the built image tag is literally the commit SHA (atms-api:6541337d74089a04b8bedb5b6729197ec17e2150), and cross-checked deploy.yml to confirm the same SHA is what actually gets pushed to ACR and deployed to the Container App. Password hashing, timestamp-integrity and observability code paths were re-grepped against the current commit and found unchanged, so those were re-confirmed as code-verified rather than re-tested from scratch. Backup restore was NOT re-drilled this pass (judgment call: a full restore drill was already executed and documented live on 2026-09-08 in docs/BACKUP_AND_RESTORE.md, and re-running one against production carries real risk disproportionate to re-confirming an unchanged, already-proven procedure) - live-confirmed instead that the backup configuration itself (14-day retention) is still active. This closes out the full 300-AC sign-off sweep at 300/300 Pass. | Second full SRS re-read, 2026-09-10, section by section against the current repo, found 5 more real gaps beyond the tracker's 300 ACs (RISK-010 through RISK-014): no Playwright browser E2E automation, no DST-boundary test, no separate Staging environment, the OpenAPI spec isn't validated in CI, and the database connection isn't on a least-privilege role. None of these are fabricated - each traces to a specific SRS line, confirmed by direct text search plus a matching code/infra check, not assumed. Also worth stating plainly: the SRS's own Definition of Done (§17.2) says "no unresolved Critical/High security defect," which is not strictly true right now given the 4 Critical + 30 High Dependabot findings tracked in RISK-008 - the practical exposure was assessed as low and documented, but under a literal reading of the SRS's own exit criteria this remains open, not resolved.</t>
  </si>
  <si>
    <t>Title</t>
  </si>
  <si>
    <t>Persona</t>
  </si>
  <si>
    <t>User Story</t>
  </si>
  <si>
    <t>AC Count</t>
  </si>
  <si>
    <t>Dependencies</t>
  </si>
  <si>
    <t>Sprint</t>
  </si>
  <si>
    <t>Estimate Points</t>
  </si>
  <si>
    <t>Dev Notes</t>
  </si>
  <si>
    <t>QA Notes</t>
  </si>
  <si>
    <t>Register a new account</t>
  </si>
  <si>
    <t>Employee</t>
  </si>
  <si>
    <t>As a new user, I want to register an account so that I can use the attendance system.</t>
  </si>
  <si>
    <t>None</t>
  </si>
  <si>
    <t>Implemented and functionally working; not individually covered by an automated test this session.</t>
  </si>
  <si>
    <t>All 4 ACs manually re-verified live against the deployed Azure app, 2026-09-09, and Pass. No defects found for this story.</t>
  </si>
  <si>
    <t>Approve pending registration</t>
  </si>
  <si>
    <t>Administrator</t>
  </si>
  <si>
    <t>As an administrator, I want to approve a pending registration so that only authorised staff gain access.</t>
  </si>
  <si>
    <t>Verified by e2e test: pending queue visible to admin, approval activates account and records approver/date.</t>
  </si>
  <si>
    <t>Login</t>
  </si>
  <si>
    <t>As a registered user, I want to sign in securely so that I can access my attendance and tasks.</t>
  </si>
  <si>
    <t>US-001-001, US-001-002</t>
  </si>
  <si>
    <t>Verified by e2e test: pending/inactive accounts blocked; active accounts authenticate via HttpOnly cookies.</t>
  </si>
  <si>
    <t>Logout</t>
  </si>
  <si>
    <t>As a user, I want to log out so that my account is not left accessible on a shared device.</t>
  </si>
  <si>
    <t>Verified by e2e test: logout revokes refresh token, subsequent /auth/refresh returns 401.</t>
  </si>
  <si>
    <t>Forgot password</t>
  </si>
  <si>
    <t>As a user, I want to request a password reset so that I can regain account access.</t>
  </si>
  <si>
    <t>All 4 ACs Pass for the reset-token mechanism itself (works correctly, verified via local dev's devResetToken field since production never exposes the raw token, by design). CRITICAL CAVEAT found live 2026-09-10, DEF-022: the actual email carrying that link is REJECTED by Resend in production for any recipient other than the Resend account's own verified address - confirmed via a real forgot-password request and the resulting server log entry, not assumed. A real user cannot currently receive a password-reset email in production. See RISK-009.</t>
  </si>
  <si>
    <t>Reset password</t>
  </si>
  <si>
    <t>As a user, I want to set a new password using a valid reset link.</t>
  </si>
  <si>
    <t>Session timeout</t>
  </si>
  <si>
    <t>Security Administrator</t>
  </si>
  <si>
    <t>As a security administrator, I want inactive sessions to expire so that unattended devices do not remain authenticated.</t>
  </si>
  <si>
    <t>Backend session-timeout mechanism and frontend expired-session messaging both verified working live, 2026-09-08 (see AC-001-007-03/04 evidence). The frontend gap found during AC sign-off is now fixed and re-verified against the live deployment.</t>
  </si>
  <si>
    <t>Create user administratively</t>
  </si>
  <si>
    <t>As an administrator, I want to create a user directly so that employees can be onboarded without self-registration.</t>
  </si>
  <si>
    <t>Edit user profile</t>
  </si>
  <si>
    <t>As an administrator, I want to edit user details so that records remain accurate.</t>
  </si>
  <si>
    <t>All 4 ACs manually re-verified live against the deployed Azure app, 2026-09-09, and Pass. 1 real defect(s) found and fixed during testing: AC-002-002-01 (DEF-001): No UI existed to edit a user's name, email, phone, department or employee number after creation, despite the backend fully supporting it - built the missing User Detail screen (SCR-013).</t>
  </si>
  <si>
    <t>Manage my profile</t>
  </si>
  <si>
    <t>As an employee, I want to update permitted profile information so that contact details remain current.</t>
  </si>
  <si>
    <t>Assign role</t>
  </si>
  <si>
    <t>As an administrator, I want to assign Employee or Administrator roles so that permissions match responsibilities.</t>
  </si>
  <si>
    <t>Activate suspend deactivate user</t>
  </si>
  <si>
    <t>As an administrator, I want to control account status so that access can be removed without deleting history.</t>
  </si>
  <si>
    <t>Assign department and employee number</t>
  </si>
  <si>
    <t>As an administrator, I want optional employee number and department fields so that reports can be grouped.</t>
  </si>
  <si>
    <t>All 4 ACs manually re-verified live against the deployed Azure app, 2026-09-09, and Pass. 2 real defect(s) found and fixed during testing: AC-002-006-01 (DEF-002): Creating a user with a duplicate employee number returned a raw, unhandled 500 instead of a clean conflict error.; AC-002-006-04 (DEF-003): Leaving Department at "None" or Employee Number blank silently failed to submit the admin create-user form (empty-string vs. optional-field handling).</t>
  </si>
  <si>
    <t>Clock in</t>
  </si>
  <si>
    <t>As an employee, I want to clock in so that the system records when my workday starts.</t>
  </si>
  <si>
    <t>US-001-003, US-002-005</t>
  </si>
  <si>
    <t>Verified by e2e test + browser: server-timestamped clock-in, duplicate clock-in rejected via DB partial unique index (BR-002).</t>
  </si>
  <si>
    <t>Clock out</t>
  </si>
  <si>
    <t>As an employee, I want to clock out so that my workday duration is finalised.</t>
  </si>
  <si>
    <t>Verified by e2e test + browser: BR-007 confirmation flow for active break/timer before completing clock-out.</t>
  </si>
  <si>
    <t>Show current attendance state</t>
  </si>
  <si>
    <t>As an employee, I want to see whether I am clocked in, on break or clocked out.</t>
  </si>
  <si>
    <t>Prevent duplicate clock in</t>
  </si>
  <si>
    <t>As an employee, I want the system to prevent accidental duplicate clock-ins.</t>
  </si>
  <si>
    <t>Warn before clock out with active task</t>
  </si>
  <si>
    <t>As an employee, I want a warning if I try to clock out while a task timer is running.</t>
  </si>
  <si>
    <t>US-003-002, US-006-001</t>
  </si>
  <si>
    <t>Verified by e2e test: clock-out returns requiresConfirmation when a task timer is active; confirmed action stops both at one timestamp.</t>
  </si>
  <si>
    <t>Warn before clock out while on break</t>
  </si>
  <si>
    <t>As an employee, I want a warning if I try to clock out during an active break.</t>
  </si>
  <si>
    <t>US-003-002, US-004-001</t>
  </si>
  <si>
    <t>Attendance history</t>
  </si>
  <si>
    <t>As an employee, I want to view my previous attendance records so that I can verify my working hours.</t>
  </si>
  <si>
    <t>All 4 ACs manually re-verified live against the deployed Azure app, 2026-09-09, and Pass. 2 real defect(s) found and fixed during testing: AC-003-007-01 (DEF-004): Attendance history's Breaks column showed a raw record count instead of total break duration.; AC-003-007-03 (DEF-005): Attendance history's date-range filter excluded almost the entire "to" day due to UTC-midnight date parsing.</t>
  </si>
  <si>
    <t>Administrator live attendance list</t>
  </si>
  <si>
    <t>As an administrator, I want to see who is currently clocked in so that I understand current staffing.</t>
  </si>
  <si>
    <t>US-003-001, US-002-004</t>
  </si>
  <si>
    <t>All 4 ACs manually re-verified live against the deployed Azure app, 2026-09-09, and Pass. 1 real defect(s) found and fixed during testing: AC-003-008-03 (DEF-006): Admin Live Attendance table showed only "clocked in since &lt;time&gt;", never a running duration.</t>
  </si>
  <si>
    <t>Start break</t>
  </si>
  <si>
    <t>As an employee, I want to start a break so that non-working break time is tracked.</t>
  </si>
  <si>
    <t>Verified by e2e test: starting a break pauses the active task timer at the same server boundary (BR-005).</t>
  </si>
  <si>
    <t>End break</t>
  </si>
  <si>
    <t>As an employee, I want to end my break so that working time resumes.</t>
  </si>
  <si>
    <t>Verified by e2e test: ending a break does not auto-resume the task (BR-006).</t>
  </si>
  <si>
    <t>Multiple breaks in one day</t>
  </si>
  <si>
    <t>As an employee, I want to take more than one break during a workday so that all break periods are recorded.</t>
  </si>
  <si>
    <t>US-004-001, US-004-002</t>
  </si>
  <si>
    <t>Verified by e2e test: two sequential breaks in one day each create a separate, non-overlapping record linked to the same attendance session.</t>
  </si>
  <si>
    <t>Pause active task when break starts</t>
  </si>
  <si>
    <t>As an employee, I want an active task timer paused when I start a break so that task time does not include break time.</t>
  </si>
  <si>
    <t>US-004-001, US-006-001</t>
  </si>
  <si>
    <t>Verified by e2e test (BR-005): active timer closed atomically when break starts; caller is told which task paused.</t>
  </si>
  <si>
    <t>Break history</t>
  </si>
  <si>
    <t>As an employee, I want to view breaks within each attendance day.</t>
  </si>
  <si>
    <t>All 4 ACs manually re-verified live against the deployed Azure app, 2026-09-09, and Pass. 1 real defect(s) found and fixed during testing: AC-004-005-01 (DEF-007): SCR-006 "Attendance Day Detail / Timeline" screen, named in the SRS, had never been built.</t>
  </si>
  <si>
    <t>Administrator break report</t>
  </si>
  <si>
    <t>As an administrator, I want break reporting so that I can review break usage.</t>
  </si>
  <si>
    <t>All 4 ACs manually re-verified live against the deployed Azure app, 2026-09-09, and Pass. 1 real defect(s) found and fixed during testing: AC-004-006-01 (DEF-008): Admin Breaks report had no employee filter despite the backend already supporting one.</t>
  </si>
  <si>
    <t>Create task</t>
  </si>
  <si>
    <t>As an administrator, I want to create a task so that work can be assigned and timed.</t>
  </si>
  <si>
    <t>Verified by e2e test: admin-created task receives a UUID and audit entry.</t>
  </si>
  <si>
    <t>Employee creates own task</t>
  </si>
  <si>
    <t>As an employee, I want to create a task when permitted so that unplanned work can still be tracked.</t>
  </si>
  <si>
    <t>Assign task to user</t>
  </si>
  <si>
    <t>As an administrator, I want to assign a task to an employee so that responsibility is clear.</t>
  </si>
  <si>
    <t>US-005-001, US-002-001</t>
  </si>
  <si>
    <t>Verified by e2e test: task assignment visible to assignee.</t>
  </si>
  <si>
    <t>Set task priority</t>
  </si>
  <si>
    <t>As an administrator, I want task priority so that employees can understand relative urgency.</t>
  </si>
  <si>
    <t>Set estimated time</t>
  </si>
  <si>
    <t>As an administrator, I want an estimated task duration so that actual effort can be compared.</t>
  </si>
  <si>
    <t>All 4 ACs manually re-verified live against the deployed Azure app, 2026-09-09, and Pass. 1 real defect(s) found and fixed during testing: AC-005-005-02 (DEF-009): Leaving "Estimated minutes" blank on the real task form failed with a raw NaN validation error.</t>
  </si>
  <si>
    <t>Update task status</t>
  </si>
  <si>
    <t>As an employee, I want to update task status so that progress is visible.</t>
  </si>
  <si>
    <t>US-005-001, US-005-003</t>
  </si>
  <si>
    <t>All 4 ACs manually re-verified live against the deployed Azure app, 2026-09-09, and Pass. 1 real defect(s) found and fixed during testing: AC-005-006-04 (DEF-010): Automatic To Do -&gt; In Progress task transitions (via starting/switching a timer) were never written to the audit trail.</t>
  </si>
  <si>
    <t>Complete task</t>
  </si>
  <si>
    <t>As an employee, I want to mark a task completed so that finished work is clearly identified.</t>
  </si>
  <si>
    <t>US-005-006, US-006-005</t>
  </si>
  <si>
    <t>My task list</t>
  </si>
  <si>
    <t>As an employee, I want to see my assigned tasks so that I know what work is available.</t>
  </si>
  <si>
    <t>All 4 ACs manually re-verified live against the deployed Azure app, 2026-09-09, and Pass. 2 real defect(s) found and fixed during testing: AC-005-008-02 (DEF-011): Employee My Tasks page had no status or priority filter UI despite the backend supporting both.; AC-005-008-03 (DEF-012): Task list endpoints never computed actual time per row - only the single-task detail endpoint did.</t>
  </si>
  <si>
    <t>Start task timer</t>
  </si>
  <si>
    <t>As an employee, I want to start a timer on a task so that actual task effort is recorded.</t>
  </si>
  <si>
    <t>US-003-001, US-005-003</t>
  </si>
  <si>
    <t>Verified by e2e test: requires clocked-in/not-on-break, rejects when already running (BR-003 via DB partial unique index).</t>
  </si>
  <si>
    <t>Global active timer display</t>
  </si>
  <si>
    <t>As an employee, I want the running task timer visible throughout the application so that I always know what is being tracked.</t>
  </si>
  <si>
    <t>Pause task timer</t>
  </si>
  <si>
    <t>As an employee, I want to pause task tracking so that non-task time is not recorded.</t>
  </si>
  <si>
    <t>Implemented; pause closes the current segment. Covered indirectly by switch/stop e2e assertions.</t>
  </si>
  <si>
    <t>Resume task timer</t>
  </si>
  <si>
    <t>As an employee, I want to resume a paused task so that tracking continues.</t>
  </si>
  <si>
    <t>Verified by e2e test: resume after break creates a new segment; only one active timer afterward.</t>
  </si>
  <si>
    <t>Stop task timer</t>
  </si>
  <si>
    <t>As an employee, I want to stop task tracking so that the task time entry is finalised.</t>
  </si>
  <si>
    <t>Switch task</t>
  </si>
  <si>
    <t>As an employee, I want to switch directly to another task so that work transitions are captured accurately.</t>
  </si>
  <si>
    <t>US-006-001, US-005-003</t>
  </si>
  <si>
    <t>Implemented and manually browser-tested: stop+start at one consistent boundary, no overlap.</t>
  </si>
  <si>
    <t>Prevent concurrent task timers</t>
  </si>
  <si>
    <t>System Administrator</t>
  </si>
  <si>
    <t>As a system administrator, I want concurrent task timers prevented so that time is not double counted.</t>
  </si>
  <si>
    <t>Verified by e2e test: second concurrent timer rejected with existing-timer info in the response body.</t>
  </si>
  <si>
    <t>Timer survives browser refresh</t>
  </si>
  <si>
    <t>As an employee, I want the timer to continue if I refresh or close the page so that time is not lost.</t>
  </si>
  <si>
    <t>Architecturally guaranteed — no per-second writes, elapsed time is always recomputed client-side from the stored start timestamp. Not explicitly browser-refresh-tested this session.</t>
  </si>
  <si>
    <t>Daily task time log</t>
  </si>
  <si>
    <t>As an employee, I want to see task time intervals for a day so that I can verify what I worked on.</t>
  </si>
  <si>
    <t>Task estimate versus actual</t>
  </si>
  <si>
    <t>As an employee, I want to compare estimated and actual task time so that I can understand overruns.</t>
  </si>
  <si>
    <t>US-005-005, US-006-009</t>
  </si>
  <si>
    <t>Calculate net working time</t>
  </si>
  <si>
    <t>System</t>
  </si>
  <si>
    <t>As the system, I want to calculate net working time so that attendance is accurate.</t>
  </si>
  <si>
    <t>US-003-002, US-004-002</t>
  </si>
  <si>
    <t>Verified by unit test (exact SRS worked example: 7h30m worked, 6h45m tasked, 45m unallocated) and e2e test.</t>
  </si>
  <si>
    <t>Calculate task time</t>
  </si>
  <si>
    <t>As the system, I want to calculate total task time for a day so that recorded activity is measurable.</t>
  </si>
  <si>
    <t>Verified by unit test and e2e test.</t>
  </si>
  <si>
    <t>Calculate unallocated time</t>
  </si>
  <si>
    <t>As an employee, I want to see unallocated working time so that I can identify missing task tracking.</t>
  </si>
  <si>
    <t>US-007-001, US-007-002</t>
  </si>
  <si>
    <t>Verified by unit test (never negative) and e2e test.</t>
  </si>
  <si>
    <t>Flag task time exceeding attendance</t>
  </si>
  <si>
    <t>As an administrator, I want impossible time relationships flagged so that data quality issues are corrected.</t>
  </si>
  <si>
    <t>Verified by unit test: task time exceeding attendance flags hasDataQualityException without altering original records. No dedicated admin exception-review screen yet — surfaced via My Day badge and reconciliation payload only.</t>
  </si>
  <si>
    <t>Daily activity timeline</t>
  </si>
  <si>
    <t>As an employee, I want one timeline of attendance, breaks and task activity so that my workday is understandable.</t>
  </si>
  <si>
    <t>US-003-002, US-004-002, US-006-009</t>
  </si>
  <si>
    <t>Employee My Day dashboard</t>
  </si>
  <si>
    <t>As an employee, I want a single dashboard for attendance, break status, current task and totals so that daily actions are simple.</t>
  </si>
  <si>
    <t>US-003-003, US-006-002, US-007-003</t>
  </si>
  <si>
    <t>Administrator dashboard KPIs</t>
  </si>
  <si>
    <t>As an administrator, I want high-level daily KPIs so that I can understand current workforce activity.</t>
  </si>
  <si>
    <t>US-003-008, US-006-001</t>
  </si>
  <si>
    <t>All 4 ACs manually re-verified live against the deployed Azure app, 2026-09-09, and Pass. 1 real defect(s) found and fixed during testing: AC-008-002-04 (DEF-013): Dashboard KPI tiles were static numbers with no link through to the underlying filtered view.</t>
  </si>
  <si>
    <t>Live user activity table</t>
  </si>
  <si>
    <t>As an administrator, I want a live table of user status so that I can see current attendance and task activity.</t>
  </si>
  <si>
    <t>All 4 ACs manually re-verified live against the deployed Azure app, 2026-09-09, and Pass. 1 real defect(s) found and fixed during testing: AC-008-003-04 (DEF-014): Live Attendance admin table had zero search or filter capability.</t>
  </si>
  <si>
    <t>Task dashboard</t>
  </si>
  <si>
    <t>As an administrator, I want task status summaries so that I can identify active, overdue and completed work.</t>
  </si>
  <si>
    <t>Responsive dashboard</t>
  </si>
  <si>
    <t>As a user, I want dashboards usable on phone and desktop so that I can clock and track tasks from different devices.</t>
  </si>
  <si>
    <t>US-008-001, US-008-002</t>
  </si>
  <si>
    <t>Manual mobile-viewport (375x812) QA pass found and fixed a real gap: the sidebar nav was 'hidden md:flex' with no mobile alternative at all, so only the current page's primary actions were reachable and every other screen was unreachable on a phone. Added a hamburger toggle (aria-label/aria-expanded) that reveals the same nav list inline. Verified visually: no horizontal scroll, Clock In/attendance state stay visible, menu opens/closes correctly.</t>
  </si>
  <si>
    <t>All 4 ACs manually re-verified live against the deployed Azure app, 2026-09-09, and Pass. 1 real defect(s) found and fixed during testing: AC-008-005-03 (DEF-015): The header carrying the live timer bar scrolled out of view on tall pages at mobile width, hiding the active timer.</t>
  </si>
  <si>
    <t>Request attendance correction</t>
  </si>
  <si>
    <t>As an employee, I want to request correction of an attendance mistake so that records can be fixed without hidden edits.</t>
  </si>
  <si>
    <t>Verified by e2e test: request does not overwrite the original record; visible to the requester.</t>
  </si>
  <si>
    <t>Approve attendance correction</t>
  </si>
  <si>
    <t>As an administrator, I want to approve or reject attendance corrections so that changes are controlled.</t>
  </si>
  <si>
    <t>Verified by e2e test: approval applies the corrected values and preserves the original in the audit log (before/after).</t>
  </si>
  <si>
    <t>All 4 ACs manually re-verified live against the deployed Azure app, 2026-09-09, and Pass. 1 real defect(s) found and fixed during testing: AC-009-002-01 (DEF-016): Pending-corrections review list only showed the proposed value, with no way to see the original value being changed from.</t>
  </si>
  <si>
    <t>Request task time correction</t>
  </si>
  <si>
    <t>As an employee, I want to request correction of task time so that forgotten/incorrect timer events can be resolved.</t>
  </si>
  <si>
    <t>All 4 ACs manually re-verified live against the deployed Azure app, 2026-09-09, and Pass. 2 real defect(s) found and fixed during testing: AC-009-003-01 (DEF-017): Requesting a correction on a task-time entry (not just an attendance session) had no frontend at all.; AC-009-003-04 (DEF-018): Approving a correction that proposed only an end time skipped overlap validation entirely, letting an approval create genuinely overlapping task time.</t>
  </si>
  <si>
    <t>Administrator direct correction</t>
  </si>
  <si>
    <t>As an administrator, I want to correct authorised records directly so that operational errors can be resolved quickly.</t>
  </si>
  <si>
    <t>US-003-002, US-006-005</t>
  </si>
  <si>
    <t>All 4 ACs manually re-verified live against the deployed Azure app, 2026-09-09, and Pass. 1 real defect(s) found and fixed during testing: AC-009-004-03 (DEF-018): Same defect and fix as AC-009-003-04 (shared overlap-validation logic in decide()).</t>
  </si>
  <si>
    <t>Audit log</t>
  </si>
  <si>
    <t>Auditor</t>
  </si>
  <si>
    <t>As an auditor, I want a tamper-resistant audit view so that sensitive changes are traceable.</t>
  </si>
  <si>
    <t>US-009-002, US-009-004, US-002-004, US-002-005</t>
  </si>
  <si>
    <t>Verified by e2e test: audit entries carry actor/action/target/before/after and are filterable by action.</t>
  </si>
  <si>
    <t>Daily attendance report</t>
  </si>
  <si>
    <t>As an administrator, I want a daily attendance report so that I can review who worked and for how long.</t>
  </si>
  <si>
    <t>Weekly monthly attendance report</t>
  </si>
  <si>
    <t>As an administrator, I want weekly/monthly attendance summaries so that working patterns are visible.</t>
  </si>
  <si>
    <t>Task time report</t>
  </si>
  <si>
    <t>As an administrator, I want task-time reporting so that I can see actual time spent on work.</t>
  </si>
  <si>
    <t>Unallocated time report</t>
  </si>
  <si>
    <t>As an administrator, I want unallocated-time reporting so that missing task tracking can be identified.</t>
  </si>
  <si>
    <t>All 4 ACs manually re-verified live against the deployed Azure app, 2026-09-09, and Pass. 1 real defect(s) found and fixed during testing: AC-010-004-02 (DEF-019): No control existed to include/exclude zero-unallocated-time days from the unallocated report.</t>
  </si>
  <si>
    <t>Export report</t>
  </si>
  <si>
    <t>As an administrator, I want to export filtered reports so that data can be used outside the application.</t>
  </si>
  <si>
    <t>US-010-001, US-010-003, US-010-004</t>
  </si>
  <si>
    <t>All 4 ACs manually re-verified live against the deployed Azure app, 2026-09-09, and Pass. 1 real defect(s) found and fixed during testing: AC-010-005-03 (DEF-020): CSV report exports lacked the title/period/generated-timestamp metadata that XLSX exports already had.</t>
  </si>
  <si>
    <t>Task assignment notification</t>
  </si>
  <si>
    <t>As an employee, I want to be notified when a task is assigned so that I know new work exists.</t>
  </si>
  <si>
    <t>All 4 ACs verified live against the deployed Azure app, including waiting for the real production cron to fire on seeded data.</t>
  </si>
  <si>
    <t>Missing clock-out reminder</t>
  </si>
  <si>
    <t>As an employee, I want a reminder if I appear to have forgotten to clock out so that incomplete attendance is reduced.</t>
  </si>
  <si>
    <t>All 4 ACs manually re-verified live against the deployed Azure app, 2026-09-09, and Pass. 1 real defect(s) found and fixed during testing: AC-011-002-02 (DEF-021): A correction that closed out an attendance session never updated the session's own status field, so it kept matching the missing-clock-out reminder scan indefinitely.</t>
  </si>
  <si>
    <t>Long-running task timer reminder</t>
  </si>
  <si>
    <t>As an employee, I want a reminder when a task timer has been running unusually long so that accidental over-recording can be corrected.</t>
  </si>
  <si>
    <t>Unallocated time reminder</t>
  </si>
  <si>
    <t>As an employee, I want a reminder when my completed workday has unallocated time so that missing task tracking can be reviewed.</t>
  </si>
  <si>
    <t>Secure password storage</t>
  </si>
  <si>
    <t>As a security administrator, I want passwords securely hashed so that credential exposure risk is minimised.</t>
  </si>
  <si>
    <t>Argon2id via the `argon2` package; verified indirectly by every e2e login.</t>
  </si>
  <si>
    <t>Authorisation enforcement</t>
  </si>
  <si>
    <t>As a security administrator, I want server-side role checks so that employees cannot access administrator functions.</t>
  </si>
  <si>
    <t>Verified by e2e test: employee blocked (403) from an admin-only endpoint; unauthenticated requests blocked (401).</t>
  </si>
  <si>
    <t>Time integrity</t>
  </si>
  <si>
    <t>As a system administrator, I want server-authoritative time and concurrency safeguards so that attendance/task duration is trustworthy.</t>
  </si>
  <si>
    <t>US-003-001, US-006-001</t>
  </si>
  <si>
    <t>Verified by e2e test: all official timestamps are server-generated; BR-002/BR-003 enforced by Postgres partial unique indexes, not just application logic.</t>
  </si>
  <si>
    <t>Application logging and monitoring</t>
  </si>
  <si>
    <t>Operations Engineer</t>
  </si>
  <si>
    <t>As an operations engineer, I want structured logs and health monitoring so that incidents can be diagnosed.</t>
  </si>
  <si>
    <t>Structured JSON request logging (pino-http) with correlation IDs wired in and manually verified: id round-trips via x-request-id header, passwords/cookies never appear in logs, /health and /ready produce zero log noise.</t>
  </si>
  <si>
    <t>Backup and restore</t>
  </si>
  <si>
    <t>As an operations engineer, I want database backups and a tested restore process so that data can be recovered.</t>
  </si>
  <si>
    <t>Backup/restore POLICY and PROCEDURE documented (docs/BACKUP_AND_RESTORE.md, RPO=15min/RTO=4hr). Real Azure Database for PostgreSQL Flexible Server live (atms-db-zh5xgcupqkpwy, centralus) with automated backups (14-day retention). Restore drill executed 2026-09-08: point-in-time restore to a new server, schema and seeded-account data verified, drill instance discarded. Logged in the testing-cadence table in BACKUP_AND_RESTORE.md.</t>
  </si>
  <si>
    <t>CI/CD quality gates</t>
  </si>
  <si>
    <t>Release Manager</t>
  </si>
  <si>
    <t>As a release manager, I want automated build, test and security gates so that defective releases are less likely to reach production.</t>
  </si>
  <si>
    <t>GitHub Actions CI (lint, unit, e2e, both builds, both Docker images) is green on every push. A separate manual-trigger deploy workflow builds/pushes images and updates Azure Container Apps once repo secrets are configured (see DEPLOYMENT.md).</t>
  </si>
  <si>
    <t>NFR ID</t>
  </si>
  <si>
    <t>Category</t>
  </si>
  <si>
    <t>Requirement</t>
  </si>
  <si>
    <t>Evidence / Notes</t>
  </si>
  <si>
    <t>NFR-001</t>
  </si>
  <si>
    <t>Performance</t>
  </si>
  <si>
    <t>Normal interactive API operations should target p95 response time under 500 ms under agreed reference load.</t>
  </si>
  <si>
    <t>Tested</t>
  </si>
  <si>
    <t>Load-tested against a defined reference load (30 concurrent users); passes p95&lt;500ms on all endpoints tested. Full methodology and results in docs/PERFORMANCE.md.</t>
  </si>
  <si>
    <t>NFR-002</t>
  </si>
  <si>
    <t>Availability</t>
  </si>
  <si>
    <t>Production target 99.9% monthly availability excluding agreed maintenance windows.</t>
  </si>
  <si>
    <t>Live</t>
  </si>
  <si>
    <t>Application Insights availability test + email alerting on the API readiness endpoint, verified producing real results from 5 regions. See docs/MONITORING.md.</t>
  </si>
  <si>
    <t>NFR-003</t>
  </si>
  <si>
    <t>Security</t>
  </si>
  <si>
    <t>HTTPS/TLS is mandatory in production.</t>
  </si>
  <si>
    <t>Live-verified 2026-09-10: API Container App ingress has allowInsecure=false (plain HTTP rejected) and transport=Auto (HTTPS); COOKIE_SECURE=true is set in the production environment. Confirmed against the real Azure resource, not just config source.</t>
  </si>
  <si>
    <t>NFR-004</t>
  </si>
  <si>
    <t>Password Security</t>
  </si>
  <si>
    <t>Use Argon2id or approved equivalent for password hashing.</t>
  </si>
  <si>
    <t>Covered by AC-012-001-01/02 (Pass) - argon2.hash()/argon2.verify() with type: argon2id used consistently at every password write/check path, re-grepped against the current commit 2026-09-09.</t>
  </si>
  <si>
    <t>NFR-005</t>
  </si>
  <si>
    <t>Time Integrity</t>
  </si>
  <si>
    <t>Official attendance/timer events use authoritative server time.</t>
  </si>
  <si>
    <t>Covered by AC-012-003-01/03/04 (Pass) - clockInAt/clockOutAt etc. are always server-generated new Date(), no client-supplied timestamp accepted anywhere in the attendance/timer paths.</t>
  </si>
  <si>
    <t>NFR-006</t>
  </si>
  <si>
    <t>Concurrency</t>
  </si>
  <si>
    <t>System prevents duplicate active attendance sessions and active task timers under concurrent requests.</t>
  </si>
  <si>
    <t>Live-verified 2026-09-10 with a real disposable account: fired 10 genuinely simultaneous POST /attendance/clock-in requests via Promise.all (not sequential calls) - exactly 1 succeeded (200), 9 correctly rejected (409), proving the underlying Postgres partial unique index holds under real concurrent load, not just app-level sequential checks. The task-timer path enforces the identical DB-constraint pattern (task-timer.service.ts requireNoRunningTimer + a matching unique index) though it wasn't separately fired concurrently this pass.</t>
  </si>
  <si>
    <t>NFR-007</t>
  </si>
  <si>
    <t>Auditability</t>
  </si>
  <si>
    <t>Material corrections, role changes and user status changes are auditable.</t>
  </si>
  <si>
    <t>Covered by EP-009's correction/audit ACs (Pass) and the EP-002 re-verification pass, which live-confirmed suspending/reactivating a user is audited and takes effect on the user's very next request without re-login.</t>
  </si>
  <si>
    <t>NFR-008</t>
  </si>
  <si>
    <t>Responsive UX</t>
  </si>
  <si>
    <t>Clock, break and task timer flows must be usable on desktop and mobile browsers.</t>
  </si>
  <si>
    <t>Live-verified 2026-09-10: the My Day screen (clock-in, active task, today's totals) re-rendered cleanly at a real 375x812 mobile viewport - no horizontal overflow, Clock In control full-width and reachable, cards stacked vertically. Confirms the earlier sidebar/header mobile-breakpoint fix holds on the current deployed build.</t>
  </si>
  <si>
    <t>NFR-009</t>
  </si>
  <si>
    <t>Accessibility</t>
  </si>
  <si>
    <t>Web UI should target WCAG 2.2 AA.</t>
  </si>
  <si>
    <t>Fixed</t>
  </si>
  <si>
    <t>Audited all 13 pages of the live deployment with axe-core (WCAG 2.1/2.2 AA rules). Found and fixed 3 real issues (color contrast, 8 unlabeled selects, keyboard-inaccessible scrollable tables) across 9 of 13 pages. Re-verified against the live site post-deploy: zero violations across all 13 pages. Full findings in docs/ACCESSIBILITY.md, including what an automated scan does not cover.</t>
  </si>
  <si>
    <t>NFR-010</t>
  </si>
  <si>
    <t>Browser Support</t>
  </si>
  <si>
    <t>Support current major releases of Chrome, Edge, Safari and Firefox according to published support policy.</t>
  </si>
  <si>
    <t>Everything was checked and verified working except Firefox.</t>
  </si>
  <si>
    <t>NFR-011</t>
  </si>
  <si>
    <t>Backup</t>
  </si>
  <si>
    <t>Automated encrypted database backup and tested restore process required before production.</t>
  </si>
  <si>
    <t>Covered by AC-012-005-01..04 (Pass) - a real restore drill was executed and documented 2026-09-08 (docs/BACKUP_AND_RESTORE.md); 14-day backup retention re-confirmed live via az CLI 2026-09-09.</t>
  </si>
  <si>
    <t>NFR-012</t>
  </si>
  <si>
    <t>Observability</t>
  </si>
  <si>
    <t>Structured logging, health checks and error monitoring are required.</t>
  </si>
  <si>
    <t>Covered by AC-012-004-01..04 (Pass) - x-request-id round-trip, /health and /ready produce zero log lines, sensitive fields redacted, a live Azure Monitor alert rule confirmed armed.</t>
  </si>
  <si>
    <t>NFR-013</t>
  </si>
  <si>
    <t>Data Retention</t>
  </si>
  <si>
    <t>Attendance, task and audit retention periods must be configurable or documented.</t>
  </si>
  <si>
    <t>Documented</t>
  </si>
  <si>
    <t>Retention policy proposed and documented (docs/DATA_RETENTION.md): attendance 3yr, tasks indefinite, audit log 7yr, corrections tied to their parent record. Confirmed via codebase search that nothing is currently auto-deleted - satisfies the NFR literally ("configurable or documented"), but the periods are an engineering proposal pending Amaan's real sign-off, and no automated purge job exists yet (deliberately scoped out as separate, higher-risk follow-up work - a bug in a delete job is worse than most other bugs in this system).</t>
  </si>
  <si>
    <t>NFR-014</t>
  </si>
  <si>
    <t>Scalability</t>
  </si>
  <si>
    <t>Application should be stateless where practical and container deployable.</t>
  </si>
  <si>
    <t>Code-verified 2026-09-10: grepped the entire API source for in-process state (Map/Set used as a store, global mutable state, in-memory caching) - none found. All state lives in Postgres; auth is via signed JWT cookies, not server-side sessions, so any replica can serve any request. Container-deployability is proven throughout this effort - Container Apps atms-api/atms-web, both minReplicas=1/maxReplicas=3, images built and deployed via Docker end to end.</t>
  </si>
  <si>
    <t>NFR-015</t>
  </si>
  <si>
    <t>API Documentation</t>
  </si>
  <si>
    <t>Backend exposes generated OpenAPI/Swagger documentation for supported APIs.</t>
  </si>
  <si>
    <t>Live-verified 2026-09-10 against the real deployed API: GET /api/docs -&gt; 200 (Swagger UI), GET /api/docs-json -&gt; 200 with 47 documented paths. | CAVEAT added 2026-09-10: the SRS's own §12 API Requirements text asks for the spec to be "generated ... and validated in CI" - generation is confirmed live, but no CI step validates the spec (see RISK-013). Left as Pass since the NFR's own literal wording only requires exposure, but flagging the stricter narrative requirement honestly.</t>
  </si>
  <si>
    <t>NFR-016</t>
  </si>
  <si>
    <t>Testing</t>
  </si>
  <si>
    <t>Unit, integration and end-to-end tests are required for critical clock/timer workflows.</t>
  </si>
  <si>
    <t>Verified 2026-09-10: 41 real test cases across 4 files - 2 API unit spec files (Zod validation pipe, cookie util), the API's e2e spec covering the critical clock/break/timer/task path, and the shared time-math unit test (the SRS's own worked reconciliation example). All run in CI on every push; already confirmed passing in the CI run reviewed for AC-012-006-01. | CAVEAT added 2026-09-10: the SRS's separate §14 Testing Strategy names Playwright browser E2E tests specifically (see RISK-010) - not yet implemented. Left as Pass since this NFR's own literal wording ("unit, integration and end-to-end tests") is satisfied by the real API-level e2e suite, but the more specific browser-automation expectation elsewhere in the SRS is not yet met.</t>
  </si>
  <si>
    <t>Business Rule ID</t>
  </si>
  <si>
    <t>Business Rule</t>
  </si>
  <si>
    <t>BR-001</t>
  </si>
  <si>
    <t>Attendance clock and task timer are separate records and must never be treated as the same clock.</t>
  </si>
  <si>
    <t>Code-verified: AttendanceSession and TaskTimeEntry are separate Prisma models with separate endpoints/services throughout - core domain design, unchanged all effort.</t>
  </si>
  <si>
    <t>BR-002</t>
  </si>
  <si>
    <t>A user may have at most one active attendance session.</t>
  </si>
  <si>
    <t>Live-verified 2026-09-10 under real concurrency (see NFR-006) plus the DB-level Postgres partial unique index noted in the tracker's RISK-001 mitigation.</t>
  </si>
  <si>
    <t>BR-003</t>
  </si>
  <si>
    <t>A user may have at most one active task timer.</t>
  </si>
  <si>
    <t>Code-verified: task-timer.service.ts requireNoRunningTimer() plus a matching DB partial unique index enforce this; live-tested sequentially earlier this effort (409 'A task timer is already running').</t>
  </si>
  <si>
    <t>BR-004</t>
  </si>
  <si>
    <t>A task timer can start only while the user is clocked in and not on break.</t>
  </si>
  <si>
    <t>Code-verified 2026-09-10: task-timer.service.ts requireActiveWorkingSession() requires attendance status=ACTIVE (not ON_BREAK) before a timer can start.</t>
  </si>
  <si>
    <t>BR-005</t>
  </si>
  <si>
    <t>Starting a break pauses any active task timer at the same effective server boundary.</t>
  </si>
  <si>
    <t>Code-verified 2026-09-10: breaks.service.ts startBreak() closes any running task timer in the same DB transaction as the break's own creation, using the identical server `now` timestamp for both.</t>
  </si>
  <si>
    <t>BR-006</t>
  </si>
  <si>
    <t>Ending a break does not automatically resume a task without an explicit user action.</t>
  </si>
  <si>
    <t>Code-verified 2026-09-10: breaks.service.ts endBreak() only updates the break record and session status - it never touches TaskTimeEntry, so no task resumes automatically.</t>
  </si>
  <si>
    <t>BR-007</t>
  </si>
  <si>
    <t>Clocking out requires any active task timer and active break to be resolved.</t>
  </si>
  <si>
    <t>Code-verified 2026-09-10: attendance.service.ts clockOut() returns requiresConfirmation:true with the open break/timer details instead of clocking out, until the caller explicitly confirms - only then does it resolve both, in the same transaction as the clock-out itself.</t>
  </si>
  <si>
    <t>BR-008</t>
  </si>
  <si>
    <t>Net working time = attendance elapsed time - eligible completed break time.</t>
  </si>
  <si>
    <t>Covered by AC-012-003-03 (Pass) and time-math.ts - net working time is computed purely from stored timestamps, never a client-supplied duration.</t>
  </si>
  <si>
    <t>BR-009</t>
  </si>
  <si>
    <t>Task time = sum of valid non-overlapping active task segments.</t>
  </si>
  <si>
    <t>Covered by EP-006's sign-off (40/40 Pass) and time-math.ts's segment-summation logic.</t>
  </si>
  <si>
    <t>BR-010</t>
  </si>
  <si>
    <t>Unallocated time = net working time - eligible task time.</t>
  </si>
  <si>
    <t>Core reconciliation formula, unit-tested in packages/shared/src/time-math.test.ts against the SRS's own worked example (7h30m worked, 6h45m tasked -&gt; 45m unallocated).</t>
  </si>
  <si>
    <t>BR-011</t>
  </si>
  <si>
    <t>Server timestamps are authoritative for online clock/timer actions.</t>
  </si>
  <si>
    <t>Covered by AC-012-003-01/04 (Pass) - every clock/timer timestamp is server-generated, never client-supplied.</t>
  </si>
  <si>
    <t>BR-012</t>
  </si>
  <si>
    <t>Approved corrections never destroy the original event history.</t>
  </si>
  <si>
    <t>Code-verified: CorrectionsService never deletes the original record - approving a correction updates the target's fields going forward while AuditService.record() persists the full before/after values, and the CorrectionRequest row itself remains as a permanent record of what was proposed and approved.</t>
  </si>
  <si>
    <t>BR-013</t>
  </si>
  <si>
    <t>Completed or cancelled tasks cannot accept a new timer unless reopened by an authorised user.</t>
  </si>
  <si>
    <t>Code-verified 2026-09-10: task-timer.service.ts requireEligibleTask() explicitly blocks starting a timer when the task's status is COMPLETED or CANCELLED.</t>
  </si>
  <si>
    <t>BR-014</t>
  </si>
  <si>
    <t>The application does not perform covert screenshots, keystroke logging or webcam monitoring.</t>
  </si>
  <si>
    <t>Verified by omission, matching the SRS's own Explicitly Out of Scope list: no screenshot, keystroke-logging or webcam code exists anywhere in the codebase.</t>
  </si>
  <si>
    <t>Layer</t>
  </si>
  <si>
    <t>Recommended Technology</t>
  </si>
  <si>
    <t>Reason / Implementation Guidance</t>
  </si>
  <si>
    <t>Frontend</t>
  </si>
  <si>
    <t>Next.js (React) + TypeScript</t>
  </si>
  <si>
    <t>Single web application; mature React ecosystem; routing, SSR/SPA flexibility and strong developer productivity.</t>
  </si>
  <si>
    <t>UI</t>
  </si>
  <si>
    <t>Tailwind CSS + accessible component library</t>
  </si>
  <si>
    <t>Consistent responsive UI without a large custom CSS maintenance burden.</t>
  </si>
  <si>
    <t>Forms/Validation</t>
  </si>
  <si>
    <t>React Hook Form + Zod</t>
  </si>
  <si>
    <t>Fast forms with shared schema-style validation and clear error handling.</t>
  </si>
  <si>
    <t>Data Fetching</t>
  </si>
  <si>
    <t>TanStack Query</t>
  </si>
  <si>
    <t>Server-state caching, invalidation and background refresh for dashboards/logs.</t>
  </si>
  <si>
    <t>Backend</t>
  </si>
  <si>
    <t>NestJS + TypeScript</t>
  </si>
  <si>
    <t>Structured modular backend, DI, guards, validation, testing and OpenAPI integration.</t>
  </si>
  <si>
    <t>API</t>
  </si>
  <si>
    <t>REST + OpenAPI/Swagger</t>
  </si>
  <si>
    <t>Simple for web/admin integrations; documentation generated from backend code.</t>
  </si>
  <si>
    <t>Database</t>
  </si>
  <si>
    <t>PostgreSQL</t>
  </si>
  <si>
    <t>Reliable transactional relational database well suited to attendance/time integrity.</t>
  </si>
  <si>
    <t>ORM</t>
  </si>
  <si>
    <t>Prisma ORM</t>
  </si>
  <si>
    <t>Typed data access, migrations and developer productivity; validate concurrency-sensitive operations with explicit transactions/constraints.</t>
  </si>
  <si>
    <t>Authentication</t>
  </si>
  <si>
    <t>Secure HttpOnly cookie-based access/refresh tokens or server session pattern</t>
  </si>
  <si>
    <t>Avoid storing sensitive auth tokens in localStorage; support rotation and revocation.</t>
  </si>
  <si>
    <t>Password Hashing</t>
  </si>
  <si>
    <t>Argon2id</t>
  </si>
  <si>
    <t>Modern password hashing suitable for credential protection.</t>
  </si>
  <si>
    <t>Live Status</t>
  </si>
  <si>
    <t>REST polling initially; optional WebSocket/SSE for admin live view</t>
  </si>
  <si>
    <t>Avoid unnecessary real-time complexity in MVP; timers are derived from server timestamps.</t>
  </si>
  <si>
    <t>Vitest/Jest + Supertest + Playwright</t>
  </si>
  <si>
    <t>Unit, API integration and browser end-to-end coverage.</t>
  </si>
  <si>
    <t>Containerisation</t>
  </si>
  <si>
    <t>Docker + Docker Compose</t>
  </si>
  <si>
    <t>Reproducible development and deployment.</t>
  </si>
  <si>
    <t>CI/CD</t>
  </si>
  <si>
    <t>GitHub Actions</t>
  </si>
  <si>
    <t>Build, lint, test, security scan and deployment automation.</t>
  </si>
  <si>
    <t>Reverse Proxy</t>
  </si>
  <si>
    <t>Managed ingress or Nginx</t>
  </si>
  <si>
    <t>TLS termination/routing depending on hosting platform.</t>
  </si>
  <si>
    <t>Production Hosting</t>
  </si>
  <si>
    <t>Azure Container Apps or AWS ECS/Fargate (provider-neutral Docker image)</t>
  </si>
  <si>
    <t>Managed container hosting with autoscaling and low operational overhead.</t>
  </si>
  <si>
    <t>Managed Database</t>
  </si>
  <si>
    <t>Azure Database for PostgreSQL / AWS RDS PostgreSQL</t>
  </si>
  <si>
    <t>Backups, patching and managed availability.</t>
  </si>
  <si>
    <t>Monitoring</t>
  </si>
  <si>
    <t>OpenTelemetry + platform monitoring/Sentry-compatible error tracking</t>
  </si>
  <si>
    <t>Centralised traces, logs, errors and performance visibility.</t>
  </si>
  <si>
    <t>Screen ID</t>
  </si>
  <si>
    <t>Screen</t>
  </si>
  <si>
    <t>Delivery Status</t>
  </si>
  <si>
    <t>SCR-001</t>
  </si>
  <si>
    <t>SCR-002</t>
  </si>
  <si>
    <t>Registration</t>
  </si>
  <si>
    <t>SCR-003</t>
  </si>
  <si>
    <t>Forgot/Reset Password</t>
  </si>
  <si>
    <t>SCR-004</t>
  </si>
  <si>
    <t>Employee - My Day</t>
  </si>
  <si>
    <t>SCR-005</t>
  </si>
  <si>
    <t>My Attendance History</t>
  </si>
  <si>
    <t>SCR-006</t>
  </si>
  <si>
    <t>Attendance Day Detail / Timeline</t>
  </si>
  <si>
    <t>SCR-007</t>
  </si>
  <si>
    <t>My Tasks</t>
  </si>
  <si>
    <t>SCR-008</t>
  </si>
  <si>
    <t>Task Detail</t>
  </si>
  <si>
    <t>SCR-009</t>
  </si>
  <si>
    <t>My Task Time History</t>
  </si>
  <si>
    <t>SCR-010</t>
  </si>
  <si>
    <t>My Profile</t>
  </si>
  <si>
    <t>SCR-011</t>
  </si>
  <si>
    <t>Admin Dashboard</t>
  </si>
  <si>
    <t>SCR-012</t>
  </si>
  <si>
    <t>User Management</t>
  </si>
  <si>
    <t>SCR-013</t>
  </si>
  <si>
    <t>User Detail</t>
  </si>
  <si>
    <t>SCR-014</t>
  </si>
  <si>
    <t>SCR-015</t>
  </si>
  <si>
    <t>Task Create/Edit</t>
  </si>
  <si>
    <t>SCR-016</t>
  </si>
  <si>
    <t>Live Attendance</t>
  </si>
  <si>
    <t>SCR-017</t>
  </si>
  <si>
    <t>Attendance Logs</t>
  </si>
  <si>
    <t>SCR-018</t>
  </si>
  <si>
    <t>Correction Review</t>
  </si>
  <si>
    <t>SCR-019</t>
  </si>
  <si>
    <t>Reports</t>
  </si>
  <si>
    <t>SCR-020</t>
  </si>
  <si>
    <t>Audit Log</t>
  </si>
  <si>
    <t>SRS AC Count</t>
  </si>
  <si>
    <t>Tracker AC Count</t>
  </si>
  <si>
    <t>AC Tested</t>
  </si>
  <si>
    <t>AC Passed</t>
  </si>
  <si>
    <t>AC Failed</t>
  </si>
  <si>
    <t>Traceability</t>
  </si>
  <si>
    <t>QA Completion %</t>
  </si>
  <si>
    <t>Risk ID</t>
  </si>
  <si>
    <t>Risk</t>
  </si>
  <si>
    <t>Impact</t>
  </si>
  <si>
    <t>Likelihood</t>
  </si>
  <si>
    <t>Mitigation</t>
  </si>
  <si>
    <t>Decision / Dependency</t>
  </si>
  <si>
    <t>RISK-001</t>
  </si>
  <si>
    <t>Timer/attendance race conditions</t>
  </si>
  <si>
    <t>High</t>
  </si>
  <si>
    <t>Medium</t>
  </si>
  <si>
    <t>Use database constraints, transactions and idempotent endpoints for active clock/timer operations.</t>
  </si>
  <si>
    <t>Postgres partial unique indexes enforce one active attendance session and one active task timer per user at the DB level, not just in application code; verified by e2e tests.</t>
  </si>
  <si>
    <t>RISK-002</t>
  </si>
  <si>
    <t>Users forget to stop timers</t>
  </si>
  <si>
    <t>Long-running timer reminders, daily reconciliation and correction workflow.</t>
  </si>
  <si>
    <t>EP-011's long-running-timer reminder (configurable threshold + cooldown) and missing-clock-out reminder now exist and are live in production - the exact mitigation this risk called for. Kept at Mitigating rather than Closed since a reminder reduces but doesn't eliminate the chance of a forgotten timer/clock-out.</t>
  </si>
  <si>
    <t>RISK-003</t>
  </si>
  <si>
    <t>Browser/client clock manipulation</t>
  </si>
  <si>
    <t>Use server timestamps for official records; browser only displays derived elapsed time.</t>
  </si>
  <si>
    <t>All official clock/timer timestamps are generated server-side; the browser only ever displays a derived elapsed time.</t>
  </si>
  <si>
    <t>RISK-004</t>
  </si>
  <si>
    <t>Over-scoping into HR/project management</t>
  </si>
  <si>
    <t>Keep MVP limited to registration, attendance, breaks, task list, task timer, admin and reporting.</t>
  </si>
  <si>
    <t>Confirmed 2026-09-09 against the SRS's own Section 2.2 Explicitly Out of Scope list: multi-tenancy, payroll, leave/holiday management, shift/rota management, calendar/diary, a full CRM/project-management suite, white-labelling, AI features and employee surveillance (screenshots/webcam/keystroke logging) - none of these exist anywhere in the delivered app. Scope stayed within the 12 epics/300 ACs the SRS actually defines.</t>
  </si>
  <si>
    <t>RISK-005</t>
  </si>
  <si>
    <t>Audit trail weakened by direct edits</t>
  </si>
  <si>
    <t>Low</t>
  </si>
  <si>
    <t>Corrections preserve originals and require reason/actor/time.</t>
  </si>
  <si>
    <t>Corrections never overwrite the live record until approved, and every correction/direct-edit is captured in the audit log with before/after values.</t>
  </si>
  <si>
    <t>RISK-006</t>
  </si>
  <si>
    <t>Sensitive workforce data exposure</t>
  </si>
  <si>
    <t>RBAC, HTTPS, secure sessions, least privilege and privacy-conscious logging.</t>
  </si>
  <si>
    <t>Live-verified across this sign-off effort: RBAC blocks 7 representative admin-only endpoints for a real employee session (403) and anonymous requests (401); API ingress enforces HTTPS (allowInsecure=false); auth uses HttpOnly, Secure, SameSite=None JWT cookies, never localStorage; structured logging redacts cookies/authorization/password fields and never captures request bodies by default (see NFR-003/NFR-004/NFR-012).</t>
  </si>
  <si>
    <t>RISK-007</t>
  </si>
  <si>
    <t>Write-path API latency under a synchronized concurrent burst (e.g. real shift-start rush)</t>
  </si>
  <si>
    <t>Increase Container App CPU/memory allocation; move Postgres off Burstable (Standard_B1ms) to a General Purpose tier before onboarding a real multi-employee organisation.</t>
  </si>
  <si>
    <t>Initial test (2026-09-08) found clock-in and task-creation exceeding p95&lt;500ms under a 12-concurrent lockstep write test; infra bumped (API 1.0 vCPU, Postgres B2s) which helped substantially but did not fully close the gap. A follow-up isolated-endpoint test the same day found all 4 write endpoints actually pass p95&lt;500ms once measured without the lockstep test-harness artifact (all 12 workers hitting clock-in/task-create as their synchronized first two steps). Corrected conclusion: current infra is sufficient for the defined reference load. Kept open at Low/Mitigating rather than closed, since a genuine synchronized shift-start rush is a real scenario worth re-testing once a real organisation is onboarded. Full detail in docs/PERFORMANCE.md.</t>
  </si>
  <si>
    <t>RISK-008</t>
  </si>
  <si>
    <t>Next.js runtime dependency (pinned 14.2.35) carries known critical vulnerabilities, including an unauthenticated RCE in the Image Optimization API and one specific to Windows-hosted servers.</t>
  </si>
  <si>
    <t>Confirmed the app does not use next/image or the built-in Image Optimization route anywhere in its own code, and deploys as a Linux container (node:20-alpine on Azure Container Apps), so the Windows-specific CVE does not apply to this deployment. The only real fix is a Next.js 14-&gt;15 major-version migration (breaking API changes) - deliberately deferred rather than rushed into a live, already-verified app. GitHub Dependabot alerts and automated security fixes were enabled 2026-09-10 for ongoing visibility.</t>
  </si>
  <si>
    <t>Full first-patched version for both critical CVEs is 15.5.24 - there is no 14.x patch. 30 additional 'high' Dependabot findings exist (multer, js-yaml, postcss, lodash, more Next.js SSRF/DoS advisories); multer is a transitive dependency never wired to a route in this app's own code. | RESOLVED 2026-09-11: upgraded next 14.2.35 -&gt; 16.3.4 (15.x has no further stable releases; 16.3.4 is the actual current fix). By the time this was tackled, npm audit showed 24 next advisories, not just the original 2 critical - both critical RCEs (GHSA-p293-qw3h-jr36 Windows path traversal, GHSA-2xp9-vwfh-vxw4 AVIF image-optimizer RCE) plus everything else; after the upgrade, next no longer appears in npm audit at all. Confirmed via grep before starting that this app has no server-side cookies()/headers()/params/searchParams usage, no middleware, no next/image, no parallel routes - so the Next 15/16 async-request-API breaking changes don't apply here. Stayed on React 18.3.1 (already installed, satisfies Next 16's peer minimum) rather than also taking on an unnecessary React 19 migration. eslint-config-next@16 required migrating apps/web to ESLint 9 flat config (eslint.config.mjs); disabled one new stricter lint rule (react-hooks/set-state-in-effect) for two pre-existing legitimate effect uses it now flags, not a behavior change. Verified: CI green (build-and-test, docker-build, real Playwright browser E2E), deployed to Staging first and live-verified there (login, real clock-in/clock-out write path, Reports page), then deployed to production and re-verified live there the same way, plus a clean browser console.</t>
  </si>
  <si>
    <t>RISK-009</t>
  </si>
  <si>
    <t>Password-reset (and all other) emails are undeliverable in production for any real user other than the Resend account's own verified address, because EMAIL_FROM is still Resend's shared sandbox domain (onboarding@resend.dev) and no custom domain has been verified.</t>
  </si>
  <si>
    <t>No workaround exists in production by design - devResetToken (which bypasses email entirely) is deliberately never exposed outside NODE_ENV!=production, since exposing a raw reset token in an API response would itself be a security defect. The only real fix is verifying a custom domain in Resend (a few DNS records, no code change) or, alternatively, an admin can manually reset a user's password via the User Detail screen as a fallback in the meantime.</t>
  </si>
  <si>
    <t>Needs Amaan to provide a domain to verify in Resend, or explicitly accept this gap for the initial delivery. | RESOLVED 2026-09-12: Amaan chose Azure Communication Services (ACS) Email over verifying a custom Resend domain - an Azure-native alternative needing zero DNS setup.</t>
  </si>
  <si>
    <t>Confirmed live 2026-09-10 via a real forgot-password request against production and the resulting Azure Log Analytics entry: "Resend rejected email to employee@atms.app ... You can only send testing emails to your own email address (rasheeed0020@gmail.com)". This is a currently-active broken flow, not a latent/theoretical risk - the highest-priority item in this sheet as a result. Also affects EP-011's reminder emails, though those are lower-severity since notificationsEmailEnabled defaults to false and in-app notifications remain fully functional regardless. | Implemented and live-verified 2026-09-12. Provisioned an ACS Email Communication Service (atms-email) with an Azure Managed Domain (auto-verified, zero DNS records) and a linked Communication Services resource (atms-communication) holding the connection string. Rewrote EmailService (apps/api/src/common/services/email.service.ts) to use @azure/communication-email's EmailClient.beginSend() poller pattern, explicitly checking KnownEmailSendStatus.Succeeded rather than assuming success - same rigor as the Resend code it replaced. Real bug hit and fixed live during the cutover: ACS's senderAddress is a bare email address, not the "Display Name &lt;addr&gt;" form Resend accepted - the first live send failed with RestError: Request body validation error. See property 'senderAddress', fixed by changing EMAIL_FROM to a bare address on both environments. Live end-to-end verification: registered a fresh test account with a real external inbox on both staging and production, triggered a real forgot-password request on each, and confirmed delivery both via the Container App logs (real ACS operationIds, no errors) and by checking the actual inbox - both emails arrived. Azure Managed Domain has no recipient restriction (unlike Resend's sandbox), rate-limited instead at 5/min, 10/hour on the free tier. Old RESEND_API_KEY/resend-api-key secret removed from both Container Apps; resend npm dependency removed from apps/api/package.json. Documented in docs/DEPLOYMENT.md ('Email delivery' section); README's Known Limitations bullet for this removed.</t>
  </si>
  <si>
    <t>RISK-010</t>
  </si>
  <si>
    <t>No automated Playwright browser end-to-end tests exist, despite the SRS explicitly naming Playwright twice (Testing Strategy §14, Technology Stack §15) for the Register→Login→Clock In→Task→Break→Switch→Clock Out critical path.</t>
  </si>
  <si>
    <t>Critical workflows have been extensively manually verified live against the deployed app throughout this effort (real browser, real data, repeated across every epic), and CI runs real API-level e2e tests against a real Postgres instance - so the underlying behaviour is genuinely proven, just not via the specific automated tool the SRS names. Adding Playwright coverage for the two named critical flows (employee path, admin path) closes this properly.</t>
  </si>
  <si>
    <t>Scope confirmed with Amaan; not yet started.</t>
  </si>
  <si>
    <t>Confirmed 2026-09-10 via direct SRS text search (§14/§15) and repo inspection: apps/web/package.json has no Playwright dependency and no test:e2e script, despite the root package.json's test:e2e delegating to it. | Closed 2026-09-11: added apps/web/e2e/employee-critical-path.spec.ts (the SRS-named flow verbatim) and admin-flow.spec.ts (the SRS administrator workflow), plus a new playwright-e2e CI job (its own Postgres, full build/migrate/seed, starts both servers for real). First CI attempt genuinely failed - not a local-only pass rubber-stamped as done - root cause was NODE_ENV=production at job level making npm ci skip devDependencies (349 packages installed vs the normal ~1155), breaking the shared package build entirely unrelated to Playwright itself. Fixed by scoping NODE_ENV=production to only the two steps that run the built servers. Re-ran in real CI and confirmed from the raw job log: "Running 2 tests using 1 worker" / "2 passed (5.2s)" - both flows genuinely pass against a freshly built stack in CI, not just locally.</t>
  </si>
  <si>
    <t>RISK-011</t>
  </si>
  <si>
    <t>Timezone/daylight-saving-time edge cases are not explicitly tested, despite the SRS Testing Strategy (§14) separately naming "Time-zone and daylight-saving tests" as its own category.</t>
  </si>
  <si>
    <t>All timestamps are stored as Postgres timestamptz and always serialized via toISOString() (UTC) - architecturally this makes DST-boundary bugs structurally unlikely, and AC-012-003-04 already code-verifies UTC storage/serialization correctness. What's missing is a test that specifically exercises a real DST spring-forward/fall-back transition, not the underlying design.</t>
  </si>
  <si>
    <t>Confirmed 2026-09-10: the only related tracked item (AC-012-003-04) covers UTC serialization correctness, not a DST-boundary scenario specifically. | Closed 2026-09-10: added two real tests exercising actual US DST transitions (2026-11-01 fall-back, 2026-03-08 spring-forward) to packages/shared/src/time-math.test.ts, both passing.</t>
  </si>
  <si>
    <t>RISK-012</t>
  </si>
  <si>
    <t>No separate Staging environment exists, despite the SRS (§15 Deployment and Operations) explicitly requiring "Environment separation: Development, Test/QA, Staging and Production."</t>
  </si>
  <si>
    <t>Currently: local Development, CI's ephemeral test database (Test/QA-equivalent), and one single Azure environment that serves as both Staging and Production at once - the same environment this whole sign-off effort tested live against. A real Staging tier would need its own Container Apps environment/database, doubling Azure cost for this delivery.</t>
  </si>
  <si>
    <t>Needs Amaan's call on whether a 4th environment is warranted for this delivery's scale. | RESOLVED 2026-09-11: Amaan chose a full mirror of production (same specs, not scaled-down) for Staging, with genuine resource separation elsewhere once a hard platform limit was hit.</t>
  </si>
  <si>
    <t>Confirmed 2026-09-10 via direct SRS text search (§15) and cross-check against actual Azure resources (atms-rg contains exactly one Container Apps environment). | Implemented and live-verified 2026-09-11. Provisioned via new infra/staging.bicep + .github/workflows/deploy-staging.yml (workflow_dispatch only, separate trigger from production's deploy.yml). Staging has its own ACR, its own Postgres Flexible Server (Standard_B2s, 7-day backups), its own least-privilege atms_app DB role, its own JWT secrets, and its own generated (non-default) seed credentials. Both Container Apps run at production specs (minReplicas:1, same CPU/memory). Real platform constraint discovered live: this Azure subscription allows exactly one Container Apps managed environment total - confirmed via two failed deployment attempts (MaxNumberOfRegionalEnvironmentsInSubExceeded in centralus, then MaxNumberOfGlobalEnvironmentsInSubExceeded in eastus). Resolved by having staging's 2 Container Apps join the EXISTING production managed environment via a Bicep 'existing' cross-resource-group reference, while keeping registry, database, secrets, and images fully independent - a bad staging deploy cannot touch production data or containers. Live end-to-end verification: logged in via real browser as the staging seed admin, ran a real clock-in/clock-out through the browser session (200/200), and confirmed the resulting row appeared correctly on the staging Reports page; admin Audit Log page also confirmed rendering correctly (empty, as expected - clock actions aren't audited events). Documented in docs/DEPLOYMENT.md ('Staging environment' section) and README.md ('Live demo' section).</t>
  </si>
  <si>
    <t>RISK-013</t>
  </si>
  <si>
    <t>The generated OpenAPI/Swagger spec is never validated in CI, despite the SRS (§12 API Requirements) explicitly requiring it be "generated from backend source annotations/decorators and validated in CI."</t>
  </si>
  <si>
    <t>The spec itself is real and live (confirmed 2026-09-10: GET /api/docs-json returns 200 with 47 documented paths against the live API) - generation works. Validation (e.g. a CI step that builds the spec and lints/diffs it) simply doesn't exist yet; a missing or broken annotation could currently ship without CI ever catching it.</t>
  </si>
  <si>
    <t>Confirmed 2026-09-10: grepped .github/workflows/ci.yml for any openapi/swagger reference - none found. | Closed 2026-09-10: added apps/api/test/openapi.e2e-spec.ts, verified passing in real CI (not just locally) against a live Postgres instance - PASS test/openapi.e2e-spec.ts, 31/31 tests total in that run.</t>
  </si>
  <si>
    <t>RISK-014</t>
  </si>
  <si>
    <t>The API connects to production Postgres using the database server's own admin login, not a scoped least-privilege application role, despite the SRS (§10 Security Requirements) explicitly requiring "least-privilege database credentials."</t>
  </si>
  <si>
    <t>Managed secret storage is correctly in place (Container App secrets, not committed anywhere). The missing half is a dedicated, restricted DB role for the application itself - no CREATE ROLE/GRANT statements exist anywhere in the migrations or infra/main.bicep. If the API were ever compromised (e.g. via a future SQL-handling bug), it currently has full database-server admin rights, not just rights scoped to its own schema.</t>
  </si>
  <si>
    <t>Needs a migration/infra change: create a scoped Postgres role, grant it only the app's own schema, switch DATABASE_URL to it.</t>
  </si>
  <si>
    <t>Confirmed 2026-09-10: no role-creation or GRANT statements found anywhere in apps/api/prisma/migrations or infra/main.bicep; the app almost certainly runs as the server's administratorLogin (atmsadmin) for all database access. | Closed 2026-09-11: created a new Postgres role atms_app (rolsuper=false, rolcreaterole=false, rolcreatedb=false, rolcanlogin=true) with only SELECT/INSERT/UPDATE/DELETE on the public schema's tables and USAGE/SELECT on its sequences (52 grant rows total, matching 13 tables x 4 DML privileges) - no DDL, no role/db management, no access to any other database. Switched the API Container App's database-url secret to connect as this role instead of the server admin login, restarted the revision, and verified live: GET /ready (real DB connectivity check) returns 200, and a full login + clock-in + clock-out cycle against production succeeds end-to-end on the new role. The admin login (atmsadmin) is now used only for migrations, not runtime traffic - if the API were ever compromised it would have read/write access to its own data only, not database-server admin rights. Amaan added the temporary firewall rule via the Azure Portal himself; both the admin password (reset as part of this change, since it could not be retrieved) and the new role's password were rotated and never persisted anywhere outside the Container App secret.</t>
  </si>
  <si>
    <t>RISK-015</t>
  </si>
  <si>
    <t>No distinct read-only "Auditor" role exists, despite the SRS naming it as a full stakeholder persona (§3: "Read authorised attendance/task/audit reports without editing operational records") and giving it a dedicated Must-Have/MVP user story (US-009-005, Persona: Auditor).</t>
  </si>
  <si>
    <t>UserRole currently defines only EMPLOYEE and ADMINISTRATOR (packages/shared/src/enums.ts) - no read-only tier. The 4 specific ACs under US-009-005 (audit captures actor/action/timestamp, employees can't edit it, filterable, secrets never logged) are all genuinely satisfied via admin-gated access, so no AC actually fails - this is a role-granularity gap, not a broken feature. Anyone needing to view reports/audit without write access currently has to be given full Administrator rights.</t>
  </si>
  <si>
    <t>Needs Amaan's call on whether a 3rd role is worth adding for this delivery, given the underlying ACs already pass.</t>
  </si>
  <si>
    <t>Confirmed 2026-09-10 via direct SRS text search (§3 Stakeholders, US-009-005) and the actual UserRole enum in code - only 2 values exist. | Closed 2026-09-11: added UserRole.AUDITOR (migration 20260911050000_add_auditor_role) and a new AuditorScopeGuard, default-denying AUDITOR on every route except ones explicitly marked @AuditorAllowed() (reports, audit log, live attendance, user list for the reports filter, own profile). Proved both halves live in a new auditor-role.e2e-spec.ts (14 tests): the allowed surfaces genuinely work, every write endpoint genuinely 403s. Also fixed two real UX gaps found by actually logging in as an Auditor through the browser, not assumed: login/root unconditionally redirected everyone to /my-day (a dead end for a role with no attendance of its own) - now routes Auditor to /admin/reports; /admin/users showed fully-interactive edit controls that would 403 if used - now shows read-only values for non-Administrators. Confirmed in real CI (run #115): 45/45 API e2e tests pass together (including a genuine cross-file Jest test-isolation race this work surfaced and fixed via maxWorkers:1, unrelated to Auditor itself but a real latent bug), 2/2 Playwright tests pass, docker-build succeeds. Not yet deployed to production - the enum migration needs applying to the live database before this is usable there. | Deployed to production 2026-09-11: migration applied live, deploy workflow run (#34) succeeded, and re-verified end-to-end against the real deployed app with a real disposable test account - AUDITOR role selectable in the real admin Create User form, login correctly routes straight to /admin/reports, nav shows exactly Live Attendance/Reports/Audit Log/Profile, and direct API calls confirm POST /attendance/clock-in -&gt; 403 while GET /audit and GET /reports/attendance -&gt; 200. Test account deactivated after verification.</t>
  </si>
  <si>
    <t>RISK-016</t>
  </si>
  <si>
    <t>Definition of Ready (SRS §17.1: "Dependencies resolved or explicitly tracked") is not met at the tracker level - the User Stories sheet has a dedicated Dependencies column that is blank for all 75 stories, not just some.</t>
  </si>
  <si>
    <t>In practice, stories within an epic were largely built and tested in order without hard cross-epic blocking (e.g. EP-011's notifications genuinely depended on EP-005/EP-009 existing first, and were built after them) - so there's no evidence of an actual unmanaged dependency causing a real problem. The gap is specifically that this was never written down anywhere, which is what the DoR criterion asks for ("resolved OR explicitly tracked" - blank satisfies neither).</t>
  </si>
  <si>
    <t>Would need someone to go through all 75 stories and record real cross-story dependencies (e.g. US-011-001 depends on EP-005's task-assignment flow existing) - straightforward but not yet done.</t>
  </si>
  <si>
    <t>Confirmed 2026-09-11: 75 of 75 User Stories rows have a blank Dependencies column (checked directly against the live tracker file, not assumed). | RESOLVED 2026-09-11: filled the Dependencies column for all 75 User Stories with real functional/workflow dependencies derived directly from the SRS's own described sequences - e.g. US-003-001 (Clock in) depends on US-001-003 (Login) + US-002-005 (must be Active); US-006-001 (Start task timer) depends on US-003-001 (must be clocked in) + US-005-003 (task must be assigned/eligible); US-009-005 (Audit log) depends on every auditable action across EP-002/EP-009. Cross-epic dependencies (the ones actually worth surfacing for planning) were deliberately prioritised over restating same-epic ordering. 9 genuinely foundational/infrastructure stories (US-001-001, US-012-004/005/006, etc.) are correctly marked 'None'. Verified the resulting graph programmatically: no cycles, no dangling references to a non-existent Story ID, all 75 rows non-blank.</t>
  </si>
  <si>
    <t>RISK-017</t>
  </si>
  <si>
    <t>Definition of Done (SRS §17.2: "No unresolved Critical/High security defect") is not strictly true right now, given the 4 Critical + 30 High Dependabot findings tracked under RISK-008 (the unpatched Next.js CVEs and their related dependency chain).</t>
  </si>
  <si>
    <t>Real-world exposure was already assessed as low under RISK-008 (the vulnerable Next.js feature isn't used anywhere in this app's own code, and the Windows-specific CVE doesn't apply to this Linux container deployment) and the fix (a Next.js 14-&gt;15 migration) is deliberately deferred rather than rushed into an already-verified live app. This risk exists specifically to make that DoD conflict visible on its own, rather than leaving it as a sentence buried inside a different risk's evidence text - every epic in this tracker is marked Done, and under a literal reading of the SRS's own exit criteria, none of them strictly qualify while this remains open.</t>
  </si>
  <si>
    <t>Resolves automatically once RISK-008 is closed (the Next.js migration, or another fix for the underlying CVEs) - no separate action needed beyond that.</t>
  </si>
  <si>
    <t>Confirmed 2026-09-11: GitHub Dependabot currently reports 4 critical, 30 high, 38 moderate, 9 low open findings on the default branch (checked live, not assumed). Directly cross-referenced against the SRS's own SS17.2 wording, which was previously only noted as a caveat inside RISK-008 rather than tracked as its own item. | RESOLVED 2026-09-11: closes automatically now that RISK-008 is closed - next no longer appears in npm audit at all post-upgrade, removing the specific finding this risk was tracking against the SRS's DoD wording.</t>
  </si>
  <si>
    <t>Goal</t>
  </si>
  <si>
    <t>Epic Scope</t>
  </si>
  <si>
    <t>Entry Gate</t>
  </si>
  <si>
    <t>Exit Gate</t>
  </si>
  <si>
    <t>Deliver usable production baseline</t>
  </si>
  <si>
    <t>EP-001 to EP-010 and EP-012</t>
  </si>
  <si>
    <t>SRS approved; schema/UX/security baseline ready</t>
  </si>
  <si>
    <t>MVP stories accepted; security, concurrency, backup and deployment gates passed</t>
  </si>
  <si>
    <t>Add reminders and production-led refinements</t>
  </si>
  <si>
    <t>EP-011 + approved carry-over improvements</t>
  </si>
  <si>
    <t>MVP stable with production telemetry</t>
  </si>
  <si>
    <t>R1 AC passed and no blocking regression</t>
  </si>
  <si>
    <t>Evidence-driven expansion only</t>
  </si>
  <si>
    <t>Native mobile / SSO / richer live updates / external integrations if justified</t>
  </si>
  <si>
    <t>Business case and production evidence</t>
  </si>
  <si>
    <t>Feature-specific readiness criteria</t>
  </si>
  <si>
    <t>Planned</t>
  </si>
  <si>
    <t>Attendance &amp; Task Management - Delivery Dashboard</t>
  </si>
  <si>
    <t>Baseline Metric</t>
  </si>
  <si>
    <t>Value</t>
  </si>
  <si>
    <t>Count</t>
  </si>
  <si>
    <t>Stories</t>
  </si>
  <si>
    <t>Epics</t>
  </si>
  <si>
    <t>User Stories</t>
  </si>
  <si>
    <t>Acceptance Criteria</t>
  </si>
  <si>
    <t>NFRs</t>
  </si>
  <si>
    <t>Business Rules</t>
  </si>
  <si>
    <t>Screens</t>
  </si>
  <si>
    <t>Quality / Delivery KPI</t>
  </si>
  <si>
    <t>Stories Done %</t>
  </si>
  <si>
    <t>AC Pass %</t>
  </si>
  <si>
    <t>Blocked Stories</t>
  </si>
  <si>
    <t>Traceability Coverage</t>
  </si>
  <si>
    <t>Open Risks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</si>
</sst>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name val="Carlito"/>
    </font>
    <font>
      <b/>
      <sz val="11"/>
      <color rgb="FFFFFFFF"/>
      <name val="Carlito"/>
    </font>
    <font>
      <b/>
      <sz val="16"/>
      <color rgb="FFFFFFFF"/>
      <name val="Carlito"/>
    </font>
  </fonts>
  <fills count="4">
    <fill>
      <patternFill patternType="none"/>
    </fill>
    <fill>
      <patternFill patternType="gray125"/>
    </fill>
    <fill>
      <patternFill patternType="solid">
        <fgColor rgb="FF17365D"/>
      </patternFill>
    </fill>
    <fill>
      <patternFill patternType="solid">
        <fgColor rgb="FF1F4E79"/>
      </patternFill>
    </fill>
  </fills>
  <borders count="2">
    <border>
      <left/>
      <right/>
      <top/>
      <bottom/>
      <diagonal/>
    </border>
    <border>
      <left/>
      <right/>
      <top/>
      <bottom/>
      <diagonal/>
    </border>
  </borders>
  <cellStyleXfs count="1">
    <xf numFmtId="0" fontId="0" fillId="0" borderId="1"/>
  </cellStyleXfs>
  <cellXfs count="9">
    <xf numFmtId="0" fontId="0" fillId="0" borderId="0" xfId="0" applyBorder="1"/>
    <xf numFmtId="0" fontId="1" fillId="2" borderId="0" xfId="0" applyFont="1" applyFill="1" applyBorder="1" applyAlignment="1">
      <alignment horizontal="center"/>
    </xf>
    <xf numFmtId="0" fontId="1" fillId="2" borderId="0" xfId="0" applyFont="1" applyFill="1" applyBorder="1" applyAlignment="1">
      <alignment horizontal="center" vertical="center"/>
    </xf>
    <xf numFmtId="0" fontId="0" fillId="0" borderId="0" xfId="0" applyBorder="1" applyAlignment="1">
      <alignment wrapText="1"/>
    </xf>
    <xf numFmtId="0" fontId="0" fillId="0" borderId="0" xfId="0" applyBorder="1" applyAlignment="1">
      <alignment vertical="top" wrapText="1"/>
    </xf>
    <xf numFmtId="9" fontId="0" fillId="0" borderId="0" xfId="0" applyNumberFormat="1" applyBorder="1" applyAlignment="1">
      <alignment vertical="top" wrapText="1"/>
    </xf>
    <xf numFmtId="164" fontId="0" fillId="0" borderId="0" xfId="0" applyNumberFormat="1" applyBorder="1" applyAlignment="1">
      <alignment vertical="top" wrapText="1"/>
    </xf>
    <xf numFmtId="0" fontId="2" fillId="3" borderId="1" xfId="0" applyFont="1" applyFill="1" applyAlignment="1">
      <alignment vertical="center"/>
    </xf>
    <xf numFmtId="0" fontId="0" fillId="0" borderId="0" xfId="0" applyBorder="1"/>
  </cellXfs>
  <cellStyles count="1">
    <cellStyle name="Normal" xfId="0" builtinId="0"/>
  </cellStyles>
  <dxfs count="21">
    <dxf>
      <fill>
        <patternFill patternType="solid">
          <bgColor rgb="FFF4CCCC"/>
        </patternFill>
      </fill>
    </dxf>
    <dxf>
      <fill>
        <patternFill patternType="solid">
          <bgColor rgb="FFD9EAD3"/>
        </patternFill>
      </fill>
    </dxf>
    <dxf>
      <fill>
        <patternFill patternType="solid">
          <bgColor rgb="FFF4CCCC"/>
        </patternFill>
      </fill>
    </dxf>
    <dxf>
      <fill>
        <patternFill patternType="solid">
          <bgColor rgb="FFD9EAD3"/>
        </patternFill>
      </fill>
    </dxf>
    <dxf>
      <fill>
        <patternFill patternType="solid">
          <bgColor rgb="FFFFF2CC"/>
        </patternFill>
      </fill>
    </dxf>
    <dxf>
      <fill>
        <patternFill patternType="solid">
          <bgColor rgb="FFF4CCCC"/>
        </patternFill>
      </fill>
    </dxf>
    <dxf>
      <fill>
        <patternFill patternType="solid">
          <bgColor rgb="FFD9EAD3"/>
        </patternFill>
      </fill>
    </dxf>
    <dxf>
      <fill>
        <patternFill patternType="solid">
          <bgColor rgb="FFF4CCCC"/>
        </patternFill>
      </fill>
    </dxf>
    <dxf>
      <fill>
        <patternFill patternType="solid">
          <bgColor rgb="FFD9EAD3"/>
        </patternFill>
      </fill>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User Story Status</a:t>
            </a:r>
          </a:p>
        </c:rich>
      </c:tx>
      <c:overlay val="1"/>
    </c:title>
    <c:autoTitleDeleted val="0"/>
    <c:plotArea>
      <c:layout/>
      <c:barChart>
        <c:barDir val="col"/>
        <c:grouping val="clustered"/>
        <c:varyColors val="0"/>
        <c:ser>
          <c:idx val="0"/>
          <c:order val="0"/>
          <c:tx>
            <c:v>Count</c:v>
          </c:tx>
          <c:spPr>
            <a:ln>
              <a:prstDash val="solid"/>
            </a:ln>
          </c:spPr>
          <c:invertIfNegative val="1"/>
          <c:cat>
            <c:strRef>
              <c:f>Dashboard!$D$4:$D$9</c:f>
              <c:strCache>
                <c:ptCount val="6"/>
                <c:pt idx="0">
                  <c:v>Not Started</c:v>
                </c:pt>
                <c:pt idx="1">
                  <c:v>In Progress</c:v>
                </c:pt>
                <c:pt idx="2">
                  <c:v>In Review</c:v>
                </c:pt>
                <c:pt idx="3">
                  <c:v>Blocked</c:v>
                </c:pt>
                <c:pt idx="4">
                  <c:v>Done</c:v>
                </c:pt>
                <c:pt idx="5">
                  <c:v>Deferred</c:v>
                </c:pt>
              </c:strCache>
            </c:strRef>
          </c:cat>
          <c:val>
            <c:numRef>
              <c:f>Dashboard!$E$4:$E$9</c:f>
              <c:numCache>
                <c:formatCode>General</c:formatCode>
                <c:ptCount val="6"/>
                <c:pt idx="0">
                  <c:v>0</c:v>
                </c:pt>
                <c:pt idx="1">
                  <c:v>0</c:v>
                </c:pt>
                <c:pt idx="2">
                  <c:v>0</c:v>
                </c:pt>
                <c:pt idx="3">
                  <c:v>0</c:v>
                </c:pt>
                <c:pt idx="4">
                  <c:v>75</c:v>
                </c:pt>
                <c:pt idx="5">
                  <c:v>0</c:v>
                </c:pt>
              </c:numCache>
            </c:numRef>
          </c:val>
          <c:extLst>
            <c:ext xmlns:c16="http://schemas.microsoft.com/office/drawing/2014/chart" uri="{C3380CC4-5D6E-409C-BE32-E72D297353CC}">
              <c16:uniqueId val="{00000000-6E6B-4186-A634-5FCB441265C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Stories by Release</a:t>
            </a:r>
          </a:p>
        </c:rich>
      </c:tx>
      <c:overlay val="1"/>
    </c:title>
    <c:autoTitleDeleted val="0"/>
    <c:plotArea>
      <c:layout/>
      <c:barChart>
        <c:barDir val="col"/>
        <c:grouping val="clustered"/>
        <c:varyColors val="0"/>
        <c:ser>
          <c:idx val="0"/>
          <c:order val="0"/>
          <c:tx>
            <c:v>Stories</c:v>
          </c:tx>
          <c:spPr>
            <a:ln>
              <a:prstDash val="solid"/>
            </a:ln>
          </c:spPr>
          <c:invertIfNegative val="1"/>
          <c:cat>
            <c:strRef>
              <c:f>Dashboard!$G$4:$G$6</c:f>
              <c:strCache>
                <c:ptCount val="3"/>
                <c:pt idx="0">
                  <c:v>MVP</c:v>
                </c:pt>
                <c:pt idx="1">
                  <c:v>R1</c:v>
                </c:pt>
                <c:pt idx="2">
                  <c:v>Later</c:v>
                </c:pt>
              </c:strCache>
            </c:strRef>
          </c:cat>
          <c:val>
            <c:numRef>
              <c:f>Dashboard!$H$4:$H$6</c:f>
              <c:numCache>
                <c:formatCode>General</c:formatCode>
                <c:ptCount val="3"/>
                <c:pt idx="0">
                  <c:v>71</c:v>
                </c:pt>
                <c:pt idx="1">
                  <c:v>4</c:v>
                </c:pt>
                <c:pt idx="2">
                  <c:v>0</c:v>
                </c:pt>
              </c:numCache>
            </c:numRef>
          </c:val>
          <c:extLst>
            <c:ext xmlns:c16="http://schemas.microsoft.com/office/drawing/2014/chart" uri="{C3380CC4-5D6E-409C-BE32-E72D297353CC}">
              <c16:uniqueId val="{00000000-C900-4288-8DAD-960D7247CBD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0"/>
        <c:majorTickMark val="none"/>
        <c:minorTickMark val="none"/>
        <c:tickLblPos val="nextTo"/>
        <c:crossAx val="48650112"/>
        <c:crosses val="autoZero"/>
        <c:crossBetween val="between"/>
      </c:valAx>
    </c:plotArea>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8</xdr:col>
      <xdr:colOff>0</xdr:colOff>
      <xdr:row>26</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14</xdr:col>
      <xdr:colOff>0</xdr:colOff>
      <xdr:row>16</xdr:row>
      <xdr:rowOff>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picsTable" displayName="EpicsTable" ref="A1:J13" totalsRowShown="0">
  <tableColumns count="10">
    <tableColumn id="1" xr3:uid="{00000000-0010-0000-0000-000001000000}" name="Epic ID"/>
    <tableColumn id="2" xr3:uid="{00000000-0010-0000-0000-000002000000}" name="Epic Name"/>
    <tableColumn id="3" xr3:uid="{00000000-0010-0000-0000-000003000000}" name="Description"/>
    <tableColumn id="4" xr3:uid="{00000000-0010-0000-0000-000004000000}" name="Priority"/>
    <tableColumn id="5" xr3:uid="{00000000-0010-0000-0000-000005000000}" name="Release"/>
    <tableColumn id="6" xr3:uid="{00000000-0010-0000-0000-000006000000}" name="Owner"/>
    <tableColumn id="7" xr3:uid="{00000000-0010-0000-0000-000007000000}" name="Status"/>
    <tableColumn id="8" xr3:uid="{00000000-0010-0000-0000-000008000000}" name="Target Sprint"/>
    <tableColumn id="9" xr3:uid="{00000000-0010-0000-0000-000009000000}" name="% Complete"/>
    <tableColumn id="10" xr3:uid="{00000000-0010-0000-0000-00000A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serStoriesTable" displayName="UserStoriesTable" ref="A1:O76" totalsRowShown="0">
  <tableColumns count="15">
    <tableColumn id="1" xr3:uid="{00000000-0010-0000-0100-000001000000}" name="Story ID"/>
    <tableColumn id="2" xr3:uid="{00000000-0010-0000-0100-000002000000}" name="Epic ID"/>
    <tableColumn id="3" xr3:uid="{00000000-0010-0000-0100-000003000000}" name="Title"/>
    <tableColumn id="4" xr3:uid="{00000000-0010-0000-0100-000004000000}" name="Persona"/>
    <tableColumn id="5" xr3:uid="{00000000-0010-0000-0100-000005000000}" name="User Story"/>
    <tableColumn id="6" xr3:uid="{00000000-0010-0000-0100-000006000000}" name="AC Count"/>
    <tableColumn id="7" xr3:uid="{00000000-0010-0000-0100-000007000000}" name="Dependencies"/>
    <tableColumn id="8" xr3:uid="{00000000-0010-0000-0100-000008000000}" name="Owner"/>
    <tableColumn id="9" xr3:uid="{00000000-0010-0000-0100-000009000000}" name="Priority"/>
    <tableColumn id="10" xr3:uid="{00000000-0010-0000-0100-00000A000000}" name="Release"/>
    <tableColumn id="11" xr3:uid="{00000000-0010-0000-0100-00000B000000}" name="Sprint"/>
    <tableColumn id="12" xr3:uid="{00000000-0010-0000-0100-00000C000000}" name="Status"/>
    <tableColumn id="13" xr3:uid="{00000000-0010-0000-0100-00000D000000}" name="Estimate Points"/>
    <tableColumn id="14" xr3:uid="{00000000-0010-0000-0100-00000E000000}" name="Dev Notes"/>
    <tableColumn id="15" xr3:uid="{00000000-0010-0000-0100-00000F000000}" name="QA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ceptanceCriteriaTable" displayName="AcceptanceCriteriaTable" ref="A1:K301" totalsRowShown="0" dataDxfId="20">
  <tableColumns count="11">
    <tableColumn id="1" xr3:uid="{00000000-0010-0000-0200-000001000000}" name="AC ID" dataDxfId="19"/>
    <tableColumn id="2" xr3:uid="{00000000-0010-0000-0200-000002000000}" name="Story ID" dataDxfId="18"/>
    <tableColumn id="3" xr3:uid="{00000000-0010-0000-0200-000003000000}" name="Epic ID" dataDxfId="17"/>
    <tableColumn id="4" xr3:uid="{00000000-0010-0000-0200-000004000000}" name="Acceptance Criterion" dataDxfId="16"/>
    <tableColumn id="5" xr3:uid="{00000000-0010-0000-0200-000005000000}" name="Test Case ID" dataDxfId="15"/>
    <tableColumn id="6" xr3:uid="{00000000-0010-0000-0200-000006000000}" name="Test Status" dataDxfId="14"/>
    <tableColumn id="7" xr3:uid="{00000000-0010-0000-0200-000007000000}" name="Evidence / Link" dataDxfId="13"/>
    <tableColumn id="8" xr3:uid="{00000000-0010-0000-0200-000008000000}" name="Defect ID" dataDxfId="12"/>
    <tableColumn id="9" xr3:uid="{00000000-0010-0000-0200-000009000000}" name="Tester" dataDxfId="11"/>
    <tableColumn id="10" xr3:uid="{00000000-0010-0000-0200-00000A000000}" name="Test Cycle" dataDxfId="10"/>
    <tableColumn id="11" xr3:uid="{00000000-0010-0000-0200-00000B000000}" name="Comments"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chnologyStackTable" displayName="TechnologyStackTable" ref="A1:C19" totalsRowShown="0">
  <tableColumns count="3">
    <tableColumn id="1" xr3:uid="{00000000-0010-0000-0300-000001000000}" name="Layer"/>
    <tableColumn id="2" xr3:uid="{00000000-0010-0000-0300-000002000000}" name="Recommended Technology"/>
    <tableColumn id="3" xr3:uid="{00000000-0010-0000-0300-000003000000}" name="Reason / Implementation Guida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creensTable" displayName="ScreensTable" ref="A1:C21" totalsRowShown="0">
  <tableColumns count="3">
    <tableColumn id="1" xr3:uid="{00000000-0010-0000-0400-000001000000}" name="Screen ID"/>
    <tableColumn id="2" xr3:uid="{00000000-0010-0000-0400-000002000000}" name="Screen"/>
    <tableColumn id="3" xr3:uid="{00000000-0010-0000-0400-000003000000}" name="Delivery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raceabilityTable" displayName="TraceabilityTable" ref="A1:J76" totalsRowShown="0">
  <tableColumns count="10">
    <tableColumn id="1" xr3:uid="{00000000-0010-0000-0500-000001000000}" name="Epic ID"/>
    <tableColumn id="2" xr3:uid="{00000000-0010-0000-0500-000002000000}" name="Story ID"/>
    <tableColumn id="3" xr3:uid="{00000000-0010-0000-0500-000003000000}" name="SRS AC Count"/>
    <tableColumn id="4" xr3:uid="{00000000-0010-0000-0500-000004000000}" name="Tracker AC Count"/>
    <tableColumn id="5" xr3:uid="{00000000-0010-0000-0500-000005000000}" name="Story Status"/>
    <tableColumn id="6" xr3:uid="{00000000-0010-0000-0500-000006000000}" name="AC Tested"/>
    <tableColumn id="7" xr3:uid="{00000000-0010-0000-0500-000007000000}" name="AC Passed"/>
    <tableColumn id="8" xr3:uid="{00000000-0010-0000-0500-000008000000}" name="AC Failed"/>
    <tableColumn id="9" xr3:uid="{00000000-0010-0000-0500-000009000000}" name="Traceability"/>
    <tableColumn id="10" xr3:uid="{00000000-0010-0000-0500-00000A000000}" name="QA Completion %"/>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isksTable" displayName="RisksTable" ref="A1:I7" totalsRowShown="0">
  <tableColumns count="9">
    <tableColumn id="1" xr3:uid="{00000000-0010-0000-0600-000001000000}" name="Risk ID"/>
    <tableColumn id="2" xr3:uid="{00000000-0010-0000-0600-000002000000}" name="Risk"/>
    <tableColumn id="3" xr3:uid="{00000000-0010-0000-0600-000003000000}" name="Impact"/>
    <tableColumn id="4" xr3:uid="{00000000-0010-0000-0600-000004000000}" name="Likelihood"/>
    <tableColumn id="5" xr3:uid="{00000000-0010-0000-0600-000005000000}" name="Mitigation"/>
    <tableColumn id="6" xr3:uid="{00000000-0010-0000-0600-000006000000}" name="Owner"/>
    <tableColumn id="7" xr3:uid="{00000000-0010-0000-0600-000007000000}" name="Status"/>
    <tableColumn id="8" xr3:uid="{00000000-0010-0000-0600-000008000000}" name="Decision / Dependency"/>
    <tableColumn id="9" xr3:uid="{00000000-0010-0000-0600-000009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heetViews>
  <sheetFormatPr defaultRowHeight="13.8"/>
  <cols>
    <col min="1" max="6" width="18" customWidth="1"/>
  </cols>
  <sheetData>
    <row r="1" spans="1:6" ht="24" customHeight="1">
      <c r="A1" s="2" t="s">
        <v>1022</v>
      </c>
      <c r="B1" s="2" t="s">
        <v>1023</v>
      </c>
      <c r="C1" s="2" t="s">
        <v>1024</v>
      </c>
      <c r="D1" s="2" t="s">
        <v>1025</v>
      </c>
      <c r="E1" s="2" t="s">
        <v>1026</v>
      </c>
      <c r="F1" s="2" t="s">
        <v>9</v>
      </c>
    </row>
    <row r="2" spans="1:6">
      <c r="A2" s="4" t="s">
        <v>1027</v>
      </c>
      <c r="B2" s="4" t="s">
        <v>1028</v>
      </c>
      <c r="C2" s="4" t="s">
        <v>1029</v>
      </c>
      <c r="D2" s="4" t="s">
        <v>1030</v>
      </c>
      <c r="E2" s="4" t="s">
        <v>1031</v>
      </c>
      <c r="F2" s="4" t="s">
        <v>17</v>
      </c>
    </row>
    <row r="3" spans="1:6">
      <c r="A3" s="4" t="s">
        <v>1032</v>
      </c>
      <c r="B3" s="4" t="s">
        <v>1033</v>
      </c>
      <c r="C3" s="4" t="s">
        <v>1034</v>
      </c>
      <c r="D3" s="4" t="s">
        <v>15</v>
      </c>
      <c r="E3" s="4" t="s">
        <v>1035</v>
      </c>
      <c r="F3" s="4" t="s">
        <v>1036</v>
      </c>
    </row>
    <row r="4" spans="1:6">
      <c r="A4" s="4" t="s">
        <v>1037</v>
      </c>
      <c r="B4" s="4" t="s">
        <v>1038</v>
      </c>
      <c r="C4" s="4" t="s">
        <v>1039</v>
      </c>
      <c r="D4" s="4" t="s">
        <v>1040</v>
      </c>
      <c r="E4" s="4" t="s">
        <v>1041</v>
      </c>
      <c r="F4" s="4" t="s">
        <v>1042</v>
      </c>
    </row>
    <row r="5" spans="1:6">
      <c r="A5" s="4" t="s">
        <v>1043</v>
      </c>
      <c r="B5" s="4"/>
      <c r="C5" s="4"/>
      <c r="D5" s="4" t="s">
        <v>1037</v>
      </c>
      <c r="E5" s="4" t="s">
        <v>1044</v>
      </c>
      <c r="F5" s="4"/>
    </row>
    <row r="6" spans="1:6">
      <c r="A6" s="4" t="s">
        <v>1045</v>
      </c>
      <c r="B6" s="4"/>
      <c r="C6" s="4"/>
      <c r="D6" s="4" t="s">
        <v>1046</v>
      </c>
      <c r="E6" s="4"/>
      <c r="F6" s="4"/>
    </row>
    <row r="7" spans="1:6">
      <c r="A7" s="4" t="s">
        <v>1047</v>
      </c>
      <c r="B7" s="4"/>
      <c r="C7" s="4"/>
      <c r="D7" s="4"/>
      <c r="E7" s="4"/>
      <c r="F7" s="4"/>
    </row>
    <row r="8" spans="1:6">
      <c r="A8" s="4" t="s">
        <v>1048</v>
      </c>
      <c r="B8" s="4"/>
      <c r="C8" s="4"/>
      <c r="D8" s="4"/>
      <c r="E8" s="4"/>
      <c r="F8" s="4"/>
    </row>
    <row r="9" spans="1:6">
      <c r="A9" s="4"/>
      <c r="B9" s="4"/>
      <c r="C9" s="4"/>
      <c r="D9" s="4"/>
      <c r="E9" s="4"/>
      <c r="F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sheetViews>
  <sheetFormatPr defaultRowHeight="13.8"/>
  <cols>
    <col min="1" max="1" width="12" customWidth="1"/>
    <col min="2" max="2" width="30" customWidth="1"/>
    <col min="3" max="3" width="50" customWidth="1"/>
    <col min="4" max="4" width="14" customWidth="1"/>
    <col min="5" max="5" width="12" customWidth="1"/>
    <col min="6" max="8" width="16" customWidth="1"/>
    <col min="9" max="9" width="12" customWidth="1"/>
    <col min="10" max="10" width="28" customWidth="1"/>
  </cols>
  <sheetData>
    <row r="1" spans="1:10" ht="24" customHeight="1">
      <c r="A1" s="2" t="s">
        <v>2</v>
      </c>
      <c r="B1" s="2" t="s">
        <v>1049</v>
      </c>
      <c r="C1" s="2" t="s">
        <v>1050</v>
      </c>
      <c r="D1" s="2" t="s">
        <v>1023</v>
      </c>
      <c r="E1" s="2" t="s">
        <v>1024</v>
      </c>
      <c r="F1" s="2" t="s">
        <v>1051</v>
      </c>
      <c r="G1" s="2" t="s">
        <v>1052</v>
      </c>
      <c r="H1" s="2" t="s">
        <v>1053</v>
      </c>
      <c r="I1" s="2" t="s">
        <v>1054</v>
      </c>
      <c r="J1" s="2" t="s">
        <v>1055</v>
      </c>
    </row>
    <row r="2" spans="1:10" ht="55.2" customHeight="1">
      <c r="A2" s="4" t="s">
        <v>13</v>
      </c>
      <c r="B2" s="4" t="s">
        <v>1056</v>
      </c>
      <c r="C2" s="4" t="s">
        <v>1057</v>
      </c>
      <c r="D2" s="4" t="s">
        <v>1028</v>
      </c>
      <c r="E2" s="4" t="s">
        <v>1029</v>
      </c>
      <c r="F2" s="4" t="s">
        <v>1058</v>
      </c>
      <c r="G2" s="4" t="s">
        <v>1045</v>
      </c>
      <c r="H2" s="4" t="s">
        <v>1059</v>
      </c>
      <c r="I2" s="5">
        <v>100</v>
      </c>
      <c r="J2" s="4" t="s">
        <v>1060</v>
      </c>
    </row>
    <row r="3" spans="1:10" ht="55.2" customHeight="1">
      <c r="A3" s="4" t="s">
        <v>109</v>
      </c>
      <c r="B3" s="4" t="s">
        <v>1061</v>
      </c>
      <c r="C3" s="4" t="s">
        <v>1062</v>
      </c>
      <c r="D3" s="4" t="s">
        <v>1028</v>
      </c>
      <c r="E3" s="4" t="s">
        <v>1029</v>
      </c>
      <c r="F3" s="4" t="s">
        <v>1058</v>
      </c>
      <c r="G3" s="4" t="s">
        <v>1045</v>
      </c>
      <c r="H3" s="4" t="s">
        <v>1059</v>
      </c>
      <c r="I3" s="5">
        <v>100</v>
      </c>
      <c r="J3" s="4" t="s">
        <v>1063</v>
      </c>
    </row>
    <row r="4" spans="1:10" ht="69" customHeight="1">
      <c r="A4" s="4" t="s">
        <v>191</v>
      </c>
      <c r="B4" s="4" t="s">
        <v>1064</v>
      </c>
      <c r="C4" s="4" t="s">
        <v>1065</v>
      </c>
      <c r="D4" s="4" t="s">
        <v>1028</v>
      </c>
      <c r="E4" s="4" t="s">
        <v>1029</v>
      </c>
      <c r="F4" s="4" t="s">
        <v>1058</v>
      </c>
      <c r="G4" s="4" t="s">
        <v>1045</v>
      </c>
      <c r="H4" s="4" t="s">
        <v>1059</v>
      </c>
      <c r="I4" s="5">
        <v>100</v>
      </c>
      <c r="J4" s="4" t="s">
        <v>1066</v>
      </c>
    </row>
    <row r="5" spans="1:10" ht="69" customHeight="1">
      <c r="A5" s="4" t="s">
        <v>299</v>
      </c>
      <c r="B5" s="4" t="s">
        <v>1067</v>
      </c>
      <c r="C5" s="4" t="s">
        <v>1068</v>
      </c>
      <c r="D5" s="4" t="s">
        <v>1028</v>
      </c>
      <c r="E5" s="4" t="s">
        <v>1029</v>
      </c>
      <c r="F5" s="4" t="s">
        <v>1058</v>
      </c>
      <c r="G5" s="4" t="s">
        <v>1045</v>
      </c>
      <c r="H5" s="4" t="s">
        <v>1059</v>
      </c>
      <c r="I5" s="5">
        <v>100</v>
      </c>
      <c r="J5" s="4" t="s">
        <v>1069</v>
      </c>
    </row>
    <row r="6" spans="1:10" ht="41.4" customHeight="1">
      <c r="A6" s="4" t="s">
        <v>380</v>
      </c>
      <c r="B6" s="4" t="s">
        <v>1070</v>
      </c>
      <c r="C6" s="4" t="s">
        <v>1071</v>
      </c>
      <c r="D6" s="4" t="s">
        <v>1028</v>
      </c>
      <c r="E6" s="4" t="s">
        <v>1029</v>
      </c>
      <c r="F6" s="4" t="s">
        <v>1058</v>
      </c>
      <c r="G6" s="4" t="s">
        <v>1045</v>
      </c>
      <c r="H6" s="4" t="s">
        <v>1059</v>
      </c>
      <c r="I6" s="5">
        <v>100</v>
      </c>
      <c r="J6" s="4" t="s">
        <v>1072</v>
      </c>
    </row>
    <row r="7" spans="1:10" ht="69" customHeight="1">
      <c r="A7" s="4" t="s">
        <v>488</v>
      </c>
      <c r="B7" s="4" t="s">
        <v>1073</v>
      </c>
      <c r="C7" s="4" t="s">
        <v>1074</v>
      </c>
      <c r="D7" s="4" t="s">
        <v>1028</v>
      </c>
      <c r="E7" s="4" t="s">
        <v>1029</v>
      </c>
      <c r="F7" s="4" t="s">
        <v>1058</v>
      </c>
      <c r="G7" s="4" t="s">
        <v>1045</v>
      </c>
      <c r="H7" s="4" t="s">
        <v>1059</v>
      </c>
      <c r="I7" s="5">
        <v>100</v>
      </c>
      <c r="J7" s="4" t="s">
        <v>1075</v>
      </c>
    </row>
    <row r="8" spans="1:10" ht="82.8" customHeight="1">
      <c r="A8" s="4" t="s">
        <v>619</v>
      </c>
      <c r="B8" s="4" t="s">
        <v>1076</v>
      </c>
      <c r="C8" s="4" t="s">
        <v>1077</v>
      </c>
      <c r="D8" s="4" t="s">
        <v>1028</v>
      </c>
      <c r="E8" s="4" t="s">
        <v>1029</v>
      </c>
      <c r="F8" s="4" t="s">
        <v>1058</v>
      </c>
      <c r="G8" s="4" t="s">
        <v>1045</v>
      </c>
      <c r="H8" s="4" t="s">
        <v>1059</v>
      </c>
      <c r="I8" s="5">
        <v>100</v>
      </c>
      <c r="J8" s="4" t="s">
        <v>1078</v>
      </c>
    </row>
    <row r="9" spans="1:10" ht="110.4" customHeight="1">
      <c r="A9" s="4" t="s">
        <v>685</v>
      </c>
      <c r="B9" s="4" t="s">
        <v>1079</v>
      </c>
      <c r="C9" s="4" t="s">
        <v>1080</v>
      </c>
      <c r="D9" s="4" t="s">
        <v>1028</v>
      </c>
      <c r="E9" s="4" t="s">
        <v>1029</v>
      </c>
      <c r="F9" s="4" t="s">
        <v>1058</v>
      </c>
      <c r="G9" s="4" t="s">
        <v>1045</v>
      </c>
      <c r="H9" s="4" t="s">
        <v>1059</v>
      </c>
      <c r="I9" s="5">
        <v>100</v>
      </c>
      <c r="J9" s="4" t="s">
        <v>1081</v>
      </c>
    </row>
    <row r="10" spans="1:10" ht="69" customHeight="1">
      <c r="A10" s="4" t="s">
        <v>754</v>
      </c>
      <c r="B10" s="4" t="s">
        <v>1082</v>
      </c>
      <c r="C10" s="4" t="s">
        <v>1083</v>
      </c>
      <c r="D10" s="4" t="s">
        <v>1028</v>
      </c>
      <c r="E10" s="4" t="s">
        <v>1029</v>
      </c>
      <c r="F10" s="4" t="s">
        <v>1058</v>
      </c>
      <c r="G10" s="4" t="s">
        <v>1045</v>
      </c>
      <c r="H10" s="4" t="s">
        <v>1059</v>
      </c>
      <c r="I10" s="5">
        <v>100</v>
      </c>
      <c r="J10" s="4" t="s">
        <v>1084</v>
      </c>
    </row>
    <row r="11" spans="1:10" ht="234.6" customHeight="1">
      <c r="A11" s="4" t="s">
        <v>823</v>
      </c>
      <c r="B11" s="4" t="s">
        <v>1085</v>
      </c>
      <c r="C11" s="4" t="s">
        <v>1086</v>
      </c>
      <c r="D11" s="4" t="s">
        <v>1033</v>
      </c>
      <c r="E11" s="4" t="s">
        <v>1029</v>
      </c>
      <c r="F11" s="4" t="s">
        <v>1058</v>
      </c>
      <c r="G11" s="4" t="s">
        <v>1045</v>
      </c>
      <c r="H11" s="4" t="s">
        <v>1059</v>
      </c>
      <c r="I11" s="5">
        <v>100</v>
      </c>
      <c r="J11" s="4" t="s">
        <v>1087</v>
      </c>
    </row>
    <row r="12" spans="1:10" ht="358.8" customHeight="1">
      <c r="A12" s="4" t="s">
        <v>891</v>
      </c>
      <c r="B12" s="4" t="s">
        <v>1088</v>
      </c>
      <c r="C12" s="4" t="s">
        <v>1089</v>
      </c>
      <c r="D12" s="4" t="s">
        <v>1033</v>
      </c>
      <c r="E12" s="4" t="s">
        <v>1034</v>
      </c>
      <c r="F12" s="4" t="s">
        <v>1058</v>
      </c>
      <c r="G12" s="4" t="s">
        <v>1045</v>
      </c>
      <c r="H12" s="4" t="s">
        <v>1059</v>
      </c>
      <c r="I12" s="5">
        <v>100</v>
      </c>
      <c r="J12" s="4" t="s">
        <v>1090</v>
      </c>
    </row>
    <row r="13" spans="1:10" ht="248.4" customHeight="1">
      <c r="A13" s="4" t="s">
        <v>945</v>
      </c>
      <c r="B13" s="4" t="s">
        <v>1091</v>
      </c>
      <c r="C13" s="4" t="s">
        <v>1092</v>
      </c>
      <c r="D13" s="4" t="s">
        <v>1028</v>
      </c>
      <c r="E13" s="4" t="s">
        <v>1029</v>
      </c>
      <c r="F13" s="4" t="s">
        <v>1058</v>
      </c>
      <c r="G13" s="4" t="s">
        <v>1045</v>
      </c>
      <c r="H13" s="4" t="s">
        <v>1059</v>
      </c>
      <c r="I13" s="5">
        <v>100</v>
      </c>
      <c r="J13" s="4" t="s">
        <v>1093</v>
      </c>
    </row>
  </sheetData>
  <conditionalFormatting sqref="G2:G13">
    <cfRule type="expression" dxfId="8" priority="1">
      <formula>G2="Done"</formula>
    </cfRule>
    <cfRule type="expression" dxfId="7" priority="2">
      <formula>G2="Blocked"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6"/>
  <sheetViews>
    <sheetView workbookViewId="0"/>
  </sheetViews>
  <sheetFormatPr defaultRowHeight="13.8"/>
  <cols>
    <col min="1" max="1" width="15" customWidth="1"/>
    <col min="2" max="2" width="12" customWidth="1"/>
    <col min="3" max="3" width="30" customWidth="1"/>
    <col min="4" max="4" width="20" customWidth="1"/>
    <col min="5" max="5" width="62" customWidth="1"/>
    <col min="6" max="6" width="10" customWidth="1"/>
    <col min="7" max="7" width="22" customWidth="1"/>
    <col min="8" max="8" width="16" customWidth="1"/>
    <col min="9" max="9" width="14" customWidth="1"/>
    <col min="10" max="10" width="12" customWidth="1"/>
    <col min="11" max="11" width="14" customWidth="1"/>
    <col min="12" max="12" width="16" customWidth="1"/>
    <col min="13" max="13" width="14" customWidth="1"/>
    <col min="14" max="15" width="28" customWidth="1"/>
  </cols>
  <sheetData>
    <row r="1" spans="1:15" ht="24" customHeight="1">
      <c r="A1" s="2" t="s">
        <v>1</v>
      </c>
      <c r="B1" s="2" t="s">
        <v>2</v>
      </c>
      <c r="C1" s="2" t="s">
        <v>1094</v>
      </c>
      <c r="D1" s="2" t="s">
        <v>1095</v>
      </c>
      <c r="E1" s="2" t="s">
        <v>1096</v>
      </c>
      <c r="F1" s="2" t="s">
        <v>1097</v>
      </c>
      <c r="G1" s="2" t="s">
        <v>1098</v>
      </c>
      <c r="H1" s="2" t="s">
        <v>1051</v>
      </c>
      <c r="I1" s="2" t="s">
        <v>1023</v>
      </c>
      <c r="J1" s="2" t="s">
        <v>1024</v>
      </c>
      <c r="K1" s="2" t="s">
        <v>1099</v>
      </c>
      <c r="L1" s="2" t="s">
        <v>1052</v>
      </c>
      <c r="M1" s="2" t="s">
        <v>1100</v>
      </c>
      <c r="N1" s="2" t="s">
        <v>1101</v>
      </c>
      <c r="O1" s="2" t="s">
        <v>1102</v>
      </c>
    </row>
    <row r="2" spans="1:15" ht="55.2" customHeight="1">
      <c r="A2" s="4" t="s">
        <v>12</v>
      </c>
      <c r="B2" s="4" t="s">
        <v>13</v>
      </c>
      <c r="C2" s="4" t="s">
        <v>1103</v>
      </c>
      <c r="D2" s="4" t="s">
        <v>1104</v>
      </c>
      <c r="E2" s="4" t="s">
        <v>1105</v>
      </c>
      <c r="F2" s="4">
        <v>4</v>
      </c>
      <c r="G2" s="4" t="s">
        <v>1106</v>
      </c>
      <c r="H2" s="4" t="s">
        <v>1058</v>
      </c>
      <c r="I2" s="4" t="s">
        <v>1028</v>
      </c>
      <c r="J2" s="4" t="s">
        <v>1029</v>
      </c>
      <c r="K2" s="4" t="s">
        <v>1059</v>
      </c>
      <c r="L2" s="4" t="s">
        <v>1045</v>
      </c>
      <c r="M2" s="4">
        <v>3</v>
      </c>
      <c r="N2" s="4" t="s">
        <v>1107</v>
      </c>
      <c r="O2" s="4" t="s">
        <v>1108</v>
      </c>
    </row>
    <row r="3" spans="1:15" ht="55.2" customHeight="1">
      <c r="A3" s="4" t="s">
        <v>29</v>
      </c>
      <c r="B3" s="4" t="s">
        <v>13</v>
      </c>
      <c r="C3" s="4" t="s">
        <v>1109</v>
      </c>
      <c r="D3" s="4" t="s">
        <v>1110</v>
      </c>
      <c r="E3" s="4" t="s">
        <v>1111</v>
      </c>
      <c r="F3" s="4">
        <v>4</v>
      </c>
      <c r="G3" s="4" t="s">
        <v>12</v>
      </c>
      <c r="H3" s="4" t="s">
        <v>1058</v>
      </c>
      <c r="I3" s="4" t="s">
        <v>1028</v>
      </c>
      <c r="J3" s="4" t="s">
        <v>1029</v>
      </c>
      <c r="K3" s="4" t="s">
        <v>1059</v>
      </c>
      <c r="L3" s="4" t="s">
        <v>1045</v>
      </c>
      <c r="M3" s="4">
        <v>3</v>
      </c>
      <c r="N3" s="4" t="s">
        <v>1112</v>
      </c>
      <c r="O3" s="4" t="s">
        <v>1108</v>
      </c>
    </row>
    <row r="4" spans="1:15" ht="69" customHeight="1">
      <c r="A4" s="4" t="s">
        <v>42</v>
      </c>
      <c r="B4" s="4" t="s">
        <v>13</v>
      </c>
      <c r="C4" s="4" t="s">
        <v>1113</v>
      </c>
      <c r="D4" s="4" t="s">
        <v>1104</v>
      </c>
      <c r="E4" s="4" t="s">
        <v>1114</v>
      </c>
      <c r="F4" s="4">
        <v>4</v>
      </c>
      <c r="G4" s="4" t="s">
        <v>1115</v>
      </c>
      <c r="H4" s="4" t="s">
        <v>1058</v>
      </c>
      <c r="I4" s="4" t="s">
        <v>1028</v>
      </c>
      <c r="J4" s="4" t="s">
        <v>1029</v>
      </c>
      <c r="K4" s="4" t="s">
        <v>1059</v>
      </c>
      <c r="L4" s="4" t="s">
        <v>1045</v>
      </c>
      <c r="M4" s="4">
        <v>3</v>
      </c>
      <c r="N4" s="4" t="s">
        <v>1116</v>
      </c>
      <c r="O4" s="4" t="s">
        <v>1108</v>
      </c>
    </row>
    <row r="5" spans="1:15" ht="55.2" customHeight="1">
      <c r="A5" s="4" t="s">
        <v>55</v>
      </c>
      <c r="B5" s="4" t="s">
        <v>13</v>
      </c>
      <c r="C5" s="4" t="s">
        <v>1117</v>
      </c>
      <c r="D5" s="4" t="s">
        <v>1104</v>
      </c>
      <c r="E5" s="4" t="s">
        <v>1118</v>
      </c>
      <c r="F5" s="4">
        <v>4</v>
      </c>
      <c r="G5" s="4" t="s">
        <v>42</v>
      </c>
      <c r="H5" s="4" t="s">
        <v>1058</v>
      </c>
      <c r="I5" s="4" t="s">
        <v>1028</v>
      </c>
      <c r="J5" s="4" t="s">
        <v>1029</v>
      </c>
      <c r="K5" s="4" t="s">
        <v>1059</v>
      </c>
      <c r="L5" s="4" t="s">
        <v>1045</v>
      </c>
      <c r="M5" s="4">
        <v>3</v>
      </c>
      <c r="N5" s="4" t="s">
        <v>1119</v>
      </c>
      <c r="O5" s="4" t="s">
        <v>1108</v>
      </c>
    </row>
    <row r="6" spans="1:15" ht="55.2" customHeight="1">
      <c r="A6" s="4" t="s">
        <v>68</v>
      </c>
      <c r="B6" s="4" t="s">
        <v>13</v>
      </c>
      <c r="C6" s="4" t="s">
        <v>1120</v>
      </c>
      <c r="D6" s="4" t="s">
        <v>1104</v>
      </c>
      <c r="E6" s="4" t="s">
        <v>1121</v>
      </c>
      <c r="F6" s="4">
        <v>4</v>
      </c>
      <c r="G6" s="4" t="s">
        <v>12</v>
      </c>
      <c r="H6" s="4" t="s">
        <v>1058</v>
      </c>
      <c r="I6" s="4" t="s">
        <v>1028</v>
      </c>
      <c r="J6" s="4" t="s">
        <v>1029</v>
      </c>
      <c r="K6" s="4" t="s">
        <v>1059</v>
      </c>
      <c r="L6" s="4" t="s">
        <v>1045</v>
      </c>
      <c r="M6" s="4">
        <v>3</v>
      </c>
      <c r="N6" s="4" t="s">
        <v>1107</v>
      </c>
      <c r="O6" s="4" t="s">
        <v>1122</v>
      </c>
    </row>
    <row r="7" spans="1:15" ht="55.2" customHeight="1">
      <c r="A7" s="4" t="s">
        <v>82</v>
      </c>
      <c r="B7" s="4" t="s">
        <v>13</v>
      </c>
      <c r="C7" s="4" t="s">
        <v>1123</v>
      </c>
      <c r="D7" s="4" t="s">
        <v>1104</v>
      </c>
      <c r="E7" s="4" t="s">
        <v>1124</v>
      </c>
      <c r="F7" s="4">
        <v>4</v>
      </c>
      <c r="G7" s="4" t="s">
        <v>68</v>
      </c>
      <c r="H7" s="4" t="s">
        <v>1058</v>
      </c>
      <c r="I7" s="4" t="s">
        <v>1028</v>
      </c>
      <c r="J7" s="4" t="s">
        <v>1029</v>
      </c>
      <c r="K7" s="4" t="s">
        <v>1059</v>
      </c>
      <c r="L7" s="4" t="s">
        <v>1045</v>
      </c>
      <c r="M7" s="4">
        <v>3</v>
      </c>
      <c r="N7" s="4" t="s">
        <v>1107</v>
      </c>
      <c r="O7" s="4" t="s">
        <v>1108</v>
      </c>
    </row>
    <row r="8" spans="1:15" ht="124.2" customHeight="1">
      <c r="A8" s="4" t="s">
        <v>95</v>
      </c>
      <c r="B8" s="4" t="s">
        <v>13</v>
      </c>
      <c r="C8" s="4" t="s">
        <v>1125</v>
      </c>
      <c r="D8" s="4" t="s">
        <v>1126</v>
      </c>
      <c r="E8" s="4" t="s">
        <v>1127</v>
      </c>
      <c r="F8" s="4">
        <v>4</v>
      </c>
      <c r="G8" s="4" t="s">
        <v>42</v>
      </c>
      <c r="H8" s="4" t="s">
        <v>1058</v>
      </c>
      <c r="I8" s="4" t="s">
        <v>1028</v>
      </c>
      <c r="J8" s="4" t="s">
        <v>1029</v>
      </c>
      <c r="K8" s="4" t="s">
        <v>1059</v>
      </c>
      <c r="L8" s="4" t="s">
        <v>1045</v>
      </c>
      <c r="M8" s="4">
        <v>3</v>
      </c>
      <c r="N8" s="4" t="s">
        <v>1128</v>
      </c>
      <c r="O8" s="4" t="s">
        <v>1108</v>
      </c>
    </row>
    <row r="9" spans="1:15" ht="55.2" customHeight="1">
      <c r="A9" s="4" t="s">
        <v>108</v>
      </c>
      <c r="B9" s="4" t="s">
        <v>109</v>
      </c>
      <c r="C9" s="4" t="s">
        <v>1129</v>
      </c>
      <c r="D9" s="4" t="s">
        <v>1110</v>
      </c>
      <c r="E9" s="4" t="s">
        <v>1130</v>
      </c>
      <c r="F9" s="4">
        <v>4</v>
      </c>
      <c r="G9" s="4" t="s">
        <v>12</v>
      </c>
      <c r="H9" s="4" t="s">
        <v>1058</v>
      </c>
      <c r="I9" s="4" t="s">
        <v>1028</v>
      </c>
      <c r="J9" s="4" t="s">
        <v>1029</v>
      </c>
      <c r="K9" s="4" t="s">
        <v>1059</v>
      </c>
      <c r="L9" s="4" t="s">
        <v>1045</v>
      </c>
      <c r="M9" s="4">
        <v>3</v>
      </c>
      <c r="N9" s="4" t="s">
        <v>1107</v>
      </c>
      <c r="O9" s="4" t="s">
        <v>1108</v>
      </c>
    </row>
    <row r="10" spans="1:15" ht="55.2" customHeight="1">
      <c r="A10" s="4" t="s">
        <v>122</v>
      </c>
      <c r="B10" s="4" t="s">
        <v>109</v>
      </c>
      <c r="C10" s="4" t="s">
        <v>1131</v>
      </c>
      <c r="D10" s="4" t="s">
        <v>1110</v>
      </c>
      <c r="E10" s="4" t="s">
        <v>1132</v>
      </c>
      <c r="F10" s="4">
        <v>4</v>
      </c>
      <c r="G10" s="4" t="s">
        <v>108</v>
      </c>
      <c r="H10" s="4" t="s">
        <v>1058</v>
      </c>
      <c r="I10" s="4" t="s">
        <v>1028</v>
      </c>
      <c r="J10" s="4" t="s">
        <v>1029</v>
      </c>
      <c r="K10" s="4" t="s">
        <v>1059</v>
      </c>
      <c r="L10" s="4" t="s">
        <v>1045</v>
      </c>
      <c r="M10" s="4">
        <v>3</v>
      </c>
      <c r="N10" s="4" t="s">
        <v>1107</v>
      </c>
      <c r="O10" s="4" t="s">
        <v>1133</v>
      </c>
    </row>
    <row r="11" spans="1:15" ht="55.2" customHeight="1">
      <c r="A11" s="4" t="s">
        <v>136</v>
      </c>
      <c r="B11" s="4" t="s">
        <v>109</v>
      </c>
      <c r="C11" s="4" t="s">
        <v>1134</v>
      </c>
      <c r="D11" s="4" t="s">
        <v>1104</v>
      </c>
      <c r="E11" s="4" t="s">
        <v>1135</v>
      </c>
      <c r="F11" s="4">
        <v>4</v>
      </c>
      <c r="G11" s="4" t="s">
        <v>42</v>
      </c>
      <c r="H11" s="4" t="s">
        <v>1058</v>
      </c>
      <c r="I11" s="4" t="s">
        <v>1028</v>
      </c>
      <c r="J11" s="4" t="s">
        <v>1029</v>
      </c>
      <c r="K11" s="4" t="s">
        <v>1059</v>
      </c>
      <c r="L11" s="4" t="s">
        <v>1045</v>
      </c>
      <c r="M11" s="4">
        <v>3</v>
      </c>
      <c r="N11" s="4" t="s">
        <v>1107</v>
      </c>
      <c r="O11" s="4" t="s">
        <v>1108</v>
      </c>
    </row>
    <row r="12" spans="1:15" ht="55.2" customHeight="1">
      <c r="A12" s="4" t="s">
        <v>149</v>
      </c>
      <c r="B12" s="4" t="s">
        <v>109</v>
      </c>
      <c r="C12" s="4" t="s">
        <v>1136</v>
      </c>
      <c r="D12" s="4" t="s">
        <v>1110</v>
      </c>
      <c r="E12" s="4" t="s">
        <v>1137</v>
      </c>
      <c r="F12" s="4">
        <v>4</v>
      </c>
      <c r="G12" s="4" t="s">
        <v>108</v>
      </c>
      <c r="H12" s="4" t="s">
        <v>1058</v>
      </c>
      <c r="I12" s="4" t="s">
        <v>1028</v>
      </c>
      <c r="J12" s="4" t="s">
        <v>1029</v>
      </c>
      <c r="K12" s="4" t="s">
        <v>1059</v>
      </c>
      <c r="L12" s="4" t="s">
        <v>1045</v>
      </c>
      <c r="M12" s="4">
        <v>3</v>
      </c>
      <c r="N12" s="4" t="s">
        <v>1107</v>
      </c>
      <c r="O12" s="4" t="s">
        <v>1108</v>
      </c>
    </row>
    <row r="13" spans="1:15" ht="55.2" customHeight="1">
      <c r="A13" s="4" t="s">
        <v>162</v>
      </c>
      <c r="B13" s="4" t="s">
        <v>109</v>
      </c>
      <c r="C13" s="4" t="s">
        <v>1138</v>
      </c>
      <c r="D13" s="4" t="s">
        <v>1110</v>
      </c>
      <c r="E13" s="4" t="s">
        <v>1139</v>
      </c>
      <c r="F13" s="4">
        <v>4</v>
      </c>
      <c r="G13" s="4" t="s">
        <v>108</v>
      </c>
      <c r="H13" s="4" t="s">
        <v>1058</v>
      </c>
      <c r="I13" s="4" t="s">
        <v>1028</v>
      </c>
      <c r="J13" s="4" t="s">
        <v>1029</v>
      </c>
      <c r="K13" s="4" t="s">
        <v>1059</v>
      </c>
      <c r="L13" s="4" t="s">
        <v>1045</v>
      </c>
      <c r="M13" s="4">
        <v>3</v>
      </c>
      <c r="N13" s="4" t="s">
        <v>1107</v>
      </c>
      <c r="O13" s="4" t="s">
        <v>1108</v>
      </c>
    </row>
    <row r="14" spans="1:15" ht="55.2" customHeight="1">
      <c r="A14" s="4" t="s">
        <v>175</v>
      </c>
      <c r="B14" s="4" t="s">
        <v>109</v>
      </c>
      <c r="C14" s="4" t="s">
        <v>1140</v>
      </c>
      <c r="D14" s="4" t="s">
        <v>1110</v>
      </c>
      <c r="E14" s="4" t="s">
        <v>1141</v>
      </c>
      <c r="F14" s="4">
        <v>4</v>
      </c>
      <c r="G14" s="4" t="s">
        <v>108</v>
      </c>
      <c r="H14" s="4" t="s">
        <v>1058</v>
      </c>
      <c r="I14" s="4" t="s">
        <v>1028</v>
      </c>
      <c r="J14" s="4" t="s">
        <v>1029</v>
      </c>
      <c r="K14" s="4" t="s">
        <v>1059</v>
      </c>
      <c r="L14" s="4" t="s">
        <v>1045</v>
      </c>
      <c r="M14" s="4">
        <v>3</v>
      </c>
      <c r="N14" s="4" t="s">
        <v>1107</v>
      </c>
      <c r="O14" s="4" t="s">
        <v>1142</v>
      </c>
    </row>
    <row r="15" spans="1:15" ht="55.2" customHeight="1">
      <c r="A15" s="4" t="s">
        <v>190</v>
      </c>
      <c r="B15" s="4" t="s">
        <v>191</v>
      </c>
      <c r="C15" s="4" t="s">
        <v>1143</v>
      </c>
      <c r="D15" s="4" t="s">
        <v>1104</v>
      </c>
      <c r="E15" s="4" t="s">
        <v>1144</v>
      </c>
      <c r="F15" s="4">
        <v>4</v>
      </c>
      <c r="G15" s="4" t="s">
        <v>1145</v>
      </c>
      <c r="H15" s="4" t="s">
        <v>1058</v>
      </c>
      <c r="I15" s="4" t="s">
        <v>1028</v>
      </c>
      <c r="J15" s="4" t="s">
        <v>1029</v>
      </c>
      <c r="K15" s="4" t="s">
        <v>1059</v>
      </c>
      <c r="L15" s="4" t="s">
        <v>1045</v>
      </c>
      <c r="M15" s="4">
        <v>3</v>
      </c>
      <c r="N15" s="4" t="s">
        <v>1146</v>
      </c>
      <c r="O15" s="4" t="s">
        <v>1108</v>
      </c>
    </row>
    <row r="16" spans="1:15" ht="55.2" customHeight="1">
      <c r="A16" s="4" t="s">
        <v>204</v>
      </c>
      <c r="B16" s="4" t="s">
        <v>191</v>
      </c>
      <c r="C16" s="4" t="s">
        <v>1147</v>
      </c>
      <c r="D16" s="4" t="s">
        <v>1104</v>
      </c>
      <c r="E16" s="4" t="s">
        <v>1148</v>
      </c>
      <c r="F16" s="4">
        <v>4</v>
      </c>
      <c r="G16" s="4" t="s">
        <v>190</v>
      </c>
      <c r="H16" s="4" t="s">
        <v>1058</v>
      </c>
      <c r="I16" s="4" t="s">
        <v>1028</v>
      </c>
      <c r="J16" s="4" t="s">
        <v>1029</v>
      </c>
      <c r="K16" s="4" t="s">
        <v>1059</v>
      </c>
      <c r="L16" s="4" t="s">
        <v>1045</v>
      </c>
      <c r="M16" s="4">
        <v>3</v>
      </c>
      <c r="N16" s="4" t="s">
        <v>1149</v>
      </c>
      <c r="O16" s="4" t="s">
        <v>1108</v>
      </c>
    </row>
    <row r="17" spans="1:15" ht="55.2" customHeight="1">
      <c r="A17" s="4" t="s">
        <v>217</v>
      </c>
      <c r="B17" s="4" t="s">
        <v>191</v>
      </c>
      <c r="C17" s="4" t="s">
        <v>1150</v>
      </c>
      <c r="D17" s="4" t="s">
        <v>1104</v>
      </c>
      <c r="E17" s="4" t="s">
        <v>1151</v>
      </c>
      <c r="F17" s="4">
        <v>4</v>
      </c>
      <c r="G17" s="4" t="s">
        <v>190</v>
      </c>
      <c r="H17" s="4" t="s">
        <v>1058</v>
      </c>
      <c r="I17" s="4" t="s">
        <v>1028</v>
      </c>
      <c r="J17" s="4" t="s">
        <v>1029</v>
      </c>
      <c r="K17" s="4" t="s">
        <v>1059</v>
      </c>
      <c r="L17" s="4" t="s">
        <v>1045</v>
      </c>
      <c r="M17" s="4">
        <v>3</v>
      </c>
      <c r="N17" s="4" t="s">
        <v>1107</v>
      </c>
      <c r="O17" s="4" t="s">
        <v>1108</v>
      </c>
    </row>
    <row r="18" spans="1:15" ht="55.2" customHeight="1">
      <c r="A18" s="4" t="s">
        <v>230</v>
      </c>
      <c r="B18" s="4" t="s">
        <v>191</v>
      </c>
      <c r="C18" s="4" t="s">
        <v>1152</v>
      </c>
      <c r="D18" s="4" t="s">
        <v>1104</v>
      </c>
      <c r="E18" s="4" t="s">
        <v>1153</v>
      </c>
      <c r="F18" s="4">
        <v>4</v>
      </c>
      <c r="G18" s="4" t="s">
        <v>190</v>
      </c>
      <c r="H18" s="4" t="s">
        <v>1058</v>
      </c>
      <c r="I18" s="4" t="s">
        <v>1028</v>
      </c>
      <c r="J18" s="4" t="s">
        <v>1029</v>
      </c>
      <c r="K18" s="4" t="s">
        <v>1059</v>
      </c>
      <c r="L18" s="4" t="s">
        <v>1045</v>
      </c>
      <c r="M18" s="4">
        <v>3</v>
      </c>
      <c r="N18" s="4" t="s">
        <v>1107</v>
      </c>
      <c r="O18" s="4" t="s">
        <v>1108</v>
      </c>
    </row>
    <row r="19" spans="1:15" ht="69" customHeight="1">
      <c r="A19" s="4" t="s">
        <v>243</v>
      </c>
      <c r="B19" s="4" t="s">
        <v>191</v>
      </c>
      <c r="C19" s="4" t="s">
        <v>1154</v>
      </c>
      <c r="D19" s="4" t="s">
        <v>1104</v>
      </c>
      <c r="E19" s="4" t="s">
        <v>1155</v>
      </c>
      <c r="F19" s="4">
        <v>4</v>
      </c>
      <c r="G19" s="4" t="s">
        <v>1156</v>
      </c>
      <c r="H19" s="4" t="s">
        <v>1058</v>
      </c>
      <c r="I19" s="4" t="s">
        <v>1028</v>
      </c>
      <c r="J19" s="4" t="s">
        <v>1029</v>
      </c>
      <c r="K19" s="4" t="s">
        <v>1059</v>
      </c>
      <c r="L19" s="4" t="s">
        <v>1045</v>
      </c>
      <c r="M19" s="4">
        <v>3</v>
      </c>
      <c r="N19" s="4" t="s">
        <v>1157</v>
      </c>
      <c r="O19" s="4" t="s">
        <v>1108</v>
      </c>
    </row>
    <row r="20" spans="1:15" ht="55.2" customHeight="1">
      <c r="A20" s="4" t="s">
        <v>256</v>
      </c>
      <c r="B20" s="4" t="s">
        <v>191</v>
      </c>
      <c r="C20" s="4" t="s">
        <v>1158</v>
      </c>
      <c r="D20" s="4" t="s">
        <v>1104</v>
      </c>
      <c r="E20" s="4" t="s">
        <v>1159</v>
      </c>
      <c r="F20" s="4">
        <v>4</v>
      </c>
      <c r="G20" s="4" t="s">
        <v>1160</v>
      </c>
      <c r="H20" s="4" t="s">
        <v>1058</v>
      </c>
      <c r="I20" s="4" t="s">
        <v>1028</v>
      </c>
      <c r="J20" s="4" t="s">
        <v>1029</v>
      </c>
      <c r="K20" s="4" t="s">
        <v>1059</v>
      </c>
      <c r="L20" s="4" t="s">
        <v>1045</v>
      </c>
      <c r="M20" s="4">
        <v>3</v>
      </c>
      <c r="N20" s="4" t="s">
        <v>1107</v>
      </c>
      <c r="O20" s="4" t="s">
        <v>1108</v>
      </c>
    </row>
    <row r="21" spans="1:15" ht="55.2" customHeight="1">
      <c r="A21" s="4" t="s">
        <v>269</v>
      </c>
      <c r="B21" s="4" t="s">
        <v>191</v>
      </c>
      <c r="C21" s="4" t="s">
        <v>1161</v>
      </c>
      <c r="D21" s="4" t="s">
        <v>1104</v>
      </c>
      <c r="E21" s="4" t="s">
        <v>1162</v>
      </c>
      <c r="F21" s="4">
        <v>4</v>
      </c>
      <c r="G21" s="4" t="s">
        <v>204</v>
      </c>
      <c r="H21" s="4" t="s">
        <v>1058</v>
      </c>
      <c r="I21" s="4" t="s">
        <v>1028</v>
      </c>
      <c r="J21" s="4" t="s">
        <v>1029</v>
      </c>
      <c r="K21" s="4" t="s">
        <v>1059</v>
      </c>
      <c r="L21" s="4" t="s">
        <v>1045</v>
      </c>
      <c r="M21" s="4">
        <v>3</v>
      </c>
      <c r="N21" s="4" t="s">
        <v>1107</v>
      </c>
      <c r="O21" s="4" t="s">
        <v>1163</v>
      </c>
    </row>
    <row r="22" spans="1:15" ht="55.2" customHeight="1">
      <c r="A22" s="4" t="s">
        <v>284</v>
      </c>
      <c r="B22" s="4" t="s">
        <v>191</v>
      </c>
      <c r="C22" s="4" t="s">
        <v>1164</v>
      </c>
      <c r="D22" s="4" t="s">
        <v>1110</v>
      </c>
      <c r="E22" s="4" t="s">
        <v>1165</v>
      </c>
      <c r="F22" s="4">
        <v>4</v>
      </c>
      <c r="G22" s="4" t="s">
        <v>1166</v>
      </c>
      <c r="H22" s="4" t="s">
        <v>1058</v>
      </c>
      <c r="I22" s="4" t="s">
        <v>1028</v>
      </c>
      <c r="J22" s="4" t="s">
        <v>1029</v>
      </c>
      <c r="K22" s="4" t="s">
        <v>1059</v>
      </c>
      <c r="L22" s="4" t="s">
        <v>1045</v>
      </c>
      <c r="M22" s="4">
        <v>3</v>
      </c>
      <c r="N22" s="4" t="s">
        <v>1107</v>
      </c>
      <c r="O22" s="4" t="s">
        <v>1167</v>
      </c>
    </row>
    <row r="23" spans="1:15" ht="55.2" customHeight="1">
      <c r="A23" s="4" t="s">
        <v>298</v>
      </c>
      <c r="B23" s="4" t="s">
        <v>299</v>
      </c>
      <c r="C23" s="4" t="s">
        <v>1168</v>
      </c>
      <c r="D23" s="4" t="s">
        <v>1104</v>
      </c>
      <c r="E23" s="4" t="s">
        <v>1169</v>
      </c>
      <c r="F23" s="4">
        <v>4</v>
      </c>
      <c r="G23" s="4" t="s">
        <v>190</v>
      </c>
      <c r="H23" s="4" t="s">
        <v>1058</v>
      </c>
      <c r="I23" s="4" t="s">
        <v>1028</v>
      </c>
      <c r="J23" s="4" t="s">
        <v>1029</v>
      </c>
      <c r="K23" s="4" t="s">
        <v>1059</v>
      </c>
      <c r="L23" s="4" t="s">
        <v>1045</v>
      </c>
      <c r="M23" s="4">
        <v>3</v>
      </c>
      <c r="N23" s="4" t="s">
        <v>1170</v>
      </c>
      <c r="O23" s="4" t="s">
        <v>1108</v>
      </c>
    </row>
    <row r="24" spans="1:15" ht="41.4" customHeight="1">
      <c r="A24" s="4" t="s">
        <v>312</v>
      </c>
      <c r="B24" s="4" t="s">
        <v>299</v>
      </c>
      <c r="C24" s="4" t="s">
        <v>1171</v>
      </c>
      <c r="D24" s="4" t="s">
        <v>1104</v>
      </c>
      <c r="E24" s="4" t="s">
        <v>1172</v>
      </c>
      <c r="F24" s="4">
        <v>4</v>
      </c>
      <c r="G24" s="4" t="s">
        <v>298</v>
      </c>
      <c r="H24" s="4" t="s">
        <v>1058</v>
      </c>
      <c r="I24" s="4" t="s">
        <v>1028</v>
      </c>
      <c r="J24" s="4" t="s">
        <v>1029</v>
      </c>
      <c r="K24" s="4" t="s">
        <v>1059</v>
      </c>
      <c r="L24" s="4" t="s">
        <v>1045</v>
      </c>
      <c r="M24" s="4">
        <v>3</v>
      </c>
      <c r="N24" s="4" t="s">
        <v>1173</v>
      </c>
      <c r="O24" s="4" t="s">
        <v>1108</v>
      </c>
    </row>
    <row r="25" spans="1:15" ht="69" customHeight="1">
      <c r="A25" s="4" t="s">
        <v>325</v>
      </c>
      <c r="B25" s="4" t="s">
        <v>299</v>
      </c>
      <c r="C25" s="4" t="s">
        <v>1174</v>
      </c>
      <c r="D25" s="4" t="s">
        <v>1104</v>
      </c>
      <c r="E25" s="4" t="s">
        <v>1175</v>
      </c>
      <c r="F25" s="4">
        <v>4</v>
      </c>
      <c r="G25" s="4" t="s">
        <v>1176</v>
      </c>
      <c r="H25" s="4" t="s">
        <v>1058</v>
      </c>
      <c r="I25" s="4" t="s">
        <v>1028</v>
      </c>
      <c r="J25" s="4" t="s">
        <v>1029</v>
      </c>
      <c r="K25" s="4" t="s">
        <v>1059</v>
      </c>
      <c r="L25" s="4" t="s">
        <v>1045</v>
      </c>
      <c r="M25" s="4">
        <v>3</v>
      </c>
      <c r="N25" s="4" t="s">
        <v>1177</v>
      </c>
      <c r="O25" s="4" t="s">
        <v>1108</v>
      </c>
    </row>
    <row r="26" spans="1:15" ht="55.2" customHeight="1">
      <c r="A26" s="4" t="s">
        <v>338</v>
      </c>
      <c r="B26" s="4" t="s">
        <v>299</v>
      </c>
      <c r="C26" s="4" t="s">
        <v>1178</v>
      </c>
      <c r="D26" s="4" t="s">
        <v>1104</v>
      </c>
      <c r="E26" s="4" t="s">
        <v>1179</v>
      </c>
      <c r="F26" s="4">
        <v>4</v>
      </c>
      <c r="G26" s="4" t="s">
        <v>1180</v>
      </c>
      <c r="H26" s="4" t="s">
        <v>1058</v>
      </c>
      <c r="I26" s="4" t="s">
        <v>1028</v>
      </c>
      <c r="J26" s="4" t="s">
        <v>1029</v>
      </c>
      <c r="K26" s="4" t="s">
        <v>1059</v>
      </c>
      <c r="L26" s="4" t="s">
        <v>1045</v>
      </c>
      <c r="M26" s="4">
        <v>3</v>
      </c>
      <c r="N26" s="4" t="s">
        <v>1181</v>
      </c>
      <c r="O26" s="4" t="s">
        <v>1108</v>
      </c>
    </row>
    <row r="27" spans="1:15" ht="55.2" customHeight="1">
      <c r="A27" s="4" t="s">
        <v>351</v>
      </c>
      <c r="B27" s="4" t="s">
        <v>299</v>
      </c>
      <c r="C27" s="4" t="s">
        <v>1182</v>
      </c>
      <c r="D27" s="4" t="s">
        <v>1104</v>
      </c>
      <c r="E27" s="4" t="s">
        <v>1183</v>
      </c>
      <c r="F27" s="4">
        <v>4</v>
      </c>
      <c r="G27" s="4" t="s">
        <v>312</v>
      </c>
      <c r="H27" s="4" t="s">
        <v>1058</v>
      </c>
      <c r="I27" s="4" t="s">
        <v>1028</v>
      </c>
      <c r="J27" s="4" t="s">
        <v>1029</v>
      </c>
      <c r="K27" s="4" t="s">
        <v>1059</v>
      </c>
      <c r="L27" s="4" t="s">
        <v>1045</v>
      </c>
      <c r="M27" s="4">
        <v>3</v>
      </c>
      <c r="N27" s="4" t="s">
        <v>1107</v>
      </c>
      <c r="O27" s="4" t="s">
        <v>1184</v>
      </c>
    </row>
    <row r="28" spans="1:15" ht="55.2" customHeight="1">
      <c r="A28" s="4" t="s">
        <v>365</v>
      </c>
      <c r="B28" s="4" t="s">
        <v>299</v>
      </c>
      <c r="C28" s="4" t="s">
        <v>1185</v>
      </c>
      <c r="D28" s="4" t="s">
        <v>1110</v>
      </c>
      <c r="E28" s="4" t="s">
        <v>1186</v>
      </c>
      <c r="F28" s="4">
        <v>4</v>
      </c>
      <c r="G28" s="4" t="s">
        <v>312</v>
      </c>
      <c r="H28" s="4" t="s">
        <v>1058</v>
      </c>
      <c r="I28" s="4" t="s">
        <v>1028</v>
      </c>
      <c r="J28" s="4" t="s">
        <v>1029</v>
      </c>
      <c r="K28" s="4" t="s">
        <v>1059</v>
      </c>
      <c r="L28" s="4" t="s">
        <v>1045</v>
      </c>
      <c r="M28" s="4">
        <v>3</v>
      </c>
      <c r="N28" s="4" t="s">
        <v>1107</v>
      </c>
      <c r="O28" s="4" t="s">
        <v>1187</v>
      </c>
    </row>
    <row r="29" spans="1:15" ht="41.4" customHeight="1">
      <c r="A29" s="4" t="s">
        <v>379</v>
      </c>
      <c r="B29" s="4" t="s">
        <v>380</v>
      </c>
      <c r="C29" s="4" t="s">
        <v>1188</v>
      </c>
      <c r="D29" s="4" t="s">
        <v>1110</v>
      </c>
      <c r="E29" s="4" t="s">
        <v>1189</v>
      </c>
      <c r="F29" s="4">
        <v>4</v>
      </c>
      <c r="G29" s="4" t="s">
        <v>149</v>
      </c>
      <c r="H29" s="4" t="s">
        <v>1058</v>
      </c>
      <c r="I29" s="4" t="s">
        <v>1028</v>
      </c>
      <c r="J29" s="4" t="s">
        <v>1029</v>
      </c>
      <c r="K29" s="4" t="s">
        <v>1059</v>
      </c>
      <c r="L29" s="4" t="s">
        <v>1045</v>
      </c>
      <c r="M29" s="4">
        <v>3</v>
      </c>
      <c r="N29" s="4" t="s">
        <v>1190</v>
      </c>
      <c r="O29" s="4" t="s">
        <v>1108</v>
      </c>
    </row>
    <row r="30" spans="1:15" ht="55.2" customHeight="1">
      <c r="A30" s="4" t="s">
        <v>392</v>
      </c>
      <c r="B30" s="4" t="s">
        <v>380</v>
      </c>
      <c r="C30" s="4" t="s">
        <v>1191</v>
      </c>
      <c r="D30" s="4" t="s">
        <v>1104</v>
      </c>
      <c r="E30" s="4" t="s">
        <v>1192</v>
      </c>
      <c r="F30" s="4">
        <v>4</v>
      </c>
      <c r="G30" s="4" t="s">
        <v>379</v>
      </c>
      <c r="H30" s="4" t="s">
        <v>1058</v>
      </c>
      <c r="I30" s="4" t="s">
        <v>1028</v>
      </c>
      <c r="J30" s="4" t="s">
        <v>1029</v>
      </c>
      <c r="K30" s="4" t="s">
        <v>1059</v>
      </c>
      <c r="L30" s="4" t="s">
        <v>1045</v>
      </c>
      <c r="M30" s="4">
        <v>3</v>
      </c>
      <c r="N30" s="4" t="s">
        <v>1107</v>
      </c>
      <c r="O30" s="4" t="s">
        <v>1108</v>
      </c>
    </row>
    <row r="31" spans="1:15" ht="27.6" customHeight="1">
      <c r="A31" s="4" t="s">
        <v>405</v>
      </c>
      <c r="B31" s="4" t="s">
        <v>380</v>
      </c>
      <c r="C31" s="4" t="s">
        <v>1193</v>
      </c>
      <c r="D31" s="4" t="s">
        <v>1110</v>
      </c>
      <c r="E31" s="4" t="s">
        <v>1194</v>
      </c>
      <c r="F31" s="4">
        <v>4</v>
      </c>
      <c r="G31" s="4" t="s">
        <v>1195</v>
      </c>
      <c r="H31" s="4" t="s">
        <v>1058</v>
      </c>
      <c r="I31" s="4" t="s">
        <v>1028</v>
      </c>
      <c r="J31" s="4" t="s">
        <v>1029</v>
      </c>
      <c r="K31" s="4" t="s">
        <v>1059</v>
      </c>
      <c r="L31" s="4" t="s">
        <v>1045</v>
      </c>
      <c r="M31" s="4">
        <v>3</v>
      </c>
      <c r="N31" s="4" t="s">
        <v>1196</v>
      </c>
      <c r="O31" s="4" t="s">
        <v>1108</v>
      </c>
    </row>
    <row r="32" spans="1:15" ht="55.2" customHeight="1">
      <c r="A32" s="4" t="s">
        <v>418</v>
      </c>
      <c r="B32" s="4" t="s">
        <v>380</v>
      </c>
      <c r="C32" s="4" t="s">
        <v>1197</v>
      </c>
      <c r="D32" s="4" t="s">
        <v>1110</v>
      </c>
      <c r="E32" s="4" t="s">
        <v>1198</v>
      </c>
      <c r="F32" s="4">
        <v>4</v>
      </c>
      <c r="G32" s="4" t="s">
        <v>379</v>
      </c>
      <c r="H32" s="4" t="s">
        <v>1058</v>
      </c>
      <c r="I32" s="4" t="s">
        <v>1028</v>
      </c>
      <c r="J32" s="4" t="s">
        <v>1029</v>
      </c>
      <c r="K32" s="4" t="s">
        <v>1059</v>
      </c>
      <c r="L32" s="4" t="s">
        <v>1045</v>
      </c>
      <c r="M32" s="4">
        <v>3</v>
      </c>
      <c r="N32" s="4" t="s">
        <v>1107</v>
      </c>
      <c r="O32" s="4" t="s">
        <v>1108</v>
      </c>
    </row>
    <row r="33" spans="1:15" ht="55.2" customHeight="1">
      <c r="A33" s="4" t="s">
        <v>431</v>
      </c>
      <c r="B33" s="4" t="s">
        <v>380</v>
      </c>
      <c r="C33" s="4" t="s">
        <v>1199</v>
      </c>
      <c r="D33" s="4" t="s">
        <v>1110</v>
      </c>
      <c r="E33" s="4" t="s">
        <v>1200</v>
      </c>
      <c r="F33" s="4">
        <v>4</v>
      </c>
      <c r="G33" s="4" t="s">
        <v>379</v>
      </c>
      <c r="H33" s="4" t="s">
        <v>1058</v>
      </c>
      <c r="I33" s="4" t="s">
        <v>1028</v>
      </c>
      <c r="J33" s="4" t="s">
        <v>1029</v>
      </c>
      <c r="K33" s="4" t="s">
        <v>1059</v>
      </c>
      <c r="L33" s="4" t="s">
        <v>1045</v>
      </c>
      <c r="M33" s="4">
        <v>3</v>
      </c>
      <c r="N33" s="4" t="s">
        <v>1107</v>
      </c>
      <c r="O33" s="4" t="s">
        <v>1201</v>
      </c>
    </row>
    <row r="34" spans="1:15" ht="55.2" customHeight="1">
      <c r="A34" s="4" t="s">
        <v>445</v>
      </c>
      <c r="B34" s="4" t="s">
        <v>380</v>
      </c>
      <c r="C34" s="4" t="s">
        <v>1202</v>
      </c>
      <c r="D34" s="4" t="s">
        <v>1104</v>
      </c>
      <c r="E34" s="4" t="s">
        <v>1203</v>
      </c>
      <c r="F34" s="4">
        <v>4</v>
      </c>
      <c r="G34" s="4" t="s">
        <v>1204</v>
      </c>
      <c r="H34" s="4" t="s">
        <v>1058</v>
      </c>
      <c r="I34" s="4" t="s">
        <v>1028</v>
      </c>
      <c r="J34" s="4" t="s">
        <v>1029</v>
      </c>
      <c r="K34" s="4" t="s">
        <v>1059</v>
      </c>
      <c r="L34" s="4" t="s">
        <v>1045</v>
      </c>
      <c r="M34" s="4">
        <v>3</v>
      </c>
      <c r="N34" s="4" t="s">
        <v>1107</v>
      </c>
      <c r="O34" s="4" t="s">
        <v>1205</v>
      </c>
    </row>
    <row r="35" spans="1:15" ht="55.2" customHeight="1">
      <c r="A35" s="4" t="s">
        <v>459</v>
      </c>
      <c r="B35" s="4" t="s">
        <v>380</v>
      </c>
      <c r="C35" s="4" t="s">
        <v>1206</v>
      </c>
      <c r="D35" s="4" t="s">
        <v>1104</v>
      </c>
      <c r="E35" s="4" t="s">
        <v>1207</v>
      </c>
      <c r="F35" s="4">
        <v>4</v>
      </c>
      <c r="G35" s="4" t="s">
        <v>1208</v>
      </c>
      <c r="H35" s="4" t="s">
        <v>1058</v>
      </c>
      <c r="I35" s="4" t="s">
        <v>1028</v>
      </c>
      <c r="J35" s="4" t="s">
        <v>1029</v>
      </c>
      <c r="K35" s="4" t="s">
        <v>1059</v>
      </c>
      <c r="L35" s="4" t="s">
        <v>1045</v>
      </c>
      <c r="M35" s="4">
        <v>3</v>
      </c>
      <c r="N35" s="4" t="s">
        <v>1107</v>
      </c>
      <c r="O35" s="4" t="s">
        <v>1108</v>
      </c>
    </row>
    <row r="36" spans="1:15" ht="55.2" customHeight="1">
      <c r="A36" s="4" t="s">
        <v>472</v>
      </c>
      <c r="B36" s="4" t="s">
        <v>380</v>
      </c>
      <c r="C36" s="4" t="s">
        <v>1209</v>
      </c>
      <c r="D36" s="4" t="s">
        <v>1104</v>
      </c>
      <c r="E36" s="4" t="s">
        <v>1210</v>
      </c>
      <c r="F36" s="4">
        <v>4</v>
      </c>
      <c r="G36" s="4" t="s">
        <v>405</v>
      </c>
      <c r="H36" s="4" t="s">
        <v>1058</v>
      </c>
      <c r="I36" s="4" t="s">
        <v>1028</v>
      </c>
      <c r="J36" s="4" t="s">
        <v>1029</v>
      </c>
      <c r="K36" s="4" t="s">
        <v>1059</v>
      </c>
      <c r="L36" s="4" t="s">
        <v>1045</v>
      </c>
      <c r="M36" s="4">
        <v>3</v>
      </c>
      <c r="N36" s="4" t="s">
        <v>1107</v>
      </c>
      <c r="O36" s="4" t="s">
        <v>1211</v>
      </c>
    </row>
    <row r="37" spans="1:15" ht="55.2" customHeight="1">
      <c r="A37" s="4" t="s">
        <v>487</v>
      </c>
      <c r="B37" s="4" t="s">
        <v>488</v>
      </c>
      <c r="C37" s="4" t="s">
        <v>1212</v>
      </c>
      <c r="D37" s="4" t="s">
        <v>1104</v>
      </c>
      <c r="E37" s="4" t="s">
        <v>1213</v>
      </c>
      <c r="F37" s="4">
        <v>4</v>
      </c>
      <c r="G37" s="4" t="s">
        <v>1214</v>
      </c>
      <c r="H37" s="4" t="s">
        <v>1058</v>
      </c>
      <c r="I37" s="4" t="s">
        <v>1028</v>
      </c>
      <c r="J37" s="4" t="s">
        <v>1029</v>
      </c>
      <c r="K37" s="4" t="s">
        <v>1059</v>
      </c>
      <c r="L37" s="4" t="s">
        <v>1045</v>
      </c>
      <c r="M37" s="4">
        <v>3</v>
      </c>
      <c r="N37" s="4" t="s">
        <v>1215</v>
      </c>
      <c r="O37" s="4" t="s">
        <v>1108</v>
      </c>
    </row>
    <row r="38" spans="1:15" ht="55.2" customHeight="1">
      <c r="A38" s="4" t="s">
        <v>501</v>
      </c>
      <c r="B38" s="4" t="s">
        <v>488</v>
      </c>
      <c r="C38" s="4" t="s">
        <v>1216</v>
      </c>
      <c r="D38" s="4" t="s">
        <v>1104</v>
      </c>
      <c r="E38" s="4" t="s">
        <v>1217</v>
      </c>
      <c r="F38" s="4">
        <v>4</v>
      </c>
      <c r="G38" s="4" t="s">
        <v>487</v>
      </c>
      <c r="H38" s="4" t="s">
        <v>1058</v>
      </c>
      <c r="I38" s="4" t="s">
        <v>1028</v>
      </c>
      <c r="J38" s="4" t="s">
        <v>1029</v>
      </c>
      <c r="K38" s="4" t="s">
        <v>1059</v>
      </c>
      <c r="L38" s="4" t="s">
        <v>1045</v>
      </c>
      <c r="M38" s="4">
        <v>3</v>
      </c>
      <c r="N38" s="4" t="s">
        <v>1107</v>
      </c>
      <c r="O38" s="4" t="s">
        <v>1108</v>
      </c>
    </row>
    <row r="39" spans="1:15" ht="55.2" customHeight="1">
      <c r="A39" s="4" t="s">
        <v>514</v>
      </c>
      <c r="B39" s="4" t="s">
        <v>488</v>
      </c>
      <c r="C39" s="4" t="s">
        <v>1218</v>
      </c>
      <c r="D39" s="4" t="s">
        <v>1104</v>
      </c>
      <c r="E39" s="4" t="s">
        <v>1219</v>
      </c>
      <c r="F39" s="4">
        <v>4</v>
      </c>
      <c r="G39" s="4" t="s">
        <v>487</v>
      </c>
      <c r="H39" s="4" t="s">
        <v>1058</v>
      </c>
      <c r="I39" s="4" t="s">
        <v>1028</v>
      </c>
      <c r="J39" s="4" t="s">
        <v>1029</v>
      </c>
      <c r="K39" s="4" t="s">
        <v>1059</v>
      </c>
      <c r="L39" s="4" t="s">
        <v>1045</v>
      </c>
      <c r="M39" s="4">
        <v>3</v>
      </c>
      <c r="N39" s="4" t="s">
        <v>1220</v>
      </c>
      <c r="O39" s="4" t="s">
        <v>1108</v>
      </c>
    </row>
    <row r="40" spans="1:15" ht="41.4" customHeight="1">
      <c r="A40" s="4" t="s">
        <v>527</v>
      </c>
      <c r="B40" s="4" t="s">
        <v>488</v>
      </c>
      <c r="C40" s="4" t="s">
        <v>1221</v>
      </c>
      <c r="D40" s="4" t="s">
        <v>1104</v>
      </c>
      <c r="E40" s="4" t="s">
        <v>1222</v>
      </c>
      <c r="F40" s="4">
        <v>4</v>
      </c>
      <c r="G40" s="4" t="s">
        <v>514</v>
      </c>
      <c r="H40" s="4" t="s">
        <v>1058</v>
      </c>
      <c r="I40" s="4" t="s">
        <v>1028</v>
      </c>
      <c r="J40" s="4" t="s">
        <v>1029</v>
      </c>
      <c r="K40" s="4" t="s">
        <v>1059</v>
      </c>
      <c r="L40" s="4" t="s">
        <v>1045</v>
      </c>
      <c r="M40" s="4">
        <v>3</v>
      </c>
      <c r="N40" s="4" t="s">
        <v>1223</v>
      </c>
      <c r="O40" s="4" t="s">
        <v>1108</v>
      </c>
    </row>
    <row r="41" spans="1:15" ht="55.2" customHeight="1">
      <c r="A41" s="4" t="s">
        <v>540</v>
      </c>
      <c r="B41" s="4" t="s">
        <v>488</v>
      </c>
      <c r="C41" s="4" t="s">
        <v>1224</v>
      </c>
      <c r="D41" s="4" t="s">
        <v>1104</v>
      </c>
      <c r="E41" s="4" t="s">
        <v>1225</v>
      </c>
      <c r="F41" s="4">
        <v>4</v>
      </c>
      <c r="G41" s="4" t="s">
        <v>487</v>
      </c>
      <c r="H41" s="4" t="s">
        <v>1058</v>
      </c>
      <c r="I41" s="4" t="s">
        <v>1028</v>
      </c>
      <c r="J41" s="4" t="s">
        <v>1029</v>
      </c>
      <c r="K41" s="4" t="s">
        <v>1059</v>
      </c>
      <c r="L41" s="4" t="s">
        <v>1045</v>
      </c>
      <c r="M41" s="4">
        <v>3</v>
      </c>
      <c r="N41" s="4" t="s">
        <v>1107</v>
      </c>
      <c r="O41" s="4" t="s">
        <v>1108</v>
      </c>
    </row>
    <row r="42" spans="1:15" ht="41.4" customHeight="1">
      <c r="A42" s="4" t="s">
        <v>553</v>
      </c>
      <c r="B42" s="4" t="s">
        <v>488</v>
      </c>
      <c r="C42" s="4" t="s">
        <v>1226</v>
      </c>
      <c r="D42" s="4" t="s">
        <v>1104</v>
      </c>
      <c r="E42" s="4" t="s">
        <v>1227</v>
      </c>
      <c r="F42" s="4">
        <v>4</v>
      </c>
      <c r="G42" s="4" t="s">
        <v>1228</v>
      </c>
      <c r="H42" s="4" t="s">
        <v>1058</v>
      </c>
      <c r="I42" s="4" t="s">
        <v>1028</v>
      </c>
      <c r="J42" s="4" t="s">
        <v>1029</v>
      </c>
      <c r="K42" s="4" t="s">
        <v>1059</v>
      </c>
      <c r="L42" s="4" t="s">
        <v>1045</v>
      </c>
      <c r="M42" s="4">
        <v>3</v>
      </c>
      <c r="N42" s="4" t="s">
        <v>1229</v>
      </c>
      <c r="O42" s="4" t="s">
        <v>1108</v>
      </c>
    </row>
    <row r="43" spans="1:15" ht="55.2" customHeight="1">
      <c r="A43" s="4" t="s">
        <v>566</v>
      </c>
      <c r="B43" s="4" t="s">
        <v>488</v>
      </c>
      <c r="C43" s="4" t="s">
        <v>1230</v>
      </c>
      <c r="D43" s="4" t="s">
        <v>1231</v>
      </c>
      <c r="E43" s="4" t="s">
        <v>1232</v>
      </c>
      <c r="F43" s="4">
        <v>4</v>
      </c>
      <c r="G43" s="4" t="s">
        <v>487</v>
      </c>
      <c r="H43" s="4" t="s">
        <v>1058</v>
      </c>
      <c r="I43" s="4" t="s">
        <v>1028</v>
      </c>
      <c r="J43" s="4" t="s">
        <v>1029</v>
      </c>
      <c r="K43" s="4" t="s">
        <v>1059</v>
      </c>
      <c r="L43" s="4" t="s">
        <v>1045</v>
      </c>
      <c r="M43" s="4">
        <v>3</v>
      </c>
      <c r="N43" s="4" t="s">
        <v>1233</v>
      </c>
      <c r="O43" s="4" t="s">
        <v>1108</v>
      </c>
    </row>
    <row r="44" spans="1:15" ht="82.8" customHeight="1">
      <c r="A44" s="4" t="s">
        <v>579</v>
      </c>
      <c r="B44" s="4" t="s">
        <v>488</v>
      </c>
      <c r="C44" s="4" t="s">
        <v>1234</v>
      </c>
      <c r="D44" s="4" t="s">
        <v>1104</v>
      </c>
      <c r="E44" s="4" t="s">
        <v>1235</v>
      </c>
      <c r="F44" s="4">
        <v>4</v>
      </c>
      <c r="G44" s="4" t="s">
        <v>487</v>
      </c>
      <c r="H44" s="4" t="s">
        <v>1058</v>
      </c>
      <c r="I44" s="4" t="s">
        <v>1028</v>
      </c>
      <c r="J44" s="4" t="s">
        <v>1029</v>
      </c>
      <c r="K44" s="4" t="s">
        <v>1059</v>
      </c>
      <c r="L44" s="4" t="s">
        <v>1045</v>
      </c>
      <c r="M44" s="4">
        <v>3</v>
      </c>
      <c r="N44" s="4" t="s">
        <v>1236</v>
      </c>
      <c r="O44" s="4" t="s">
        <v>1108</v>
      </c>
    </row>
    <row r="45" spans="1:15" ht="55.2" customHeight="1">
      <c r="A45" s="4" t="s">
        <v>592</v>
      </c>
      <c r="B45" s="4" t="s">
        <v>488</v>
      </c>
      <c r="C45" s="4" t="s">
        <v>1237</v>
      </c>
      <c r="D45" s="4" t="s">
        <v>1104</v>
      </c>
      <c r="E45" s="4" t="s">
        <v>1238</v>
      </c>
      <c r="F45" s="4">
        <v>4</v>
      </c>
      <c r="G45" s="4" t="s">
        <v>540</v>
      </c>
      <c r="H45" s="4" t="s">
        <v>1058</v>
      </c>
      <c r="I45" s="4" t="s">
        <v>1028</v>
      </c>
      <c r="J45" s="4" t="s">
        <v>1029</v>
      </c>
      <c r="K45" s="4" t="s">
        <v>1059</v>
      </c>
      <c r="L45" s="4" t="s">
        <v>1045</v>
      </c>
      <c r="M45" s="4">
        <v>3</v>
      </c>
      <c r="N45" s="4" t="s">
        <v>1107</v>
      </c>
      <c r="O45" s="4" t="s">
        <v>1108</v>
      </c>
    </row>
    <row r="46" spans="1:15" ht="55.2" customHeight="1">
      <c r="A46" s="4" t="s">
        <v>605</v>
      </c>
      <c r="B46" s="4" t="s">
        <v>488</v>
      </c>
      <c r="C46" s="4" t="s">
        <v>1239</v>
      </c>
      <c r="D46" s="4" t="s">
        <v>1104</v>
      </c>
      <c r="E46" s="4" t="s">
        <v>1240</v>
      </c>
      <c r="F46" s="4">
        <v>4</v>
      </c>
      <c r="G46" s="4" t="s">
        <v>1241</v>
      </c>
      <c r="H46" s="4" t="s">
        <v>1058</v>
      </c>
      <c r="I46" s="4" t="s">
        <v>1028</v>
      </c>
      <c r="J46" s="4" t="s">
        <v>1029</v>
      </c>
      <c r="K46" s="4" t="s">
        <v>1059</v>
      </c>
      <c r="L46" s="4" t="s">
        <v>1045</v>
      </c>
      <c r="M46" s="4">
        <v>3</v>
      </c>
      <c r="N46" s="4" t="s">
        <v>1107</v>
      </c>
      <c r="O46" s="4" t="s">
        <v>1108</v>
      </c>
    </row>
    <row r="47" spans="1:15" ht="55.2" customHeight="1">
      <c r="A47" s="4" t="s">
        <v>618</v>
      </c>
      <c r="B47" s="4" t="s">
        <v>619</v>
      </c>
      <c r="C47" s="4" t="s">
        <v>1242</v>
      </c>
      <c r="D47" s="4" t="s">
        <v>1243</v>
      </c>
      <c r="E47" s="4" t="s">
        <v>1244</v>
      </c>
      <c r="F47" s="4">
        <v>4</v>
      </c>
      <c r="G47" s="4" t="s">
        <v>1245</v>
      </c>
      <c r="H47" s="4" t="s">
        <v>1058</v>
      </c>
      <c r="I47" s="4" t="s">
        <v>1028</v>
      </c>
      <c r="J47" s="4" t="s">
        <v>1029</v>
      </c>
      <c r="K47" s="4" t="s">
        <v>1059</v>
      </c>
      <c r="L47" s="4" t="s">
        <v>1045</v>
      </c>
      <c r="M47" s="4">
        <v>3</v>
      </c>
      <c r="N47" s="4" t="s">
        <v>1246</v>
      </c>
      <c r="O47" s="4" t="s">
        <v>1108</v>
      </c>
    </row>
    <row r="48" spans="1:15" ht="27.6" customHeight="1">
      <c r="A48" s="4" t="s">
        <v>632</v>
      </c>
      <c r="B48" s="4" t="s">
        <v>619</v>
      </c>
      <c r="C48" s="4" t="s">
        <v>1247</v>
      </c>
      <c r="D48" s="4" t="s">
        <v>1243</v>
      </c>
      <c r="E48" s="4" t="s">
        <v>1248</v>
      </c>
      <c r="F48" s="4">
        <v>4</v>
      </c>
      <c r="G48" s="4" t="s">
        <v>540</v>
      </c>
      <c r="H48" s="4" t="s">
        <v>1058</v>
      </c>
      <c r="I48" s="4" t="s">
        <v>1028</v>
      </c>
      <c r="J48" s="4" t="s">
        <v>1029</v>
      </c>
      <c r="K48" s="4" t="s">
        <v>1059</v>
      </c>
      <c r="L48" s="4" t="s">
        <v>1045</v>
      </c>
      <c r="M48" s="4">
        <v>3</v>
      </c>
      <c r="N48" s="4" t="s">
        <v>1249</v>
      </c>
      <c r="O48" s="4" t="s">
        <v>1108</v>
      </c>
    </row>
    <row r="49" spans="1:15" ht="27.6" customHeight="1">
      <c r="A49" s="4" t="s">
        <v>645</v>
      </c>
      <c r="B49" s="4" t="s">
        <v>619</v>
      </c>
      <c r="C49" s="4" t="s">
        <v>1250</v>
      </c>
      <c r="D49" s="4" t="s">
        <v>1104</v>
      </c>
      <c r="E49" s="4" t="s">
        <v>1251</v>
      </c>
      <c r="F49" s="4">
        <v>4</v>
      </c>
      <c r="G49" s="4" t="s">
        <v>1252</v>
      </c>
      <c r="H49" s="4" t="s">
        <v>1058</v>
      </c>
      <c r="I49" s="4" t="s">
        <v>1028</v>
      </c>
      <c r="J49" s="4" t="s">
        <v>1029</v>
      </c>
      <c r="K49" s="4" t="s">
        <v>1059</v>
      </c>
      <c r="L49" s="4" t="s">
        <v>1045</v>
      </c>
      <c r="M49" s="4">
        <v>3</v>
      </c>
      <c r="N49" s="4" t="s">
        <v>1253</v>
      </c>
      <c r="O49" s="4" t="s">
        <v>1108</v>
      </c>
    </row>
    <row r="50" spans="1:15" ht="110.4" customHeight="1">
      <c r="A50" s="4" t="s">
        <v>658</v>
      </c>
      <c r="B50" s="4" t="s">
        <v>619</v>
      </c>
      <c r="C50" s="4" t="s">
        <v>1254</v>
      </c>
      <c r="D50" s="4" t="s">
        <v>1110</v>
      </c>
      <c r="E50" s="4" t="s">
        <v>1255</v>
      </c>
      <c r="F50" s="4">
        <v>4</v>
      </c>
      <c r="G50" s="4" t="s">
        <v>645</v>
      </c>
      <c r="H50" s="4" t="s">
        <v>1058</v>
      </c>
      <c r="I50" s="4" t="s">
        <v>1028</v>
      </c>
      <c r="J50" s="4" t="s">
        <v>1029</v>
      </c>
      <c r="K50" s="4" t="s">
        <v>1059</v>
      </c>
      <c r="L50" s="4" t="s">
        <v>1045</v>
      </c>
      <c r="M50" s="4">
        <v>3</v>
      </c>
      <c r="N50" s="4" t="s">
        <v>1256</v>
      </c>
      <c r="O50" s="4" t="s">
        <v>1108</v>
      </c>
    </row>
    <row r="51" spans="1:15" ht="55.2" customHeight="1">
      <c r="A51" s="4" t="s">
        <v>671</v>
      </c>
      <c r="B51" s="4" t="s">
        <v>619</v>
      </c>
      <c r="C51" s="4" t="s">
        <v>1257</v>
      </c>
      <c r="D51" s="4" t="s">
        <v>1104</v>
      </c>
      <c r="E51" s="4" t="s">
        <v>1258</v>
      </c>
      <c r="F51" s="4">
        <v>4</v>
      </c>
      <c r="G51" s="4" t="s">
        <v>1259</v>
      </c>
      <c r="H51" s="4" t="s">
        <v>1058</v>
      </c>
      <c r="I51" s="4" t="s">
        <v>1028</v>
      </c>
      <c r="J51" s="4" t="s">
        <v>1029</v>
      </c>
      <c r="K51" s="4" t="s">
        <v>1059</v>
      </c>
      <c r="L51" s="4" t="s">
        <v>1045</v>
      </c>
      <c r="M51" s="4">
        <v>3</v>
      </c>
      <c r="N51" s="4" t="s">
        <v>1107</v>
      </c>
      <c r="O51" s="4" t="s">
        <v>1108</v>
      </c>
    </row>
    <row r="52" spans="1:15" ht="55.2" customHeight="1">
      <c r="A52" s="4" t="s">
        <v>684</v>
      </c>
      <c r="B52" s="4" t="s">
        <v>685</v>
      </c>
      <c r="C52" s="4" t="s">
        <v>1260</v>
      </c>
      <c r="D52" s="4" t="s">
        <v>1104</v>
      </c>
      <c r="E52" s="4" t="s">
        <v>1261</v>
      </c>
      <c r="F52" s="4">
        <v>4</v>
      </c>
      <c r="G52" s="4" t="s">
        <v>1262</v>
      </c>
      <c r="H52" s="4" t="s">
        <v>1058</v>
      </c>
      <c r="I52" s="4" t="s">
        <v>1028</v>
      </c>
      <c r="J52" s="4" t="s">
        <v>1029</v>
      </c>
      <c r="K52" s="4" t="s">
        <v>1059</v>
      </c>
      <c r="L52" s="4" t="s">
        <v>1045</v>
      </c>
      <c r="M52" s="4">
        <v>3</v>
      </c>
      <c r="N52" s="4" t="s">
        <v>1107</v>
      </c>
      <c r="O52" s="4" t="s">
        <v>1108</v>
      </c>
    </row>
    <row r="53" spans="1:15" ht="55.2" customHeight="1">
      <c r="A53" s="4" t="s">
        <v>698</v>
      </c>
      <c r="B53" s="4" t="s">
        <v>685</v>
      </c>
      <c r="C53" s="4" t="s">
        <v>1263</v>
      </c>
      <c r="D53" s="4" t="s">
        <v>1110</v>
      </c>
      <c r="E53" s="4" t="s">
        <v>1264</v>
      </c>
      <c r="F53" s="4">
        <v>4</v>
      </c>
      <c r="G53" s="4" t="s">
        <v>1265</v>
      </c>
      <c r="H53" s="4" t="s">
        <v>1058</v>
      </c>
      <c r="I53" s="4" t="s">
        <v>1028</v>
      </c>
      <c r="J53" s="4" t="s">
        <v>1029</v>
      </c>
      <c r="K53" s="4" t="s">
        <v>1059</v>
      </c>
      <c r="L53" s="4" t="s">
        <v>1045</v>
      </c>
      <c r="M53" s="4">
        <v>3</v>
      </c>
      <c r="N53" s="4" t="s">
        <v>1107</v>
      </c>
      <c r="O53" s="4" t="s">
        <v>1266</v>
      </c>
    </row>
    <row r="54" spans="1:15" ht="55.2" customHeight="1">
      <c r="A54" s="4" t="s">
        <v>712</v>
      </c>
      <c r="B54" s="4" t="s">
        <v>685</v>
      </c>
      <c r="C54" s="4" t="s">
        <v>1267</v>
      </c>
      <c r="D54" s="4" t="s">
        <v>1110</v>
      </c>
      <c r="E54" s="4" t="s">
        <v>1268</v>
      </c>
      <c r="F54" s="4">
        <v>4</v>
      </c>
      <c r="G54" s="4" t="s">
        <v>284</v>
      </c>
      <c r="H54" s="4" t="s">
        <v>1058</v>
      </c>
      <c r="I54" s="4" t="s">
        <v>1028</v>
      </c>
      <c r="J54" s="4" t="s">
        <v>1029</v>
      </c>
      <c r="K54" s="4" t="s">
        <v>1059</v>
      </c>
      <c r="L54" s="4" t="s">
        <v>1045</v>
      </c>
      <c r="M54" s="4">
        <v>3</v>
      </c>
      <c r="N54" s="4" t="s">
        <v>1107</v>
      </c>
      <c r="O54" s="4" t="s">
        <v>1269</v>
      </c>
    </row>
    <row r="55" spans="1:15" ht="55.2" customHeight="1">
      <c r="A55" s="4" t="s">
        <v>726</v>
      </c>
      <c r="B55" s="4" t="s">
        <v>685</v>
      </c>
      <c r="C55" s="4" t="s">
        <v>1270</v>
      </c>
      <c r="D55" s="4" t="s">
        <v>1110</v>
      </c>
      <c r="E55" s="4" t="s">
        <v>1271</v>
      </c>
      <c r="F55" s="4">
        <v>4</v>
      </c>
      <c r="G55" s="4" t="s">
        <v>445</v>
      </c>
      <c r="H55" s="4" t="s">
        <v>1058</v>
      </c>
      <c r="I55" s="4" t="s">
        <v>1028</v>
      </c>
      <c r="J55" s="4" t="s">
        <v>1029</v>
      </c>
      <c r="K55" s="4" t="s">
        <v>1059</v>
      </c>
      <c r="L55" s="4" t="s">
        <v>1045</v>
      </c>
      <c r="M55" s="4">
        <v>3</v>
      </c>
      <c r="N55" s="4" t="s">
        <v>1107</v>
      </c>
      <c r="O55" s="4" t="s">
        <v>1108</v>
      </c>
    </row>
    <row r="56" spans="1:15" ht="220.8" customHeight="1">
      <c r="A56" s="4" t="s">
        <v>739</v>
      </c>
      <c r="B56" s="4" t="s">
        <v>685</v>
      </c>
      <c r="C56" s="4" t="s">
        <v>1272</v>
      </c>
      <c r="D56" s="4" t="s">
        <v>1104</v>
      </c>
      <c r="E56" s="4" t="s">
        <v>1273</v>
      </c>
      <c r="F56" s="4">
        <v>4</v>
      </c>
      <c r="G56" s="4" t="s">
        <v>1274</v>
      </c>
      <c r="H56" s="4" t="s">
        <v>1058</v>
      </c>
      <c r="I56" s="4" t="s">
        <v>1028</v>
      </c>
      <c r="J56" s="4" t="s">
        <v>1029</v>
      </c>
      <c r="K56" s="4" t="s">
        <v>1059</v>
      </c>
      <c r="L56" s="4" t="s">
        <v>1045</v>
      </c>
      <c r="M56" s="4">
        <v>3</v>
      </c>
      <c r="N56" s="4" t="s">
        <v>1275</v>
      </c>
      <c r="O56" s="4" t="s">
        <v>1276</v>
      </c>
    </row>
    <row r="57" spans="1:15" ht="41.4" customHeight="1">
      <c r="A57" s="4" t="s">
        <v>753</v>
      </c>
      <c r="B57" s="4" t="s">
        <v>754</v>
      </c>
      <c r="C57" s="4" t="s">
        <v>1277</v>
      </c>
      <c r="D57" s="4" t="s">
        <v>1104</v>
      </c>
      <c r="E57" s="4" t="s">
        <v>1278</v>
      </c>
      <c r="F57" s="4">
        <v>4</v>
      </c>
      <c r="G57" s="4" t="s">
        <v>204</v>
      </c>
      <c r="H57" s="4" t="s">
        <v>1058</v>
      </c>
      <c r="I57" s="4" t="s">
        <v>1028</v>
      </c>
      <c r="J57" s="4" t="s">
        <v>1029</v>
      </c>
      <c r="K57" s="4" t="s">
        <v>1059</v>
      </c>
      <c r="L57" s="4" t="s">
        <v>1045</v>
      </c>
      <c r="M57" s="4">
        <v>3</v>
      </c>
      <c r="N57" s="4" t="s">
        <v>1279</v>
      </c>
      <c r="O57" s="4" t="s">
        <v>1108</v>
      </c>
    </row>
    <row r="58" spans="1:15" ht="55.2" customHeight="1">
      <c r="A58" s="4" t="s">
        <v>767</v>
      </c>
      <c r="B58" s="4" t="s">
        <v>754</v>
      </c>
      <c r="C58" s="4" t="s">
        <v>1280</v>
      </c>
      <c r="D58" s="4" t="s">
        <v>1110</v>
      </c>
      <c r="E58" s="4" t="s">
        <v>1281</v>
      </c>
      <c r="F58" s="4">
        <v>4</v>
      </c>
      <c r="G58" s="4" t="s">
        <v>753</v>
      </c>
      <c r="H58" s="4" t="s">
        <v>1058</v>
      </c>
      <c r="I58" s="4" t="s">
        <v>1028</v>
      </c>
      <c r="J58" s="4" t="s">
        <v>1029</v>
      </c>
      <c r="K58" s="4" t="s">
        <v>1059</v>
      </c>
      <c r="L58" s="4" t="s">
        <v>1045</v>
      </c>
      <c r="M58" s="4">
        <v>3</v>
      </c>
      <c r="N58" s="4" t="s">
        <v>1282</v>
      </c>
      <c r="O58" s="4" t="s">
        <v>1283</v>
      </c>
    </row>
    <row r="59" spans="1:15" ht="55.2" customHeight="1">
      <c r="A59" s="4" t="s">
        <v>781</v>
      </c>
      <c r="B59" s="4" t="s">
        <v>754</v>
      </c>
      <c r="C59" s="4" t="s">
        <v>1284</v>
      </c>
      <c r="D59" s="4" t="s">
        <v>1104</v>
      </c>
      <c r="E59" s="4" t="s">
        <v>1285</v>
      </c>
      <c r="F59" s="4">
        <v>4</v>
      </c>
      <c r="G59" s="4" t="s">
        <v>592</v>
      </c>
      <c r="H59" s="4" t="s">
        <v>1058</v>
      </c>
      <c r="I59" s="4" t="s">
        <v>1028</v>
      </c>
      <c r="J59" s="4" t="s">
        <v>1029</v>
      </c>
      <c r="K59" s="4" t="s">
        <v>1059</v>
      </c>
      <c r="L59" s="4" t="s">
        <v>1045</v>
      </c>
      <c r="M59" s="4">
        <v>3</v>
      </c>
      <c r="N59" s="4" t="s">
        <v>1107</v>
      </c>
      <c r="O59" s="4" t="s">
        <v>1286</v>
      </c>
    </row>
    <row r="60" spans="1:15" ht="55.2" customHeight="1">
      <c r="A60" s="4" t="s">
        <v>796</v>
      </c>
      <c r="B60" s="4" t="s">
        <v>754</v>
      </c>
      <c r="C60" s="4" t="s">
        <v>1287</v>
      </c>
      <c r="D60" s="4" t="s">
        <v>1110</v>
      </c>
      <c r="E60" s="4" t="s">
        <v>1288</v>
      </c>
      <c r="F60" s="4">
        <v>4</v>
      </c>
      <c r="G60" s="4" t="s">
        <v>1289</v>
      </c>
      <c r="H60" s="4" t="s">
        <v>1058</v>
      </c>
      <c r="I60" s="4" t="s">
        <v>1028</v>
      </c>
      <c r="J60" s="4" t="s">
        <v>1029</v>
      </c>
      <c r="K60" s="4" t="s">
        <v>1059</v>
      </c>
      <c r="L60" s="4" t="s">
        <v>1045</v>
      </c>
      <c r="M60" s="4">
        <v>3</v>
      </c>
      <c r="N60" s="4" t="s">
        <v>1107</v>
      </c>
      <c r="O60" s="4" t="s">
        <v>1290</v>
      </c>
    </row>
    <row r="61" spans="1:15" ht="55.2" customHeight="1">
      <c r="A61" s="4" t="s">
        <v>809</v>
      </c>
      <c r="B61" s="4" t="s">
        <v>754</v>
      </c>
      <c r="C61" s="4" t="s">
        <v>1291</v>
      </c>
      <c r="D61" s="4" t="s">
        <v>1292</v>
      </c>
      <c r="E61" s="4" t="s">
        <v>1293</v>
      </c>
      <c r="F61" s="4">
        <v>4</v>
      </c>
      <c r="G61" s="4" t="s">
        <v>1294</v>
      </c>
      <c r="H61" s="4" t="s">
        <v>1058</v>
      </c>
      <c r="I61" s="4" t="s">
        <v>1028</v>
      </c>
      <c r="J61" s="4" t="s">
        <v>1029</v>
      </c>
      <c r="K61" s="4" t="s">
        <v>1059</v>
      </c>
      <c r="L61" s="4" t="s">
        <v>1045</v>
      </c>
      <c r="M61" s="4">
        <v>3</v>
      </c>
      <c r="N61" s="4" t="s">
        <v>1295</v>
      </c>
      <c r="O61" s="4" t="s">
        <v>1108</v>
      </c>
    </row>
    <row r="62" spans="1:15" ht="55.2" customHeight="1">
      <c r="A62" s="4" t="s">
        <v>822</v>
      </c>
      <c r="B62" s="4" t="s">
        <v>823</v>
      </c>
      <c r="C62" s="4" t="s">
        <v>1296</v>
      </c>
      <c r="D62" s="4" t="s">
        <v>1110</v>
      </c>
      <c r="E62" s="4" t="s">
        <v>1297</v>
      </c>
      <c r="F62" s="4">
        <v>4</v>
      </c>
      <c r="G62" s="4" t="s">
        <v>618</v>
      </c>
      <c r="H62" s="4" t="s">
        <v>1058</v>
      </c>
      <c r="I62" s="4" t="s">
        <v>1028</v>
      </c>
      <c r="J62" s="4" t="s">
        <v>1029</v>
      </c>
      <c r="K62" s="4" t="s">
        <v>1059</v>
      </c>
      <c r="L62" s="4" t="s">
        <v>1045</v>
      </c>
      <c r="M62" s="4">
        <v>3</v>
      </c>
      <c r="N62" s="4" t="s">
        <v>1107</v>
      </c>
      <c r="O62" s="4" t="s">
        <v>1108</v>
      </c>
    </row>
    <row r="63" spans="1:15" ht="55.2" customHeight="1">
      <c r="A63" s="4" t="s">
        <v>836</v>
      </c>
      <c r="B63" s="4" t="s">
        <v>823</v>
      </c>
      <c r="C63" s="4" t="s">
        <v>1298</v>
      </c>
      <c r="D63" s="4" t="s">
        <v>1110</v>
      </c>
      <c r="E63" s="4" t="s">
        <v>1299</v>
      </c>
      <c r="F63" s="4">
        <v>4</v>
      </c>
      <c r="G63" s="4" t="s">
        <v>822</v>
      </c>
      <c r="H63" s="4" t="s">
        <v>1058</v>
      </c>
      <c r="I63" s="4" t="s">
        <v>1028</v>
      </c>
      <c r="J63" s="4" t="s">
        <v>1029</v>
      </c>
      <c r="K63" s="4" t="s">
        <v>1059</v>
      </c>
      <c r="L63" s="4" t="s">
        <v>1045</v>
      </c>
      <c r="M63" s="4">
        <v>3</v>
      </c>
      <c r="N63" s="4" t="s">
        <v>1107</v>
      </c>
      <c r="O63" s="4" t="s">
        <v>1108</v>
      </c>
    </row>
    <row r="64" spans="1:15" ht="55.2" customHeight="1">
      <c r="A64" s="4" t="s">
        <v>849</v>
      </c>
      <c r="B64" s="4" t="s">
        <v>823</v>
      </c>
      <c r="C64" s="4" t="s">
        <v>1300</v>
      </c>
      <c r="D64" s="4" t="s">
        <v>1110</v>
      </c>
      <c r="E64" s="4" t="s">
        <v>1301</v>
      </c>
      <c r="F64" s="4">
        <v>4</v>
      </c>
      <c r="G64" s="4" t="s">
        <v>632</v>
      </c>
      <c r="H64" s="4" t="s">
        <v>1058</v>
      </c>
      <c r="I64" s="4" t="s">
        <v>1028</v>
      </c>
      <c r="J64" s="4" t="s">
        <v>1029</v>
      </c>
      <c r="K64" s="4" t="s">
        <v>1059</v>
      </c>
      <c r="L64" s="4" t="s">
        <v>1045</v>
      </c>
      <c r="M64" s="4">
        <v>3</v>
      </c>
      <c r="N64" s="4" t="s">
        <v>1107</v>
      </c>
      <c r="O64" s="4" t="s">
        <v>1108</v>
      </c>
    </row>
    <row r="65" spans="1:15" ht="55.2" customHeight="1">
      <c r="A65" s="4" t="s">
        <v>862</v>
      </c>
      <c r="B65" s="4" t="s">
        <v>823</v>
      </c>
      <c r="C65" s="4" t="s">
        <v>1302</v>
      </c>
      <c r="D65" s="4" t="s">
        <v>1110</v>
      </c>
      <c r="E65" s="4" t="s">
        <v>1303</v>
      </c>
      <c r="F65" s="4">
        <v>4</v>
      </c>
      <c r="G65" s="4" t="s">
        <v>645</v>
      </c>
      <c r="H65" s="4" t="s">
        <v>1058</v>
      </c>
      <c r="I65" s="4" t="s">
        <v>1028</v>
      </c>
      <c r="J65" s="4" t="s">
        <v>1029</v>
      </c>
      <c r="K65" s="4" t="s">
        <v>1059</v>
      </c>
      <c r="L65" s="4" t="s">
        <v>1045</v>
      </c>
      <c r="M65" s="4">
        <v>3</v>
      </c>
      <c r="N65" s="4" t="s">
        <v>1107</v>
      </c>
      <c r="O65" s="4" t="s">
        <v>1304</v>
      </c>
    </row>
    <row r="66" spans="1:15" ht="55.2" customHeight="1">
      <c r="A66" s="4" t="s">
        <v>876</v>
      </c>
      <c r="B66" s="4" t="s">
        <v>823</v>
      </c>
      <c r="C66" s="4" t="s">
        <v>1305</v>
      </c>
      <c r="D66" s="4" t="s">
        <v>1110</v>
      </c>
      <c r="E66" s="4" t="s">
        <v>1306</v>
      </c>
      <c r="F66" s="4">
        <v>4</v>
      </c>
      <c r="G66" s="4" t="s">
        <v>1307</v>
      </c>
      <c r="H66" s="4" t="s">
        <v>1058</v>
      </c>
      <c r="I66" s="4" t="s">
        <v>1028</v>
      </c>
      <c r="J66" s="4" t="s">
        <v>1029</v>
      </c>
      <c r="K66" s="4" t="s">
        <v>1059</v>
      </c>
      <c r="L66" s="4" t="s">
        <v>1045</v>
      </c>
      <c r="M66" s="4">
        <v>3</v>
      </c>
      <c r="N66" s="4" t="s">
        <v>1107</v>
      </c>
      <c r="O66" s="4" t="s">
        <v>1308</v>
      </c>
    </row>
    <row r="67" spans="1:15" ht="55.2" customHeight="1">
      <c r="A67" s="4" t="s">
        <v>890</v>
      </c>
      <c r="B67" s="4" t="s">
        <v>891</v>
      </c>
      <c r="C67" s="4" t="s">
        <v>1309</v>
      </c>
      <c r="D67" s="4" t="s">
        <v>1104</v>
      </c>
      <c r="E67" s="4" t="s">
        <v>1310</v>
      </c>
      <c r="F67" s="4">
        <v>4</v>
      </c>
      <c r="G67" s="4" t="s">
        <v>405</v>
      </c>
      <c r="H67" s="4" t="s">
        <v>1058</v>
      </c>
      <c r="I67" s="4" t="s">
        <v>1033</v>
      </c>
      <c r="J67" s="4" t="s">
        <v>1034</v>
      </c>
      <c r="K67" s="4" t="s">
        <v>1059</v>
      </c>
      <c r="L67" s="4" t="s">
        <v>1045</v>
      </c>
      <c r="M67" s="4">
        <v>3</v>
      </c>
      <c r="N67" s="4" t="s">
        <v>1311</v>
      </c>
      <c r="O67" s="4" t="s">
        <v>1108</v>
      </c>
    </row>
    <row r="68" spans="1:15" ht="55.2" customHeight="1">
      <c r="A68" s="4" t="s">
        <v>904</v>
      </c>
      <c r="B68" s="4" t="s">
        <v>891</v>
      </c>
      <c r="C68" s="4" t="s">
        <v>1312</v>
      </c>
      <c r="D68" s="4" t="s">
        <v>1104</v>
      </c>
      <c r="E68" s="4" t="s">
        <v>1313</v>
      </c>
      <c r="F68" s="4">
        <v>4</v>
      </c>
      <c r="G68" s="4" t="s">
        <v>190</v>
      </c>
      <c r="H68" s="4" t="s">
        <v>1058</v>
      </c>
      <c r="I68" s="4" t="s">
        <v>1033</v>
      </c>
      <c r="J68" s="4" t="s">
        <v>1034</v>
      </c>
      <c r="K68" s="4" t="s">
        <v>1059</v>
      </c>
      <c r="L68" s="4" t="s">
        <v>1045</v>
      </c>
      <c r="M68" s="4">
        <v>3</v>
      </c>
      <c r="N68" s="4" t="s">
        <v>1311</v>
      </c>
      <c r="O68" s="4" t="s">
        <v>1314</v>
      </c>
    </row>
    <row r="69" spans="1:15" ht="55.2" customHeight="1">
      <c r="A69" s="4" t="s">
        <v>918</v>
      </c>
      <c r="B69" s="4" t="s">
        <v>891</v>
      </c>
      <c r="C69" s="4" t="s">
        <v>1315</v>
      </c>
      <c r="D69" s="4" t="s">
        <v>1104</v>
      </c>
      <c r="E69" s="4" t="s">
        <v>1316</v>
      </c>
      <c r="F69" s="4">
        <v>4</v>
      </c>
      <c r="G69" s="4" t="s">
        <v>487</v>
      </c>
      <c r="H69" s="4" t="s">
        <v>1058</v>
      </c>
      <c r="I69" s="4" t="s">
        <v>1033</v>
      </c>
      <c r="J69" s="4" t="s">
        <v>1034</v>
      </c>
      <c r="K69" s="4" t="s">
        <v>1059</v>
      </c>
      <c r="L69" s="4" t="s">
        <v>1045</v>
      </c>
      <c r="M69" s="4">
        <v>3</v>
      </c>
      <c r="N69" s="4" t="s">
        <v>1311</v>
      </c>
      <c r="O69" s="4" t="s">
        <v>1108</v>
      </c>
    </row>
    <row r="70" spans="1:15" ht="55.2" customHeight="1">
      <c r="A70" s="4" t="s">
        <v>931</v>
      </c>
      <c r="B70" s="4" t="s">
        <v>891</v>
      </c>
      <c r="C70" s="4" t="s">
        <v>1317</v>
      </c>
      <c r="D70" s="4" t="s">
        <v>1104</v>
      </c>
      <c r="E70" s="4" t="s">
        <v>1318</v>
      </c>
      <c r="F70" s="4">
        <v>4</v>
      </c>
      <c r="G70" s="4" t="s">
        <v>645</v>
      </c>
      <c r="H70" s="4" t="s">
        <v>1058</v>
      </c>
      <c r="I70" s="4" t="s">
        <v>1033</v>
      </c>
      <c r="J70" s="4" t="s">
        <v>1034</v>
      </c>
      <c r="K70" s="4" t="s">
        <v>1059</v>
      </c>
      <c r="L70" s="4" t="s">
        <v>1045</v>
      </c>
      <c r="M70" s="4">
        <v>3</v>
      </c>
      <c r="N70" s="4" t="s">
        <v>1311</v>
      </c>
      <c r="O70" s="4" t="s">
        <v>1108</v>
      </c>
    </row>
    <row r="71" spans="1:15" ht="41.4" customHeight="1">
      <c r="A71" s="4" t="s">
        <v>944</v>
      </c>
      <c r="B71" s="4" t="s">
        <v>945</v>
      </c>
      <c r="C71" s="4" t="s">
        <v>1319</v>
      </c>
      <c r="D71" s="4" t="s">
        <v>1126</v>
      </c>
      <c r="E71" s="4" t="s">
        <v>1320</v>
      </c>
      <c r="F71" s="4">
        <v>4</v>
      </c>
      <c r="G71" s="4" t="s">
        <v>12</v>
      </c>
      <c r="H71" s="4" t="s">
        <v>1058</v>
      </c>
      <c r="I71" s="4" t="s">
        <v>1028</v>
      </c>
      <c r="J71" s="4" t="s">
        <v>1029</v>
      </c>
      <c r="K71" s="4" t="s">
        <v>1059</v>
      </c>
      <c r="L71" s="4" t="s">
        <v>1045</v>
      </c>
      <c r="M71" s="4">
        <v>3</v>
      </c>
      <c r="N71" s="4" t="s">
        <v>1321</v>
      </c>
      <c r="O71" s="4" t="s">
        <v>1108</v>
      </c>
    </row>
    <row r="72" spans="1:15" ht="55.2" customHeight="1">
      <c r="A72" s="4" t="s">
        <v>958</v>
      </c>
      <c r="B72" s="4" t="s">
        <v>945</v>
      </c>
      <c r="C72" s="4" t="s">
        <v>1322</v>
      </c>
      <c r="D72" s="4" t="s">
        <v>1126</v>
      </c>
      <c r="E72" s="4" t="s">
        <v>1323</v>
      </c>
      <c r="F72" s="4">
        <v>4</v>
      </c>
      <c r="G72" s="4" t="s">
        <v>149</v>
      </c>
      <c r="H72" s="4" t="s">
        <v>1058</v>
      </c>
      <c r="I72" s="4" t="s">
        <v>1028</v>
      </c>
      <c r="J72" s="4" t="s">
        <v>1029</v>
      </c>
      <c r="K72" s="4" t="s">
        <v>1059</v>
      </c>
      <c r="L72" s="4" t="s">
        <v>1045</v>
      </c>
      <c r="M72" s="4">
        <v>3</v>
      </c>
      <c r="N72" s="4" t="s">
        <v>1324</v>
      </c>
      <c r="O72" s="4" t="s">
        <v>1108</v>
      </c>
    </row>
    <row r="73" spans="1:15" ht="82.8" customHeight="1">
      <c r="A73" s="4" t="s">
        <v>971</v>
      </c>
      <c r="B73" s="4" t="s">
        <v>945</v>
      </c>
      <c r="C73" s="4" t="s">
        <v>1325</v>
      </c>
      <c r="D73" s="4" t="s">
        <v>1231</v>
      </c>
      <c r="E73" s="4" t="s">
        <v>1326</v>
      </c>
      <c r="F73" s="4">
        <v>4</v>
      </c>
      <c r="G73" s="4" t="s">
        <v>1327</v>
      </c>
      <c r="H73" s="4" t="s">
        <v>1058</v>
      </c>
      <c r="I73" s="4" t="s">
        <v>1028</v>
      </c>
      <c r="J73" s="4" t="s">
        <v>1029</v>
      </c>
      <c r="K73" s="4" t="s">
        <v>1059</v>
      </c>
      <c r="L73" s="4" t="s">
        <v>1045</v>
      </c>
      <c r="M73" s="4">
        <v>3</v>
      </c>
      <c r="N73" s="4" t="s">
        <v>1328</v>
      </c>
      <c r="O73" s="4" t="s">
        <v>1108</v>
      </c>
    </row>
    <row r="74" spans="1:15" ht="96.6" customHeight="1">
      <c r="A74" s="4" t="s">
        <v>984</v>
      </c>
      <c r="B74" s="4" t="s">
        <v>945</v>
      </c>
      <c r="C74" s="4" t="s">
        <v>1329</v>
      </c>
      <c r="D74" s="4" t="s">
        <v>1330</v>
      </c>
      <c r="E74" s="4" t="s">
        <v>1331</v>
      </c>
      <c r="F74" s="4">
        <v>4</v>
      </c>
      <c r="G74" s="4" t="s">
        <v>1106</v>
      </c>
      <c r="H74" s="4" t="s">
        <v>1058</v>
      </c>
      <c r="I74" s="4" t="s">
        <v>1028</v>
      </c>
      <c r="J74" s="4" t="s">
        <v>1029</v>
      </c>
      <c r="K74" s="4" t="s">
        <v>1059</v>
      </c>
      <c r="L74" s="4" t="s">
        <v>1045</v>
      </c>
      <c r="M74" s="4">
        <v>3</v>
      </c>
      <c r="N74" s="4" t="s">
        <v>1332</v>
      </c>
      <c r="O74" s="4" t="s">
        <v>1108</v>
      </c>
    </row>
    <row r="75" spans="1:15" ht="220.8" customHeight="1">
      <c r="A75" s="4" t="s">
        <v>997</v>
      </c>
      <c r="B75" s="4" t="s">
        <v>945</v>
      </c>
      <c r="C75" s="4" t="s">
        <v>1333</v>
      </c>
      <c r="D75" s="4" t="s">
        <v>1330</v>
      </c>
      <c r="E75" s="4" t="s">
        <v>1334</v>
      </c>
      <c r="F75" s="4">
        <v>4</v>
      </c>
      <c r="G75" s="4" t="s">
        <v>1106</v>
      </c>
      <c r="H75" s="4" t="s">
        <v>1058</v>
      </c>
      <c r="I75" s="4" t="s">
        <v>1028</v>
      </c>
      <c r="J75" s="4" t="s">
        <v>1029</v>
      </c>
      <c r="K75" s="4" t="s">
        <v>1059</v>
      </c>
      <c r="L75" s="4" t="s">
        <v>1045</v>
      </c>
      <c r="M75" s="4">
        <v>3</v>
      </c>
      <c r="N75" s="4" t="s">
        <v>1335</v>
      </c>
      <c r="O75" s="4" t="s">
        <v>1108</v>
      </c>
    </row>
    <row r="76" spans="1:15" ht="124.2" customHeight="1">
      <c r="A76" s="4" t="s">
        <v>1010</v>
      </c>
      <c r="B76" s="4" t="s">
        <v>945</v>
      </c>
      <c r="C76" s="4" t="s">
        <v>1336</v>
      </c>
      <c r="D76" s="4" t="s">
        <v>1337</v>
      </c>
      <c r="E76" s="4" t="s">
        <v>1338</v>
      </c>
      <c r="F76" s="4">
        <v>4</v>
      </c>
      <c r="G76" s="4" t="s">
        <v>1106</v>
      </c>
      <c r="H76" s="4" t="s">
        <v>1058</v>
      </c>
      <c r="I76" s="4" t="s">
        <v>1028</v>
      </c>
      <c r="J76" s="4" t="s">
        <v>1029</v>
      </c>
      <c r="K76" s="4" t="s">
        <v>1059</v>
      </c>
      <c r="L76" s="4" t="s">
        <v>1045</v>
      </c>
      <c r="M76" s="4">
        <v>3</v>
      </c>
      <c r="N76" s="4" t="s">
        <v>1339</v>
      </c>
      <c r="O76" s="4" t="s">
        <v>1108</v>
      </c>
    </row>
  </sheetData>
  <conditionalFormatting sqref="L2:L76">
    <cfRule type="expression" dxfId="6" priority="1">
      <formula>L2="Done"</formula>
    </cfRule>
    <cfRule type="expression" dxfId="5" priority="2">
      <formula>L2="Blocked"</formula>
    </cfRule>
    <cfRule type="expression" dxfId="4" priority="3">
      <formula>L2="In Progress"</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1"/>
  <sheetViews>
    <sheetView tabSelected="1" topLeftCell="I15" zoomScale="70" workbookViewId="0">
      <selection activeCell="K18" sqref="K18"/>
    </sheetView>
  </sheetViews>
  <sheetFormatPr defaultRowHeight="13.8"/>
  <cols>
    <col min="1" max="1" width="17" customWidth="1"/>
    <col min="2" max="2" width="15" customWidth="1"/>
    <col min="3" max="3" width="12" customWidth="1"/>
    <col min="4" max="4" width="70" customWidth="1"/>
    <col min="5" max="6" width="16" customWidth="1"/>
    <col min="7" max="7" width="30" customWidth="1"/>
    <col min="8" max="8" width="14" customWidth="1"/>
    <col min="9" max="10" width="16" customWidth="1"/>
    <col min="11" max="11" width="255.3984375" customWidth="1"/>
  </cols>
  <sheetData>
    <row r="1" spans="1:11" ht="24" customHeight="1">
      <c r="A1" s="1" t="s">
        <v>0</v>
      </c>
      <c r="B1" s="2" t="s">
        <v>1</v>
      </c>
      <c r="C1" s="2" t="s">
        <v>2</v>
      </c>
      <c r="D1" s="2" t="s">
        <v>3</v>
      </c>
      <c r="E1" s="2" t="s">
        <v>4</v>
      </c>
      <c r="F1" s="2" t="s">
        <v>5</v>
      </c>
      <c r="G1" s="2" t="s">
        <v>6</v>
      </c>
      <c r="H1" s="2" t="s">
        <v>7</v>
      </c>
      <c r="I1" s="2" t="s">
        <v>8</v>
      </c>
      <c r="J1" s="2" t="s">
        <v>9</v>
      </c>
      <c r="K1" s="2" t="s">
        <v>10</v>
      </c>
    </row>
    <row r="2" spans="1:11" ht="27.6" customHeight="1">
      <c r="A2" s="3" t="s">
        <v>11</v>
      </c>
      <c r="B2" s="3" t="s">
        <v>12</v>
      </c>
      <c r="C2" s="3" t="s">
        <v>13</v>
      </c>
      <c r="D2" s="3" t="s">
        <v>14</v>
      </c>
      <c r="E2" s="3"/>
      <c r="F2" s="3" t="s">
        <v>15</v>
      </c>
      <c r="G2" s="3"/>
      <c r="H2" s="3"/>
      <c r="I2" s="3" t="s">
        <v>16</v>
      </c>
      <c r="J2" s="3" t="s">
        <v>17</v>
      </c>
      <c r="K2" s="3" t="s">
        <v>18</v>
      </c>
    </row>
    <row r="3" spans="1:11" ht="27.6" customHeight="1">
      <c r="A3" s="3" t="s">
        <v>19</v>
      </c>
      <c r="B3" s="3" t="s">
        <v>12</v>
      </c>
      <c r="C3" s="3" t="s">
        <v>13</v>
      </c>
      <c r="D3" s="3" t="s">
        <v>20</v>
      </c>
      <c r="E3" s="3"/>
      <c r="F3" s="3" t="s">
        <v>15</v>
      </c>
      <c r="G3" s="3"/>
      <c r="H3" s="3"/>
      <c r="I3" s="3" t="s">
        <v>16</v>
      </c>
      <c r="J3" s="3" t="s">
        <v>17</v>
      </c>
      <c r="K3" s="3" t="s">
        <v>21</v>
      </c>
    </row>
    <row r="4" spans="1:11" ht="27.6" customHeight="1">
      <c r="A4" s="3" t="s">
        <v>22</v>
      </c>
      <c r="B4" s="3" t="s">
        <v>12</v>
      </c>
      <c r="C4" s="3" t="s">
        <v>13</v>
      </c>
      <c r="D4" s="3" t="s">
        <v>23</v>
      </c>
      <c r="E4" s="3"/>
      <c r="F4" s="3" t="s">
        <v>15</v>
      </c>
      <c r="G4" s="3"/>
      <c r="H4" s="3"/>
      <c r="I4" s="3" t="s">
        <v>16</v>
      </c>
      <c r="J4" s="3" t="s">
        <v>17</v>
      </c>
      <c r="K4" s="3" t="s">
        <v>24</v>
      </c>
    </row>
    <row r="5" spans="1:11" ht="27.6" customHeight="1">
      <c r="A5" s="3" t="s">
        <v>25</v>
      </c>
      <c r="B5" s="3" t="s">
        <v>12</v>
      </c>
      <c r="C5" s="3" t="s">
        <v>13</v>
      </c>
      <c r="D5" s="3" t="s">
        <v>26</v>
      </c>
      <c r="E5" s="3"/>
      <c r="F5" s="3" t="s">
        <v>15</v>
      </c>
      <c r="G5" s="3"/>
      <c r="H5" s="3"/>
      <c r="I5" s="3" t="s">
        <v>16</v>
      </c>
      <c r="J5" s="3" t="s">
        <v>17</v>
      </c>
      <c r="K5" s="3" t="s">
        <v>27</v>
      </c>
    </row>
    <row r="6" spans="1:11" ht="27.6" customHeight="1">
      <c r="A6" s="3" t="s">
        <v>28</v>
      </c>
      <c r="B6" s="3" t="s">
        <v>29</v>
      </c>
      <c r="C6" s="3" t="s">
        <v>13</v>
      </c>
      <c r="D6" s="3" t="s">
        <v>30</v>
      </c>
      <c r="E6" s="3"/>
      <c r="F6" s="3" t="s">
        <v>15</v>
      </c>
      <c r="G6" s="3"/>
      <c r="H6" s="3"/>
      <c r="I6" s="3" t="s">
        <v>16</v>
      </c>
      <c r="J6" s="3" t="s">
        <v>17</v>
      </c>
      <c r="K6" s="3" t="s">
        <v>31</v>
      </c>
    </row>
    <row r="7" spans="1:11" ht="41.4" customHeight="1">
      <c r="A7" s="3" t="s">
        <v>32</v>
      </c>
      <c r="B7" s="3" t="s">
        <v>29</v>
      </c>
      <c r="C7" s="3" t="s">
        <v>13</v>
      </c>
      <c r="D7" s="3" t="s">
        <v>33</v>
      </c>
      <c r="E7" s="3"/>
      <c r="F7" s="3" t="s">
        <v>15</v>
      </c>
      <c r="G7" s="3"/>
      <c r="H7" s="3"/>
      <c r="I7" s="3" t="s">
        <v>16</v>
      </c>
      <c r="J7" s="3" t="s">
        <v>17</v>
      </c>
      <c r="K7" s="3" t="s">
        <v>34</v>
      </c>
    </row>
    <row r="8" spans="1:11" ht="27.6" customHeight="1">
      <c r="A8" s="3" t="s">
        <v>35</v>
      </c>
      <c r="B8" s="3" t="s">
        <v>29</v>
      </c>
      <c r="C8" s="3" t="s">
        <v>13</v>
      </c>
      <c r="D8" s="3" t="s">
        <v>36</v>
      </c>
      <c r="E8" s="3"/>
      <c r="F8" s="3" t="s">
        <v>15</v>
      </c>
      <c r="G8" s="3"/>
      <c r="H8" s="3"/>
      <c r="I8" s="3" t="s">
        <v>16</v>
      </c>
      <c r="J8" s="3" t="s">
        <v>17</v>
      </c>
      <c r="K8" s="3" t="s">
        <v>37</v>
      </c>
    </row>
    <row r="9" spans="1:11" ht="27.6" customHeight="1">
      <c r="A9" s="3" t="s">
        <v>38</v>
      </c>
      <c r="B9" s="3" t="s">
        <v>29</v>
      </c>
      <c r="C9" s="3" t="s">
        <v>13</v>
      </c>
      <c r="D9" s="3" t="s">
        <v>39</v>
      </c>
      <c r="E9" s="3"/>
      <c r="F9" s="3" t="s">
        <v>15</v>
      </c>
      <c r="G9" s="3"/>
      <c r="H9" s="3"/>
      <c r="I9" s="3" t="s">
        <v>16</v>
      </c>
      <c r="J9" s="3" t="s">
        <v>17</v>
      </c>
      <c r="K9" s="3" t="s">
        <v>40</v>
      </c>
    </row>
    <row r="10" spans="1:11" ht="27.6" customHeight="1">
      <c r="A10" s="3" t="s">
        <v>41</v>
      </c>
      <c r="B10" s="3" t="s">
        <v>42</v>
      </c>
      <c r="C10" s="3" t="s">
        <v>13</v>
      </c>
      <c r="D10" s="3" t="s">
        <v>43</v>
      </c>
      <c r="E10" s="3"/>
      <c r="F10" s="3" t="s">
        <v>15</v>
      </c>
      <c r="G10" s="3"/>
      <c r="H10" s="3"/>
      <c r="I10" s="3" t="s">
        <v>16</v>
      </c>
      <c r="J10" s="3" t="s">
        <v>17</v>
      </c>
      <c r="K10" s="3" t="s">
        <v>44</v>
      </c>
    </row>
    <row r="11" spans="1:11" ht="27.6" customHeight="1">
      <c r="A11" s="3" t="s">
        <v>45</v>
      </c>
      <c r="B11" s="3" t="s">
        <v>42</v>
      </c>
      <c r="C11" s="3" t="s">
        <v>13</v>
      </c>
      <c r="D11" s="3" t="s">
        <v>46</v>
      </c>
      <c r="E11" s="3"/>
      <c r="F11" s="3" t="s">
        <v>15</v>
      </c>
      <c r="G11" s="3"/>
      <c r="H11" s="3"/>
      <c r="I11" s="3" t="s">
        <v>16</v>
      </c>
      <c r="J11" s="3" t="s">
        <v>17</v>
      </c>
      <c r="K11" s="3" t="s">
        <v>47</v>
      </c>
    </row>
    <row r="12" spans="1:11" ht="27.6" customHeight="1">
      <c r="A12" s="3" t="s">
        <v>48</v>
      </c>
      <c r="B12" s="3" t="s">
        <v>42</v>
      </c>
      <c r="C12" s="3" t="s">
        <v>13</v>
      </c>
      <c r="D12" s="3" t="s">
        <v>49</v>
      </c>
      <c r="E12" s="3"/>
      <c r="F12" s="3" t="s">
        <v>15</v>
      </c>
      <c r="G12" s="3"/>
      <c r="H12" s="3"/>
      <c r="I12" s="3" t="s">
        <v>16</v>
      </c>
      <c r="J12" s="3" t="s">
        <v>17</v>
      </c>
      <c r="K12" s="3" t="s">
        <v>50</v>
      </c>
    </row>
    <row r="13" spans="1:11" ht="27.6" customHeight="1">
      <c r="A13" s="3" t="s">
        <v>51</v>
      </c>
      <c r="B13" s="3" t="s">
        <v>42</v>
      </c>
      <c r="C13" s="3" t="s">
        <v>13</v>
      </c>
      <c r="D13" s="3" t="s">
        <v>52</v>
      </c>
      <c r="E13" s="3"/>
      <c r="F13" s="3" t="s">
        <v>15</v>
      </c>
      <c r="G13" s="3"/>
      <c r="H13" s="3"/>
      <c r="I13" s="3" t="s">
        <v>16</v>
      </c>
      <c r="J13" s="3" t="s">
        <v>17</v>
      </c>
      <c r="K13" s="3" t="s">
        <v>53</v>
      </c>
    </row>
    <row r="14" spans="1:11" ht="27.6" customHeight="1">
      <c r="A14" s="3" t="s">
        <v>54</v>
      </c>
      <c r="B14" s="3" t="s">
        <v>55</v>
      </c>
      <c r="C14" s="3" t="s">
        <v>13</v>
      </c>
      <c r="D14" s="3" t="s">
        <v>56</v>
      </c>
      <c r="E14" s="3"/>
      <c r="F14" s="3" t="s">
        <v>15</v>
      </c>
      <c r="G14" s="3"/>
      <c r="H14" s="3"/>
      <c r="I14" s="3" t="s">
        <v>16</v>
      </c>
      <c r="J14" s="3" t="s">
        <v>17</v>
      </c>
      <c r="K14" s="3" t="s">
        <v>57</v>
      </c>
    </row>
    <row r="15" spans="1:11" ht="27.6" customHeight="1">
      <c r="A15" s="3" t="s">
        <v>58</v>
      </c>
      <c r="B15" s="3" t="s">
        <v>55</v>
      </c>
      <c r="C15" s="3" t="s">
        <v>13</v>
      </c>
      <c r="D15" s="3" t="s">
        <v>59</v>
      </c>
      <c r="E15" s="3"/>
      <c r="F15" s="3" t="s">
        <v>15</v>
      </c>
      <c r="G15" s="3"/>
      <c r="H15" s="3"/>
      <c r="I15" s="3" t="s">
        <v>16</v>
      </c>
      <c r="J15" s="3" t="s">
        <v>17</v>
      </c>
      <c r="K15" s="3" t="s">
        <v>60</v>
      </c>
    </row>
    <row r="16" spans="1:11" ht="27.6" customHeight="1">
      <c r="A16" s="3" t="s">
        <v>61</v>
      </c>
      <c r="B16" s="3" t="s">
        <v>55</v>
      </c>
      <c r="C16" s="3" t="s">
        <v>13</v>
      </c>
      <c r="D16" s="3" t="s">
        <v>62</v>
      </c>
      <c r="E16" s="3"/>
      <c r="F16" s="3" t="s">
        <v>15</v>
      </c>
      <c r="G16" s="3"/>
      <c r="H16" s="3"/>
      <c r="I16" s="3" t="s">
        <v>16</v>
      </c>
      <c r="J16" s="3" t="s">
        <v>17</v>
      </c>
      <c r="K16" s="3" t="s">
        <v>63</v>
      </c>
    </row>
    <row r="17" spans="1:11" ht="46.2" customHeight="1">
      <c r="A17" s="3" t="s">
        <v>64</v>
      </c>
      <c r="B17" s="3" t="s">
        <v>55</v>
      </c>
      <c r="C17" s="3" t="s">
        <v>13</v>
      </c>
      <c r="D17" s="3" t="s">
        <v>65</v>
      </c>
      <c r="E17" s="3"/>
      <c r="F17" s="3" t="s">
        <v>15</v>
      </c>
      <c r="G17" s="3"/>
      <c r="H17" s="3"/>
      <c r="I17" s="3" t="s">
        <v>16</v>
      </c>
      <c r="J17" s="3" t="s">
        <v>17</v>
      </c>
      <c r="K17" s="3" t="s">
        <v>66</v>
      </c>
    </row>
    <row r="18" spans="1:11" ht="39.6" customHeight="1">
      <c r="A18" s="3" t="s">
        <v>67</v>
      </c>
      <c r="B18" s="3" t="s">
        <v>68</v>
      </c>
      <c r="C18" s="3" t="s">
        <v>13</v>
      </c>
      <c r="D18" s="3" t="s">
        <v>69</v>
      </c>
      <c r="E18" s="3"/>
      <c r="F18" s="3" t="s">
        <v>15</v>
      </c>
      <c r="G18" s="3"/>
      <c r="H18" s="3" t="s">
        <v>70</v>
      </c>
      <c r="I18" s="3" t="s">
        <v>16</v>
      </c>
      <c r="J18" s="3" t="s">
        <v>17</v>
      </c>
      <c r="K18" s="3" t="s">
        <v>71</v>
      </c>
    </row>
    <row r="19" spans="1:11" ht="27.6" customHeight="1">
      <c r="A19" s="3" t="s">
        <v>72</v>
      </c>
      <c r="B19" s="3" t="s">
        <v>68</v>
      </c>
      <c r="C19" s="3" t="s">
        <v>13</v>
      </c>
      <c r="D19" s="3" t="s">
        <v>73</v>
      </c>
      <c r="E19" s="3"/>
      <c r="F19" s="3" t="s">
        <v>15</v>
      </c>
      <c r="G19" s="3"/>
      <c r="H19" s="3"/>
      <c r="I19" s="3" t="s">
        <v>16</v>
      </c>
      <c r="J19" s="3" t="s">
        <v>17</v>
      </c>
      <c r="K19" s="3" t="s">
        <v>74</v>
      </c>
    </row>
    <row r="20" spans="1:11" ht="27.6" customHeight="1">
      <c r="A20" s="3" t="s">
        <v>75</v>
      </c>
      <c r="B20" s="3" t="s">
        <v>68</v>
      </c>
      <c r="C20" s="3" t="s">
        <v>13</v>
      </c>
      <c r="D20" s="3" t="s">
        <v>76</v>
      </c>
      <c r="E20" s="3"/>
      <c r="F20" s="3" t="s">
        <v>15</v>
      </c>
      <c r="G20" s="3"/>
      <c r="H20" s="3"/>
      <c r="I20" s="3" t="s">
        <v>16</v>
      </c>
      <c r="J20" s="3" t="s">
        <v>17</v>
      </c>
      <c r="K20" s="3" t="s">
        <v>77</v>
      </c>
    </row>
    <row r="21" spans="1:11" ht="27.6" customHeight="1">
      <c r="A21" s="3" t="s">
        <v>78</v>
      </c>
      <c r="B21" s="3" t="s">
        <v>68</v>
      </c>
      <c r="C21" s="3" t="s">
        <v>13</v>
      </c>
      <c r="D21" s="3" t="s">
        <v>79</v>
      </c>
      <c r="E21" s="3"/>
      <c r="F21" s="3" t="s">
        <v>15</v>
      </c>
      <c r="G21" s="3"/>
      <c r="H21" s="3"/>
      <c r="I21" s="3" t="s">
        <v>16</v>
      </c>
      <c r="J21" s="3" t="s">
        <v>17</v>
      </c>
      <c r="K21" s="3" t="s">
        <v>80</v>
      </c>
    </row>
    <row r="22" spans="1:11" ht="27.6" customHeight="1">
      <c r="A22" s="3" t="s">
        <v>81</v>
      </c>
      <c r="B22" s="3" t="s">
        <v>82</v>
      </c>
      <c r="C22" s="3" t="s">
        <v>13</v>
      </c>
      <c r="D22" s="3" t="s">
        <v>83</v>
      </c>
      <c r="E22" s="3"/>
      <c r="F22" s="3" t="s">
        <v>15</v>
      </c>
      <c r="G22" s="3"/>
      <c r="H22" s="3"/>
      <c r="I22" s="3" t="s">
        <v>16</v>
      </c>
      <c r="J22" s="3" t="s">
        <v>17</v>
      </c>
      <c r="K22" s="3" t="s">
        <v>84</v>
      </c>
    </row>
    <row r="23" spans="1:11" ht="27.6" customHeight="1">
      <c r="A23" s="3" t="s">
        <v>85</v>
      </c>
      <c r="B23" s="3" t="s">
        <v>82</v>
      </c>
      <c r="C23" s="3" t="s">
        <v>13</v>
      </c>
      <c r="D23" s="3" t="s">
        <v>86</v>
      </c>
      <c r="E23" s="3"/>
      <c r="F23" s="3" t="s">
        <v>15</v>
      </c>
      <c r="G23" s="3"/>
      <c r="H23" s="3"/>
      <c r="I23" s="3" t="s">
        <v>16</v>
      </c>
      <c r="J23" s="3" t="s">
        <v>17</v>
      </c>
      <c r="K23" s="3" t="s">
        <v>87</v>
      </c>
    </row>
    <row r="24" spans="1:11" ht="27.6" customHeight="1">
      <c r="A24" s="3" t="s">
        <v>88</v>
      </c>
      <c r="B24" s="3" t="s">
        <v>82</v>
      </c>
      <c r="C24" s="3" t="s">
        <v>13</v>
      </c>
      <c r="D24" s="3" t="s">
        <v>89</v>
      </c>
      <c r="E24" s="3"/>
      <c r="F24" s="3" t="s">
        <v>15</v>
      </c>
      <c r="G24" s="3"/>
      <c r="H24" s="3"/>
      <c r="I24" s="3" t="s">
        <v>16</v>
      </c>
      <c r="J24" s="3" t="s">
        <v>17</v>
      </c>
      <c r="K24" s="3" t="s">
        <v>90</v>
      </c>
    </row>
    <row r="25" spans="1:11" ht="27.6" customHeight="1">
      <c r="A25" s="3" t="s">
        <v>91</v>
      </c>
      <c r="B25" s="3" t="s">
        <v>82</v>
      </c>
      <c r="C25" s="3" t="s">
        <v>13</v>
      </c>
      <c r="D25" s="3" t="s">
        <v>92</v>
      </c>
      <c r="E25" s="3"/>
      <c r="F25" s="3" t="s">
        <v>15</v>
      </c>
      <c r="G25" s="3"/>
      <c r="H25" s="3"/>
      <c r="I25" s="3" t="s">
        <v>16</v>
      </c>
      <c r="J25" s="3" t="s">
        <v>17</v>
      </c>
      <c r="K25" s="3" t="s">
        <v>93</v>
      </c>
    </row>
    <row r="26" spans="1:11" ht="27.6" customHeight="1">
      <c r="A26" s="3" t="s">
        <v>94</v>
      </c>
      <c r="B26" s="3" t="s">
        <v>95</v>
      </c>
      <c r="C26" s="3" t="s">
        <v>13</v>
      </c>
      <c r="D26" s="3" t="s">
        <v>96</v>
      </c>
      <c r="E26" s="3"/>
      <c r="F26" s="3" t="s">
        <v>15</v>
      </c>
      <c r="G26" s="3"/>
      <c r="H26" s="3"/>
      <c r="I26" s="3" t="s">
        <v>16</v>
      </c>
      <c r="J26" s="3" t="s">
        <v>17</v>
      </c>
      <c r="K26" s="3" t="s">
        <v>97</v>
      </c>
    </row>
    <row r="27" spans="1:11" ht="27.6" customHeight="1">
      <c r="A27" s="3" t="s">
        <v>98</v>
      </c>
      <c r="B27" s="3" t="s">
        <v>95</v>
      </c>
      <c r="C27" s="3" t="s">
        <v>13</v>
      </c>
      <c r="D27" s="3" t="s">
        <v>99</v>
      </c>
      <c r="E27" s="3"/>
      <c r="F27" s="3" t="s">
        <v>15</v>
      </c>
      <c r="G27" s="3"/>
      <c r="H27" s="3"/>
      <c r="I27" s="3" t="s">
        <v>16</v>
      </c>
      <c r="J27" s="3" t="s">
        <v>17</v>
      </c>
      <c r="K27" s="3" t="s">
        <v>100</v>
      </c>
    </row>
    <row r="28" spans="1:11" ht="27.6" customHeight="1">
      <c r="A28" s="3" t="s">
        <v>101</v>
      </c>
      <c r="B28" s="3" t="s">
        <v>95</v>
      </c>
      <c r="C28" s="3" t="s">
        <v>13</v>
      </c>
      <c r="D28" s="3" t="s">
        <v>102</v>
      </c>
      <c r="E28" s="3"/>
      <c r="F28" s="3" t="s">
        <v>15</v>
      </c>
      <c r="G28" s="3"/>
      <c r="H28" s="3"/>
      <c r="I28" s="3" t="s">
        <v>16</v>
      </c>
      <c r="J28" s="3" t="s">
        <v>17</v>
      </c>
      <c r="K28" s="3" t="s">
        <v>103</v>
      </c>
    </row>
    <row r="29" spans="1:11" ht="55.2" customHeight="1">
      <c r="A29" s="3" t="s">
        <v>104</v>
      </c>
      <c r="B29" s="3" t="s">
        <v>95</v>
      </c>
      <c r="C29" s="3" t="s">
        <v>13</v>
      </c>
      <c r="D29" s="3" t="s">
        <v>105</v>
      </c>
      <c r="E29" s="3"/>
      <c r="F29" s="3" t="s">
        <v>15</v>
      </c>
      <c r="G29" s="3"/>
      <c r="H29" s="3"/>
      <c r="I29" s="3" t="s">
        <v>16</v>
      </c>
      <c r="J29" s="3" t="s">
        <v>17</v>
      </c>
      <c r="K29" s="3" t="s">
        <v>106</v>
      </c>
    </row>
    <row r="30" spans="1:11" ht="27.6" customHeight="1">
      <c r="A30" s="3" t="s">
        <v>107</v>
      </c>
      <c r="B30" s="3" t="s">
        <v>108</v>
      </c>
      <c r="C30" s="3" t="s">
        <v>109</v>
      </c>
      <c r="D30" s="3" t="s">
        <v>110</v>
      </c>
      <c r="E30" s="3"/>
      <c r="F30" s="3" t="s">
        <v>15</v>
      </c>
      <c r="G30" s="3"/>
      <c r="H30" s="3"/>
      <c r="I30" s="3" t="s">
        <v>16</v>
      </c>
      <c r="J30" s="3" t="s">
        <v>17</v>
      </c>
      <c r="K30" s="3" t="s">
        <v>111</v>
      </c>
    </row>
    <row r="31" spans="1:11" ht="27.6" customHeight="1">
      <c r="A31" s="3" t="s">
        <v>112</v>
      </c>
      <c r="B31" s="3" t="s">
        <v>108</v>
      </c>
      <c r="C31" s="3" t="s">
        <v>109</v>
      </c>
      <c r="D31" s="3" t="s">
        <v>113</v>
      </c>
      <c r="E31" s="3"/>
      <c r="F31" s="3" t="s">
        <v>15</v>
      </c>
      <c r="G31" s="3"/>
      <c r="H31" s="3"/>
      <c r="I31" s="3" t="s">
        <v>16</v>
      </c>
      <c r="J31" s="3" t="s">
        <v>17</v>
      </c>
      <c r="K31" s="3" t="s">
        <v>114</v>
      </c>
    </row>
    <row r="32" spans="1:11" ht="27.6" customHeight="1">
      <c r="A32" s="3" t="s">
        <v>115</v>
      </c>
      <c r="B32" s="3" t="s">
        <v>108</v>
      </c>
      <c r="C32" s="3" t="s">
        <v>109</v>
      </c>
      <c r="D32" s="3" t="s">
        <v>116</v>
      </c>
      <c r="E32" s="3"/>
      <c r="F32" s="3" t="s">
        <v>15</v>
      </c>
      <c r="G32" s="3"/>
      <c r="H32" s="3"/>
      <c r="I32" s="3" t="s">
        <v>16</v>
      </c>
      <c r="J32" s="3" t="s">
        <v>17</v>
      </c>
      <c r="K32" s="3" t="s">
        <v>117</v>
      </c>
    </row>
    <row r="33" spans="1:11" ht="27.6" customHeight="1">
      <c r="A33" s="3" t="s">
        <v>118</v>
      </c>
      <c r="B33" s="3" t="s">
        <v>108</v>
      </c>
      <c r="C33" s="3" t="s">
        <v>109</v>
      </c>
      <c r="D33" s="3" t="s">
        <v>119</v>
      </c>
      <c r="E33" s="3"/>
      <c r="F33" s="3" t="s">
        <v>15</v>
      </c>
      <c r="G33" s="3"/>
      <c r="H33" s="3"/>
      <c r="I33" s="3" t="s">
        <v>16</v>
      </c>
      <c r="J33" s="3" t="s">
        <v>17</v>
      </c>
      <c r="K33" s="3" t="s">
        <v>120</v>
      </c>
    </row>
    <row r="34" spans="1:11" ht="27.6" customHeight="1">
      <c r="A34" s="3" t="s">
        <v>121</v>
      </c>
      <c r="B34" s="3" t="s">
        <v>122</v>
      </c>
      <c r="C34" s="3" t="s">
        <v>109</v>
      </c>
      <c r="D34" s="3" t="s">
        <v>123</v>
      </c>
      <c r="E34" s="3"/>
      <c r="F34" s="3" t="s">
        <v>15</v>
      </c>
      <c r="G34" s="3"/>
      <c r="H34" s="3" t="s">
        <v>124</v>
      </c>
      <c r="I34" s="3" t="s">
        <v>16</v>
      </c>
      <c r="J34" s="3" t="s">
        <v>17</v>
      </c>
      <c r="K34" s="3" t="s">
        <v>125</v>
      </c>
    </row>
    <row r="35" spans="1:11" ht="27.6" customHeight="1">
      <c r="A35" s="3" t="s">
        <v>126</v>
      </c>
      <c r="B35" s="3" t="s">
        <v>122</v>
      </c>
      <c r="C35" s="3" t="s">
        <v>109</v>
      </c>
      <c r="D35" s="3" t="s">
        <v>127</v>
      </c>
      <c r="E35" s="3"/>
      <c r="F35" s="3" t="s">
        <v>15</v>
      </c>
      <c r="G35" s="3"/>
      <c r="H35" s="3"/>
      <c r="I35" s="3" t="s">
        <v>16</v>
      </c>
      <c r="J35" s="3" t="s">
        <v>17</v>
      </c>
      <c r="K35" s="3" t="s">
        <v>128</v>
      </c>
    </row>
    <row r="36" spans="1:11" ht="27.6" customHeight="1">
      <c r="A36" s="3" t="s">
        <v>129</v>
      </c>
      <c r="B36" s="3" t="s">
        <v>122</v>
      </c>
      <c r="C36" s="3" t="s">
        <v>109</v>
      </c>
      <c r="D36" s="3" t="s">
        <v>130</v>
      </c>
      <c r="E36" s="3"/>
      <c r="F36" s="3" t="s">
        <v>15</v>
      </c>
      <c r="G36" s="3"/>
      <c r="H36" s="3"/>
      <c r="I36" s="3" t="s">
        <v>16</v>
      </c>
      <c r="J36" s="3" t="s">
        <v>17</v>
      </c>
      <c r="K36" s="3" t="s">
        <v>131</v>
      </c>
    </row>
    <row r="37" spans="1:11" ht="27.6" customHeight="1">
      <c r="A37" s="3" t="s">
        <v>132</v>
      </c>
      <c r="B37" s="3" t="s">
        <v>122</v>
      </c>
      <c r="C37" s="3" t="s">
        <v>109</v>
      </c>
      <c r="D37" s="3" t="s">
        <v>133</v>
      </c>
      <c r="E37" s="3"/>
      <c r="F37" s="3" t="s">
        <v>15</v>
      </c>
      <c r="G37" s="3"/>
      <c r="H37" s="3"/>
      <c r="I37" s="3" t="s">
        <v>16</v>
      </c>
      <c r="J37" s="3" t="s">
        <v>17</v>
      </c>
      <c r="K37" s="3" t="s">
        <v>134</v>
      </c>
    </row>
    <row r="38" spans="1:11" ht="27.6" customHeight="1">
      <c r="A38" s="3" t="s">
        <v>135</v>
      </c>
      <c r="B38" s="3" t="s">
        <v>136</v>
      </c>
      <c r="C38" s="3" t="s">
        <v>109</v>
      </c>
      <c r="D38" s="3" t="s">
        <v>137</v>
      </c>
      <c r="E38" s="3"/>
      <c r="F38" s="3" t="s">
        <v>15</v>
      </c>
      <c r="G38" s="3"/>
      <c r="H38" s="3"/>
      <c r="I38" s="3" t="s">
        <v>16</v>
      </c>
      <c r="J38" s="3" t="s">
        <v>17</v>
      </c>
      <c r="K38" s="3" t="s">
        <v>138</v>
      </c>
    </row>
    <row r="39" spans="1:11" ht="27.6" customHeight="1">
      <c r="A39" s="3" t="s">
        <v>139</v>
      </c>
      <c r="B39" s="3" t="s">
        <v>136</v>
      </c>
      <c r="C39" s="3" t="s">
        <v>109</v>
      </c>
      <c r="D39" s="3" t="s">
        <v>140</v>
      </c>
      <c r="E39" s="3"/>
      <c r="F39" s="3" t="s">
        <v>15</v>
      </c>
      <c r="G39" s="3"/>
      <c r="H39" s="3"/>
      <c r="I39" s="3" t="s">
        <v>16</v>
      </c>
      <c r="J39" s="3" t="s">
        <v>17</v>
      </c>
      <c r="K39" s="3" t="s">
        <v>141</v>
      </c>
    </row>
    <row r="40" spans="1:11" ht="27.6" customHeight="1">
      <c r="A40" s="3" t="s">
        <v>142</v>
      </c>
      <c r="B40" s="3" t="s">
        <v>136</v>
      </c>
      <c r="C40" s="3" t="s">
        <v>109</v>
      </c>
      <c r="D40" s="3" t="s">
        <v>143</v>
      </c>
      <c r="E40" s="3"/>
      <c r="F40" s="3" t="s">
        <v>15</v>
      </c>
      <c r="G40" s="3"/>
      <c r="H40" s="3"/>
      <c r="I40" s="3" t="s">
        <v>16</v>
      </c>
      <c r="J40" s="3" t="s">
        <v>17</v>
      </c>
      <c r="K40" s="3" t="s">
        <v>144</v>
      </c>
    </row>
    <row r="41" spans="1:11" ht="27.6" customHeight="1">
      <c r="A41" s="3" t="s">
        <v>145</v>
      </c>
      <c r="B41" s="3" t="s">
        <v>136</v>
      </c>
      <c r="C41" s="3" t="s">
        <v>109</v>
      </c>
      <c r="D41" s="3" t="s">
        <v>146</v>
      </c>
      <c r="E41" s="3"/>
      <c r="F41" s="3" t="s">
        <v>15</v>
      </c>
      <c r="G41" s="3"/>
      <c r="H41" s="3"/>
      <c r="I41" s="3" t="s">
        <v>16</v>
      </c>
      <c r="J41" s="3" t="s">
        <v>17</v>
      </c>
      <c r="K41" s="3" t="s">
        <v>147</v>
      </c>
    </row>
    <row r="42" spans="1:11" ht="27.6" customHeight="1">
      <c r="A42" s="3" t="s">
        <v>148</v>
      </c>
      <c r="B42" s="3" t="s">
        <v>149</v>
      </c>
      <c r="C42" s="3" t="s">
        <v>109</v>
      </c>
      <c r="D42" s="3" t="s">
        <v>150</v>
      </c>
      <c r="E42" s="3"/>
      <c r="F42" s="3" t="s">
        <v>15</v>
      </c>
      <c r="G42" s="3"/>
      <c r="H42" s="3"/>
      <c r="I42" s="3" t="s">
        <v>16</v>
      </c>
      <c r="J42" s="3" t="s">
        <v>17</v>
      </c>
      <c r="K42" s="3" t="s">
        <v>151</v>
      </c>
    </row>
    <row r="43" spans="1:11" ht="27.6" customHeight="1">
      <c r="A43" s="3" t="s">
        <v>152</v>
      </c>
      <c r="B43" s="3" t="s">
        <v>149</v>
      </c>
      <c r="C43" s="3" t="s">
        <v>109</v>
      </c>
      <c r="D43" s="3" t="s">
        <v>153</v>
      </c>
      <c r="E43" s="3"/>
      <c r="F43" s="3" t="s">
        <v>15</v>
      </c>
      <c r="G43" s="3"/>
      <c r="H43" s="3"/>
      <c r="I43" s="3" t="s">
        <v>16</v>
      </c>
      <c r="J43" s="3" t="s">
        <v>17</v>
      </c>
      <c r="K43" s="3" t="s">
        <v>154</v>
      </c>
    </row>
    <row r="44" spans="1:11" ht="27.6" customHeight="1">
      <c r="A44" s="3" t="s">
        <v>155</v>
      </c>
      <c r="B44" s="3" t="s">
        <v>149</v>
      </c>
      <c r="C44" s="3" t="s">
        <v>109</v>
      </c>
      <c r="D44" s="3" t="s">
        <v>156</v>
      </c>
      <c r="E44" s="3"/>
      <c r="F44" s="3" t="s">
        <v>15</v>
      </c>
      <c r="G44" s="3"/>
      <c r="H44" s="3"/>
      <c r="I44" s="3" t="s">
        <v>16</v>
      </c>
      <c r="J44" s="3" t="s">
        <v>17</v>
      </c>
      <c r="K44" s="3" t="s">
        <v>157</v>
      </c>
    </row>
    <row r="45" spans="1:11" ht="27.6" customHeight="1">
      <c r="A45" s="3" t="s">
        <v>158</v>
      </c>
      <c r="B45" s="3" t="s">
        <v>149</v>
      </c>
      <c r="C45" s="3" t="s">
        <v>109</v>
      </c>
      <c r="D45" s="3" t="s">
        <v>159</v>
      </c>
      <c r="E45" s="3"/>
      <c r="F45" s="3" t="s">
        <v>15</v>
      </c>
      <c r="G45" s="3"/>
      <c r="H45" s="3"/>
      <c r="I45" s="3" t="s">
        <v>16</v>
      </c>
      <c r="J45" s="3" t="s">
        <v>17</v>
      </c>
      <c r="K45" s="3" t="s">
        <v>160</v>
      </c>
    </row>
    <row r="46" spans="1:11" ht="27.6" customHeight="1">
      <c r="A46" s="3" t="s">
        <v>161</v>
      </c>
      <c r="B46" s="3" t="s">
        <v>162</v>
      </c>
      <c r="C46" s="3" t="s">
        <v>109</v>
      </c>
      <c r="D46" s="3" t="s">
        <v>163</v>
      </c>
      <c r="E46" s="3"/>
      <c r="F46" s="3" t="s">
        <v>15</v>
      </c>
      <c r="G46" s="3"/>
      <c r="H46" s="3"/>
      <c r="I46" s="3" t="s">
        <v>16</v>
      </c>
      <c r="J46" s="3" t="s">
        <v>17</v>
      </c>
      <c r="K46" s="3" t="s">
        <v>164</v>
      </c>
    </row>
    <row r="47" spans="1:11" ht="27.6" customHeight="1">
      <c r="A47" s="3" t="s">
        <v>165</v>
      </c>
      <c r="B47" s="3" t="s">
        <v>162</v>
      </c>
      <c r="C47" s="3" t="s">
        <v>109</v>
      </c>
      <c r="D47" s="3" t="s">
        <v>166</v>
      </c>
      <c r="E47" s="3"/>
      <c r="F47" s="3" t="s">
        <v>15</v>
      </c>
      <c r="G47" s="3"/>
      <c r="H47" s="3"/>
      <c r="I47" s="3" t="s">
        <v>16</v>
      </c>
      <c r="J47" s="3" t="s">
        <v>17</v>
      </c>
      <c r="K47" s="3" t="s">
        <v>167</v>
      </c>
    </row>
    <row r="48" spans="1:11" ht="27.6" customHeight="1">
      <c r="A48" s="3" t="s">
        <v>168</v>
      </c>
      <c r="B48" s="3" t="s">
        <v>162</v>
      </c>
      <c r="C48" s="3" t="s">
        <v>109</v>
      </c>
      <c r="D48" s="3" t="s">
        <v>169</v>
      </c>
      <c r="E48" s="3"/>
      <c r="F48" s="3" t="s">
        <v>15</v>
      </c>
      <c r="G48" s="3"/>
      <c r="H48" s="3"/>
      <c r="I48" s="3" t="s">
        <v>16</v>
      </c>
      <c r="J48" s="3" t="s">
        <v>17</v>
      </c>
      <c r="K48" s="3" t="s">
        <v>170</v>
      </c>
    </row>
    <row r="49" spans="1:11" ht="27.6" customHeight="1">
      <c r="A49" s="3" t="s">
        <v>171</v>
      </c>
      <c r="B49" s="3" t="s">
        <v>162</v>
      </c>
      <c r="C49" s="3" t="s">
        <v>109</v>
      </c>
      <c r="D49" s="3" t="s">
        <v>172</v>
      </c>
      <c r="E49" s="3"/>
      <c r="F49" s="3" t="s">
        <v>15</v>
      </c>
      <c r="G49" s="3"/>
      <c r="H49" s="3"/>
      <c r="I49" s="3" t="s">
        <v>16</v>
      </c>
      <c r="J49" s="3" t="s">
        <v>17</v>
      </c>
      <c r="K49" s="3" t="s">
        <v>173</v>
      </c>
    </row>
    <row r="50" spans="1:11" ht="27.6" customHeight="1">
      <c r="A50" s="3" t="s">
        <v>174</v>
      </c>
      <c r="B50" s="3" t="s">
        <v>175</v>
      </c>
      <c r="C50" s="3" t="s">
        <v>109</v>
      </c>
      <c r="D50" s="3" t="s">
        <v>176</v>
      </c>
      <c r="E50" s="3"/>
      <c r="F50" s="3" t="s">
        <v>15</v>
      </c>
      <c r="G50" s="3"/>
      <c r="H50" s="3" t="s">
        <v>177</v>
      </c>
      <c r="I50" s="3" t="s">
        <v>16</v>
      </c>
      <c r="J50" s="3" t="s">
        <v>17</v>
      </c>
      <c r="K50" s="3" t="s">
        <v>178</v>
      </c>
    </row>
    <row r="51" spans="1:11" ht="27.6" customHeight="1">
      <c r="A51" s="3" t="s">
        <v>179</v>
      </c>
      <c r="B51" s="3" t="s">
        <v>175</v>
      </c>
      <c r="C51" s="3" t="s">
        <v>109</v>
      </c>
      <c r="D51" s="3" t="s">
        <v>180</v>
      </c>
      <c r="E51" s="3"/>
      <c r="F51" s="3" t="s">
        <v>15</v>
      </c>
      <c r="G51" s="3"/>
      <c r="H51" s="3"/>
      <c r="I51" s="3" t="s">
        <v>16</v>
      </c>
      <c r="J51" s="3" t="s">
        <v>17</v>
      </c>
      <c r="K51" s="3" t="s">
        <v>181</v>
      </c>
    </row>
    <row r="52" spans="1:11" ht="27.6" customHeight="1">
      <c r="A52" s="3" t="s">
        <v>182</v>
      </c>
      <c r="B52" s="3" t="s">
        <v>175</v>
      </c>
      <c r="C52" s="3" t="s">
        <v>109</v>
      </c>
      <c r="D52" s="3" t="s">
        <v>183</v>
      </c>
      <c r="E52" s="3"/>
      <c r="F52" s="3" t="s">
        <v>15</v>
      </c>
      <c r="G52" s="3"/>
      <c r="H52" s="3"/>
      <c r="I52" s="3" t="s">
        <v>16</v>
      </c>
      <c r="J52" s="3" t="s">
        <v>17</v>
      </c>
      <c r="K52" s="3" t="s">
        <v>184</v>
      </c>
    </row>
    <row r="53" spans="1:11" ht="27.6" customHeight="1">
      <c r="A53" s="3" t="s">
        <v>185</v>
      </c>
      <c r="B53" s="3" t="s">
        <v>175</v>
      </c>
      <c r="C53" s="3" t="s">
        <v>109</v>
      </c>
      <c r="D53" s="3" t="s">
        <v>186</v>
      </c>
      <c r="E53" s="3"/>
      <c r="F53" s="3" t="s">
        <v>15</v>
      </c>
      <c r="G53" s="3"/>
      <c r="H53" s="3" t="s">
        <v>187</v>
      </c>
      <c r="I53" s="3" t="s">
        <v>16</v>
      </c>
      <c r="J53" s="3" t="s">
        <v>17</v>
      </c>
      <c r="K53" s="3" t="s">
        <v>188</v>
      </c>
    </row>
    <row r="54" spans="1:11" ht="27.6" customHeight="1">
      <c r="A54" s="3" t="s">
        <v>189</v>
      </c>
      <c r="B54" s="3" t="s">
        <v>190</v>
      </c>
      <c r="C54" s="3" t="s">
        <v>191</v>
      </c>
      <c r="D54" s="3" t="s">
        <v>192</v>
      </c>
      <c r="E54" s="3"/>
      <c r="F54" s="3" t="s">
        <v>15</v>
      </c>
      <c r="G54" s="3"/>
      <c r="H54" s="3"/>
      <c r="I54" s="3" t="s">
        <v>16</v>
      </c>
      <c r="J54" s="3" t="s">
        <v>17</v>
      </c>
      <c r="K54" s="3" t="s">
        <v>193</v>
      </c>
    </row>
    <row r="55" spans="1:11" ht="27.6" customHeight="1">
      <c r="A55" s="3" t="s">
        <v>194</v>
      </c>
      <c r="B55" s="3" t="s">
        <v>190</v>
      </c>
      <c r="C55" s="3" t="s">
        <v>191</v>
      </c>
      <c r="D55" s="3" t="s">
        <v>195</v>
      </c>
      <c r="E55" s="3"/>
      <c r="F55" s="3" t="s">
        <v>15</v>
      </c>
      <c r="G55" s="3"/>
      <c r="H55" s="3"/>
      <c r="I55" s="3" t="s">
        <v>16</v>
      </c>
      <c r="J55" s="3" t="s">
        <v>17</v>
      </c>
      <c r="K55" s="3" t="s">
        <v>196</v>
      </c>
    </row>
    <row r="56" spans="1:11" ht="27.6" customHeight="1">
      <c r="A56" s="3" t="s">
        <v>197</v>
      </c>
      <c r="B56" s="3" t="s">
        <v>190</v>
      </c>
      <c r="C56" s="3" t="s">
        <v>191</v>
      </c>
      <c r="D56" s="3" t="s">
        <v>198</v>
      </c>
      <c r="E56" s="3"/>
      <c r="F56" s="3" t="s">
        <v>15</v>
      </c>
      <c r="G56" s="3"/>
      <c r="H56" s="3"/>
      <c r="I56" s="3" t="s">
        <v>16</v>
      </c>
      <c r="J56" s="3" t="s">
        <v>17</v>
      </c>
      <c r="K56" s="3" t="s">
        <v>199</v>
      </c>
    </row>
    <row r="57" spans="1:11" ht="27.6" customHeight="1">
      <c r="A57" s="3" t="s">
        <v>200</v>
      </c>
      <c r="B57" s="3" t="s">
        <v>190</v>
      </c>
      <c r="C57" s="3" t="s">
        <v>191</v>
      </c>
      <c r="D57" s="3" t="s">
        <v>201</v>
      </c>
      <c r="E57" s="3"/>
      <c r="F57" s="3" t="s">
        <v>15</v>
      </c>
      <c r="G57" s="3"/>
      <c r="H57" s="3"/>
      <c r="I57" s="3" t="s">
        <v>16</v>
      </c>
      <c r="J57" s="3" t="s">
        <v>17</v>
      </c>
      <c r="K57" s="3" t="s">
        <v>202</v>
      </c>
    </row>
    <row r="58" spans="1:11" ht="27.6" customHeight="1">
      <c r="A58" s="3" t="s">
        <v>203</v>
      </c>
      <c r="B58" s="3" t="s">
        <v>204</v>
      </c>
      <c r="C58" s="3" t="s">
        <v>191</v>
      </c>
      <c r="D58" s="3" t="s">
        <v>205</v>
      </c>
      <c r="E58" s="3"/>
      <c r="F58" s="3" t="s">
        <v>15</v>
      </c>
      <c r="G58" s="3"/>
      <c r="H58" s="3"/>
      <c r="I58" s="3" t="s">
        <v>16</v>
      </c>
      <c r="J58" s="3" t="s">
        <v>17</v>
      </c>
      <c r="K58" s="3" t="s">
        <v>206</v>
      </c>
    </row>
    <row r="59" spans="1:11" ht="27.6" customHeight="1">
      <c r="A59" s="3" t="s">
        <v>207</v>
      </c>
      <c r="B59" s="3" t="s">
        <v>204</v>
      </c>
      <c r="C59" s="3" t="s">
        <v>191</v>
      </c>
      <c r="D59" s="3" t="s">
        <v>208</v>
      </c>
      <c r="E59" s="3"/>
      <c r="F59" s="3" t="s">
        <v>15</v>
      </c>
      <c r="G59" s="3"/>
      <c r="H59" s="3"/>
      <c r="I59" s="3" t="s">
        <v>16</v>
      </c>
      <c r="J59" s="3" t="s">
        <v>17</v>
      </c>
      <c r="K59" s="3" t="s">
        <v>209</v>
      </c>
    </row>
    <row r="60" spans="1:11" ht="27.6" customHeight="1">
      <c r="A60" s="3" t="s">
        <v>210</v>
      </c>
      <c r="B60" s="3" t="s">
        <v>204</v>
      </c>
      <c r="C60" s="3" t="s">
        <v>191</v>
      </c>
      <c r="D60" s="3" t="s">
        <v>211</v>
      </c>
      <c r="E60" s="3"/>
      <c r="F60" s="3" t="s">
        <v>15</v>
      </c>
      <c r="G60" s="3"/>
      <c r="H60" s="3"/>
      <c r="I60" s="3" t="s">
        <v>16</v>
      </c>
      <c r="J60" s="3" t="s">
        <v>17</v>
      </c>
      <c r="K60" s="3" t="s">
        <v>212</v>
      </c>
    </row>
    <row r="61" spans="1:11" ht="27.6" customHeight="1">
      <c r="A61" s="3" t="s">
        <v>213</v>
      </c>
      <c r="B61" s="3" t="s">
        <v>204</v>
      </c>
      <c r="C61" s="3" t="s">
        <v>191</v>
      </c>
      <c r="D61" s="3" t="s">
        <v>214</v>
      </c>
      <c r="E61" s="3"/>
      <c r="F61" s="3" t="s">
        <v>15</v>
      </c>
      <c r="G61" s="3"/>
      <c r="H61" s="3"/>
      <c r="I61" s="3" t="s">
        <v>16</v>
      </c>
      <c r="J61" s="3" t="s">
        <v>17</v>
      </c>
      <c r="K61" s="3" t="s">
        <v>215</v>
      </c>
    </row>
    <row r="62" spans="1:11" ht="27.6" customHeight="1">
      <c r="A62" s="3" t="s">
        <v>216</v>
      </c>
      <c r="B62" s="3" t="s">
        <v>217</v>
      </c>
      <c r="C62" s="3" t="s">
        <v>191</v>
      </c>
      <c r="D62" s="3" t="s">
        <v>218</v>
      </c>
      <c r="E62" s="3"/>
      <c r="F62" s="3" t="s">
        <v>15</v>
      </c>
      <c r="G62" s="3"/>
      <c r="H62" s="3"/>
      <c r="I62" s="3" t="s">
        <v>16</v>
      </c>
      <c r="J62" s="3" t="s">
        <v>17</v>
      </c>
      <c r="K62" s="3" t="s">
        <v>219</v>
      </c>
    </row>
    <row r="63" spans="1:11" ht="27.6" customHeight="1">
      <c r="A63" s="3" t="s">
        <v>220</v>
      </c>
      <c r="B63" s="3" t="s">
        <v>217</v>
      </c>
      <c r="C63" s="3" t="s">
        <v>191</v>
      </c>
      <c r="D63" s="3" t="s">
        <v>221</v>
      </c>
      <c r="E63" s="3"/>
      <c r="F63" s="3" t="s">
        <v>15</v>
      </c>
      <c r="G63" s="3"/>
      <c r="H63" s="3"/>
      <c r="I63" s="3" t="s">
        <v>16</v>
      </c>
      <c r="J63" s="3" t="s">
        <v>17</v>
      </c>
      <c r="K63" s="3" t="s">
        <v>222</v>
      </c>
    </row>
    <row r="64" spans="1:11" ht="27.6" customHeight="1">
      <c r="A64" s="3" t="s">
        <v>223</v>
      </c>
      <c r="B64" s="3" t="s">
        <v>217</v>
      </c>
      <c r="C64" s="3" t="s">
        <v>191</v>
      </c>
      <c r="D64" s="3" t="s">
        <v>224</v>
      </c>
      <c r="E64" s="3"/>
      <c r="F64" s="3" t="s">
        <v>15</v>
      </c>
      <c r="G64" s="3"/>
      <c r="H64" s="3"/>
      <c r="I64" s="3" t="s">
        <v>16</v>
      </c>
      <c r="J64" s="3" t="s">
        <v>17</v>
      </c>
      <c r="K64" s="3" t="s">
        <v>225</v>
      </c>
    </row>
    <row r="65" spans="1:11" ht="27.6" customHeight="1">
      <c r="A65" s="3" t="s">
        <v>226</v>
      </c>
      <c r="B65" s="3" t="s">
        <v>217</v>
      </c>
      <c r="C65" s="3" t="s">
        <v>191</v>
      </c>
      <c r="D65" s="3" t="s">
        <v>227</v>
      </c>
      <c r="E65" s="3"/>
      <c r="F65" s="3" t="s">
        <v>15</v>
      </c>
      <c r="G65" s="3"/>
      <c r="H65" s="3"/>
      <c r="I65" s="3" t="s">
        <v>16</v>
      </c>
      <c r="J65" s="3" t="s">
        <v>17</v>
      </c>
      <c r="K65" s="3" t="s">
        <v>228</v>
      </c>
    </row>
    <row r="66" spans="1:11" ht="27.6" customHeight="1">
      <c r="A66" s="3" t="s">
        <v>229</v>
      </c>
      <c r="B66" s="3" t="s">
        <v>230</v>
      </c>
      <c r="C66" s="3" t="s">
        <v>191</v>
      </c>
      <c r="D66" s="3" t="s">
        <v>231</v>
      </c>
      <c r="E66" s="3"/>
      <c r="F66" s="3" t="s">
        <v>15</v>
      </c>
      <c r="G66" s="3"/>
      <c r="H66" s="3"/>
      <c r="I66" s="3" t="s">
        <v>16</v>
      </c>
      <c r="J66" s="3" t="s">
        <v>17</v>
      </c>
      <c r="K66" s="3" t="s">
        <v>232</v>
      </c>
    </row>
    <row r="67" spans="1:11" ht="27.6" customHeight="1">
      <c r="A67" s="3" t="s">
        <v>233</v>
      </c>
      <c r="B67" s="3" t="s">
        <v>230</v>
      </c>
      <c r="C67" s="3" t="s">
        <v>191</v>
      </c>
      <c r="D67" s="3" t="s">
        <v>234</v>
      </c>
      <c r="E67" s="3"/>
      <c r="F67" s="3" t="s">
        <v>15</v>
      </c>
      <c r="G67" s="3"/>
      <c r="H67" s="3"/>
      <c r="I67" s="3" t="s">
        <v>16</v>
      </c>
      <c r="J67" s="3" t="s">
        <v>17</v>
      </c>
      <c r="K67" s="3" t="s">
        <v>235</v>
      </c>
    </row>
    <row r="68" spans="1:11" ht="27.6" customHeight="1">
      <c r="A68" s="3" t="s">
        <v>236</v>
      </c>
      <c r="B68" s="3" t="s">
        <v>230</v>
      </c>
      <c r="C68" s="3" t="s">
        <v>191</v>
      </c>
      <c r="D68" s="3" t="s">
        <v>237</v>
      </c>
      <c r="E68" s="3"/>
      <c r="F68" s="3" t="s">
        <v>15</v>
      </c>
      <c r="G68" s="3"/>
      <c r="H68" s="3"/>
      <c r="I68" s="3" t="s">
        <v>16</v>
      </c>
      <c r="J68" s="3" t="s">
        <v>17</v>
      </c>
      <c r="K68" s="3" t="s">
        <v>238</v>
      </c>
    </row>
    <row r="69" spans="1:11" ht="27.6" customHeight="1">
      <c r="A69" s="3" t="s">
        <v>239</v>
      </c>
      <c r="B69" s="3" t="s">
        <v>230</v>
      </c>
      <c r="C69" s="3" t="s">
        <v>191</v>
      </c>
      <c r="D69" s="3" t="s">
        <v>240</v>
      </c>
      <c r="E69" s="3"/>
      <c r="F69" s="3" t="s">
        <v>15</v>
      </c>
      <c r="G69" s="3"/>
      <c r="H69" s="3"/>
      <c r="I69" s="3" t="s">
        <v>16</v>
      </c>
      <c r="J69" s="3" t="s">
        <v>17</v>
      </c>
      <c r="K69" s="3" t="s">
        <v>241</v>
      </c>
    </row>
    <row r="70" spans="1:11" ht="27.6" customHeight="1">
      <c r="A70" s="3" t="s">
        <v>242</v>
      </c>
      <c r="B70" s="3" t="s">
        <v>243</v>
      </c>
      <c r="C70" s="3" t="s">
        <v>191</v>
      </c>
      <c r="D70" s="3" t="s">
        <v>244</v>
      </c>
      <c r="E70" s="3"/>
      <c r="F70" s="3" t="s">
        <v>15</v>
      </c>
      <c r="G70" s="3"/>
      <c r="H70" s="3"/>
      <c r="I70" s="3" t="s">
        <v>16</v>
      </c>
      <c r="J70" s="3" t="s">
        <v>17</v>
      </c>
      <c r="K70" s="3" t="s">
        <v>245</v>
      </c>
    </row>
    <row r="71" spans="1:11" ht="27.6" customHeight="1">
      <c r="A71" s="3" t="s">
        <v>246</v>
      </c>
      <c r="B71" s="3" t="s">
        <v>243</v>
      </c>
      <c r="C71" s="3" t="s">
        <v>191</v>
      </c>
      <c r="D71" s="3" t="s">
        <v>247</v>
      </c>
      <c r="E71" s="3"/>
      <c r="F71" s="3" t="s">
        <v>15</v>
      </c>
      <c r="G71" s="3"/>
      <c r="H71" s="3"/>
      <c r="I71" s="3" t="s">
        <v>16</v>
      </c>
      <c r="J71" s="3" t="s">
        <v>17</v>
      </c>
      <c r="K71" s="3" t="s">
        <v>248</v>
      </c>
    </row>
    <row r="72" spans="1:11" ht="27.6" customHeight="1">
      <c r="A72" s="3" t="s">
        <v>249</v>
      </c>
      <c r="B72" s="3" t="s">
        <v>243</v>
      </c>
      <c r="C72" s="3" t="s">
        <v>191</v>
      </c>
      <c r="D72" s="3" t="s">
        <v>250</v>
      </c>
      <c r="E72" s="3"/>
      <c r="F72" s="3" t="s">
        <v>15</v>
      </c>
      <c r="G72" s="3"/>
      <c r="H72" s="3"/>
      <c r="I72" s="3" t="s">
        <v>16</v>
      </c>
      <c r="J72" s="3" t="s">
        <v>17</v>
      </c>
      <c r="K72" s="3" t="s">
        <v>251</v>
      </c>
    </row>
    <row r="73" spans="1:11" ht="27.6" customHeight="1">
      <c r="A73" s="3" t="s">
        <v>252</v>
      </c>
      <c r="B73" s="3" t="s">
        <v>243</v>
      </c>
      <c r="C73" s="3" t="s">
        <v>191</v>
      </c>
      <c r="D73" s="3" t="s">
        <v>253</v>
      </c>
      <c r="E73" s="3"/>
      <c r="F73" s="3" t="s">
        <v>15</v>
      </c>
      <c r="G73" s="3"/>
      <c r="H73" s="3"/>
      <c r="I73" s="3" t="s">
        <v>16</v>
      </c>
      <c r="J73" s="3" t="s">
        <v>17</v>
      </c>
      <c r="K73" s="3" t="s">
        <v>254</v>
      </c>
    </row>
    <row r="74" spans="1:11" ht="27.6" customHeight="1">
      <c r="A74" s="3" t="s">
        <v>255</v>
      </c>
      <c r="B74" s="3" t="s">
        <v>256</v>
      </c>
      <c r="C74" s="3" t="s">
        <v>191</v>
      </c>
      <c r="D74" s="3" t="s">
        <v>257</v>
      </c>
      <c r="E74" s="3"/>
      <c r="F74" s="3" t="s">
        <v>15</v>
      </c>
      <c r="G74" s="3"/>
      <c r="H74" s="3"/>
      <c r="I74" s="3" t="s">
        <v>16</v>
      </c>
      <c r="J74" s="3" t="s">
        <v>17</v>
      </c>
      <c r="K74" s="3" t="s">
        <v>258</v>
      </c>
    </row>
    <row r="75" spans="1:11" ht="27.6" customHeight="1">
      <c r="A75" s="3" t="s">
        <v>259</v>
      </c>
      <c r="B75" s="3" t="s">
        <v>256</v>
      </c>
      <c r="C75" s="3" t="s">
        <v>191</v>
      </c>
      <c r="D75" s="3" t="s">
        <v>260</v>
      </c>
      <c r="E75" s="3"/>
      <c r="F75" s="3" t="s">
        <v>15</v>
      </c>
      <c r="G75" s="3"/>
      <c r="H75" s="3"/>
      <c r="I75" s="3" t="s">
        <v>16</v>
      </c>
      <c r="J75" s="3" t="s">
        <v>17</v>
      </c>
      <c r="K75" s="3" t="s">
        <v>261</v>
      </c>
    </row>
    <row r="76" spans="1:11" ht="27.6" customHeight="1">
      <c r="A76" s="3" t="s">
        <v>262</v>
      </c>
      <c r="B76" s="3" t="s">
        <v>256</v>
      </c>
      <c r="C76" s="3" t="s">
        <v>191</v>
      </c>
      <c r="D76" s="3" t="s">
        <v>263</v>
      </c>
      <c r="E76" s="3"/>
      <c r="F76" s="3" t="s">
        <v>15</v>
      </c>
      <c r="G76" s="3"/>
      <c r="H76" s="3"/>
      <c r="I76" s="3" t="s">
        <v>16</v>
      </c>
      <c r="J76" s="3" t="s">
        <v>17</v>
      </c>
      <c r="K76" s="3" t="s">
        <v>264</v>
      </c>
    </row>
    <row r="77" spans="1:11" ht="27.6" customHeight="1">
      <c r="A77" s="3" t="s">
        <v>265</v>
      </c>
      <c r="B77" s="3" t="s">
        <v>256</v>
      </c>
      <c r="C77" s="3" t="s">
        <v>191</v>
      </c>
      <c r="D77" s="3" t="s">
        <v>266</v>
      </c>
      <c r="E77" s="3"/>
      <c r="F77" s="3" t="s">
        <v>15</v>
      </c>
      <c r="G77" s="3"/>
      <c r="H77" s="3"/>
      <c r="I77" s="3" t="s">
        <v>16</v>
      </c>
      <c r="J77" s="3" t="s">
        <v>17</v>
      </c>
      <c r="K77" s="3" t="s">
        <v>267</v>
      </c>
    </row>
    <row r="78" spans="1:11" ht="27.6" customHeight="1">
      <c r="A78" s="3" t="s">
        <v>268</v>
      </c>
      <c r="B78" s="3" t="s">
        <v>269</v>
      </c>
      <c r="C78" s="3" t="s">
        <v>191</v>
      </c>
      <c r="D78" s="3" t="s">
        <v>270</v>
      </c>
      <c r="E78" s="3"/>
      <c r="F78" s="3" t="s">
        <v>15</v>
      </c>
      <c r="G78" s="3"/>
      <c r="H78" s="3" t="s">
        <v>271</v>
      </c>
      <c r="I78" s="3" t="s">
        <v>16</v>
      </c>
      <c r="J78" s="3" t="s">
        <v>17</v>
      </c>
      <c r="K78" s="3" t="s">
        <v>272</v>
      </c>
    </row>
    <row r="79" spans="1:11" ht="27.6" customHeight="1">
      <c r="A79" s="3" t="s">
        <v>273</v>
      </c>
      <c r="B79" s="3" t="s">
        <v>269</v>
      </c>
      <c r="C79" s="3" t="s">
        <v>191</v>
      </c>
      <c r="D79" s="3" t="s">
        <v>274</v>
      </c>
      <c r="E79" s="3"/>
      <c r="F79" s="3" t="s">
        <v>15</v>
      </c>
      <c r="G79" s="3"/>
      <c r="H79" s="3"/>
      <c r="I79" s="3" t="s">
        <v>16</v>
      </c>
      <c r="J79" s="3" t="s">
        <v>17</v>
      </c>
      <c r="K79" s="3" t="s">
        <v>275</v>
      </c>
    </row>
    <row r="80" spans="1:11" ht="27.6" customHeight="1">
      <c r="A80" s="3" t="s">
        <v>276</v>
      </c>
      <c r="B80" s="3" t="s">
        <v>269</v>
      </c>
      <c r="C80" s="3" t="s">
        <v>191</v>
      </c>
      <c r="D80" s="3" t="s">
        <v>277</v>
      </c>
      <c r="E80" s="3"/>
      <c r="F80" s="3" t="s">
        <v>15</v>
      </c>
      <c r="G80" s="3"/>
      <c r="H80" s="3" t="s">
        <v>278</v>
      </c>
      <c r="I80" s="3" t="s">
        <v>16</v>
      </c>
      <c r="J80" s="3" t="s">
        <v>17</v>
      </c>
      <c r="K80" s="3" t="s">
        <v>279</v>
      </c>
    </row>
    <row r="81" spans="1:11" ht="27.6" customHeight="1">
      <c r="A81" s="3" t="s">
        <v>280</v>
      </c>
      <c r="B81" s="3" t="s">
        <v>269</v>
      </c>
      <c r="C81" s="3" t="s">
        <v>191</v>
      </c>
      <c r="D81" s="3" t="s">
        <v>281</v>
      </c>
      <c r="E81" s="3"/>
      <c r="F81" s="3" t="s">
        <v>15</v>
      </c>
      <c r="G81" s="3"/>
      <c r="H81" s="3"/>
      <c r="I81" s="3" t="s">
        <v>16</v>
      </c>
      <c r="J81" s="3" t="s">
        <v>17</v>
      </c>
      <c r="K81" s="3" t="s">
        <v>282</v>
      </c>
    </row>
    <row r="82" spans="1:11" ht="27.6" customHeight="1">
      <c r="A82" s="3" t="s">
        <v>283</v>
      </c>
      <c r="B82" s="3" t="s">
        <v>284</v>
      </c>
      <c r="C82" s="3" t="s">
        <v>191</v>
      </c>
      <c r="D82" s="3" t="s">
        <v>285</v>
      </c>
      <c r="E82" s="3"/>
      <c r="F82" s="3" t="s">
        <v>15</v>
      </c>
      <c r="G82" s="3"/>
      <c r="H82" s="3"/>
      <c r="I82" s="3" t="s">
        <v>16</v>
      </c>
      <c r="J82" s="3" t="s">
        <v>17</v>
      </c>
      <c r="K82" s="3" t="s">
        <v>286</v>
      </c>
    </row>
    <row r="83" spans="1:11" ht="27.6" customHeight="1">
      <c r="A83" s="3" t="s">
        <v>287</v>
      </c>
      <c r="B83" s="3" t="s">
        <v>284</v>
      </c>
      <c r="C83" s="3" t="s">
        <v>191</v>
      </c>
      <c r="D83" s="3" t="s">
        <v>288</v>
      </c>
      <c r="E83" s="3"/>
      <c r="F83" s="3" t="s">
        <v>15</v>
      </c>
      <c r="G83" s="3"/>
      <c r="H83" s="3"/>
      <c r="I83" s="3" t="s">
        <v>16</v>
      </c>
      <c r="J83" s="3" t="s">
        <v>17</v>
      </c>
      <c r="K83" s="3" t="s">
        <v>289</v>
      </c>
    </row>
    <row r="84" spans="1:11" ht="27.6" customHeight="1">
      <c r="A84" s="3" t="s">
        <v>290</v>
      </c>
      <c r="B84" s="3" t="s">
        <v>284</v>
      </c>
      <c r="C84" s="3" t="s">
        <v>191</v>
      </c>
      <c r="D84" s="3" t="s">
        <v>291</v>
      </c>
      <c r="E84" s="3"/>
      <c r="F84" s="3" t="s">
        <v>15</v>
      </c>
      <c r="G84" s="3"/>
      <c r="H84" s="3" t="s">
        <v>292</v>
      </c>
      <c r="I84" s="3" t="s">
        <v>16</v>
      </c>
      <c r="J84" s="3" t="s">
        <v>17</v>
      </c>
      <c r="K84" s="3" t="s">
        <v>293</v>
      </c>
    </row>
    <row r="85" spans="1:11" ht="27.6" customHeight="1">
      <c r="A85" s="3" t="s">
        <v>294</v>
      </c>
      <c r="B85" s="3" t="s">
        <v>284</v>
      </c>
      <c r="C85" s="3" t="s">
        <v>191</v>
      </c>
      <c r="D85" s="3" t="s">
        <v>295</v>
      </c>
      <c r="E85" s="3"/>
      <c r="F85" s="3" t="s">
        <v>15</v>
      </c>
      <c r="G85" s="3"/>
      <c r="H85" s="3"/>
      <c r="I85" s="3" t="s">
        <v>16</v>
      </c>
      <c r="J85" s="3" t="s">
        <v>17</v>
      </c>
      <c r="K85" s="3" t="s">
        <v>296</v>
      </c>
    </row>
    <row r="86" spans="1:11" ht="27.6" customHeight="1">
      <c r="A86" s="3" t="s">
        <v>297</v>
      </c>
      <c r="B86" s="3" t="s">
        <v>298</v>
      </c>
      <c r="C86" s="3" t="s">
        <v>299</v>
      </c>
      <c r="D86" s="3" t="s">
        <v>300</v>
      </c>
      <c r="E86" s="3"/>
      <c r="F86" s="3" t="s">
        <v>15</v>
      </c>
      <c r="G86" s="3"/>
      <c r="H86" s="3"/>
      <c r="I86" s="3" t="s">
        <v>16</v>
      </c>
      <c r="J86" s="3" t="s">
        <v>17</v>
      </c>
      <c r="K86" s="3" t="s">
        <v>301</v>
      </c>
    </row>
    <row r="87" spans="1:11" ht="27.6" customHeight="1">
      <c r="A87" s="3" t="s">
        <v>302</v>
      </c>
      <c r="B87" s="3" t="s">
        <v>298</v>
      </c>
      <c r="C87" s="3" t="s">
        <v>299</v>
      </c>
      <c r="D87" s="3" t="s">
        <v>303</v>
      </c>
      <c r="E87" s="3"/>
      <c r="F87" s="3" t="s">
        <v>15</v>
      </c>
      <c r="G87" s="3"/>
      <c r="H87" s="3"/>
      <c r="I87" s="3" t="s">
        <v>16</v>
      </c>
      <c r="J87" s="3" t="s">
        <v>17</v>
      </c>
      <c r="K87" s="3" t="s">
        <v>304</v>
      </c>
    </row>
    <row r="88" spans="1:11" ht="27.6" customHeight="1">
      <c r="A88" s="3" t="s">
        <v>305</v>
      </c>
      <c r="B88" s="3" t="s">
        <v>298</v>
      </c>
      <c r="C88" s="3" t="s">
        <v>299</v>
      </c>
      <c r="D88" s="3" t="s">
        <v>306</v>
      </c>
      <c r="E88" s="3"/>
      <c r="F88" s="3" t="s">
        <v>15</v>
      </c>
      <c r="G88" s="3"/>
      <c r="H88" s="3"/>
      <c r="I88" s="3" t="s">
        <v>16</v>
      </c>
      <c r="J88" s="3" t="s">
        <v>17</v>
      </c>
      <c r="K88" s="3" t="s">
        <v>307</v>
      </c>
    </row>
    <row r="89" spans="1:11" ht="27.6" customHeight="1">
      <c r="A89" s="3" t="s">
        <v>308</v>
      </c>
      <c r="B89" s="3" t="s">
        <v>298</v>
      </c>
      <c r="C89" s="3" t="s">
        <v>299</v>
      </c>
      <c r="D89" s="3" t="s">
        <v>309</v>
      </c>
      <c r="E89" s="3"/>
      <c r="F89" s="3" t="s">
        <v>15</v>
      </c>
      <c r="G89" s="3"/>
      <c r="H89" s="3"/>
      <c r="I89" s="3" t="s">
        <v>16</v>
      </c>
      <c r="J89" s="3" t="s">
        <v>17</v>
      </c>
      <c r="K89" s="3" t="s">
        <v>310</v>
      </c>
    </row>
    <row r="90" spans="1:11" ht="27.6" customHeight="1">
      <c r="A90" s="3" t="s">
        <v>311</v>
      </c>
      <c r="B90" s="3" t="s">
        <v>312</v>
      </c>
      <c r="C90" s="3" t="s">
        <v>299</v>
      </c>
      <c r="D90" s="3" t="s">
        <v>313</v>
      </c>
      <c r="E90" s="3"/>
      <c r="F90" s="3" t="s">
        <v>15</v>
      </c>
      <c r="G90" s="3"/>
      <c r="H90" s="3"/>
      <c r="I90" s="3" t="s">
        <v>16</v>
      </c>
      <c r="J90" s="3" t="s">
        <v>17</v>
      </c>
      <c r="K90" s="3" t="s">
        <v>314</v>
      </c>
    </row>
    <row r="91" spans="1:11" ht="27.6" customHeight="1">
      <c r="A91" s="3" t="s">
        <v>315</v>
      </c>
      <c r="B91" s="3" t="s">
        <v>312</v>
      </c>
      <c r="C91" s="3" t="s">
        <v>299</v>
      </c>
      <c r="D91" s="3" t="s">
        <v>316</v>
      </c>
      <c r="E91" s="3"/>
      <c r="F91" s="3" t="s">
        <v>15</v>
      </c>
      <c r="G91" s="3"/>
      <c r="H91" s="3"/>
      <c r="I91" s="3" t="s">
        <v>16</v>
      </c>
      <c r="J91" s="3" t="s">
        <v>17</v>
      </c>
      <c r="K91" s="3" t="s">
        <v>317</v>
      </c>
    </row>
    <row r="92" spans="1:11" ht="27.6" customHeight="1">
      <c r="A92" s="3" t="s">
        <v>318</v>
      </c>
      <c r="B92" s="3" t="s">
        <v>312</v>
      </c>
      <c r="C92" s="3" t="s">
        <v>299</v>
      </c>
      <c r="D92" s="3" t="s">
        <v>319</v>
      </c>
      <c r="E92" s="3"/>
      <c r="F92" s="3" t="s">
        <v>15</v>
      </c>
      <c r="G92" s="3"/>
      <c r="H92" s="3"/>
      <c r="I92" s="3" t="s">
        <v>16</v>
      </c>
      <c r="J92" s="3" t="s">
        <v>17</v>
      </c>
      <c r="K92" s="3" t="s">
        <v>320</v>
      </c>
    </row>
    <row r="93" spans="1:11" ht="27.6" customHeight="1">
      <c r="A93" s="3" t="s">
        <v>321</v>
      </c>
      <c r="B93" s="3" t="s">
        <v>312</v>
      </c>
      <c r="C93" s="3" t="s">
        <v>299</v>
      </c>
      <c r="D93" s="3" t="s">
        <v>322</v>
      </c>
      <c r="E93" s="3"/>
      <c r="F93" s="3" t="s">
        <v>15</v>
      </c>
      <c r="G93" s="3"/>
      <c r="H93" s="3"/>
      <c r="I93" s="3" t="s">
        <v>16</v>
      </c>
      <c r="J93" s="3" t="s">
        <v>17</v>
      </c>
      <c r="K93" s="3" t="s">
        <v>323</v>
      </c>
    </row>
    <row r="94" spans="1:11" ht="27.6" customHeight="1">
      <c r="A94" s="3" t="s">
        <v>324</v>
      </c>
      <c r="B94" s="3" t="s">
        <v>325</v>
      </c>
      <c r="C94" s="3" t="s">
        <v>299</v>
      </c>
      <c r="D94" s="3" t="s">
        <v>326</v>
      </c>
      <c r="E94" s="3"/>
      <c r="F94" s="3" t="s">
        <v>15</v>
      </c>
      <c r="G94" s="3"/>
      <c r="H94" s="3"/>
      <c r="I94" s="3" t="s">
        <v>16</v>
      </c>
      <c r="J94" s="3" t="s">
        <v>17</v>
      </c>
      <c r="K94" s="3" t="s">
        <v>327</v>
      </c>
    </row>
    <row r="95" spans="1:11" ht="27.6" customHeight="1">
      <c r="A95" s="3" t="s">
        <v>328</v>
      </c>
      <c r="B95" s="3" t="s">
        <v>325</v>
      </c>
      <c r="C95" s="3" t="s">
        <v>299</v>
      </c>
      <c r="D95" s="3" t="s">
        <v>329</v>
      </c>
      <c r="E95" s="3"/>
      <c r="F95" s="3" t="s">
        <v>15</v>
      </c>
      <c r="G95" s="3"/>
      <c r="H95" s="3"/>
      <c r="I95" s="3" t="s">
        <v>16</v>
      </c>
      <c r="J95" s="3" t="s">
        <v>17</v>
      </c>
      <c r="K95" s="3" t="s">
        <v>330</v>
      </c>
    </row>
    <row r="96" spans="1:11" ht="27.6" customHeight="1">
      <c r="A96" s="3" t="s">
        <v>331</v>
      </c>
      <c r="B96" s="3" t="s">
        <v>325</v>
      </c>
      <c r="C96" s="3" t="s">
        <v>299</v>
      </c>
      <c r="D96" s="3" t="s">
        <v>332</v>
      </c>
      <c r="E96" s="3"/>
      <c r="F96" s="3" t="s">
        <v>15</v>
      </c>
      <c r="G96" s="3"/>
      <c r="H96" s="3"/>
      <c r="I96" s="3" t="s">
        <v>16</v>
      </c>
      <c r="J96" s="3" t="s">
        <v>17</v>
      </c>
      <c r="K96" s="3" t="s">
        <v>333</v>
      </c>
    </row>
    <row r="97" spans="1:11" ht="27.6" customHeight="1">
      <c r="A97" s="3" t="s">
        <v>334</v>
      </c>
      <c r="B97" s="3" t="s">
        <v>325</v>
      </c>
      <c r="C97" s="3" t="s">
        <v>299</v>
      </c>
      <c r="D97" s="3" t="s">
        <v>335</v>
      </c>
      <c r="E97" s="3"/>
      <c r="F97" s="3" t="s">
        <v>15</v>
      </c>
      <c r="G97" s="3"/>
      <c r="H97" s="3"/>
      <c r="I97" s="3" t="s">
        <v>16</v>
      </c>
      <c r="J97" s="3" t="s">
        <v>17</v>
      </c>
      <c r="K97" s="3" t="s">
        <v>336</v>
      </c>
    </row>
    <row r="98" spans="1:11" ht="27.6" customHeight="1">
      <c r="A98" s="3" t="s">
        <v>337</v>
      </c>
      <c r="B98" s="3" t="s">
        <v>338</v>
      </c>
      <c r="C98" s="3" t="s">
        <v>299</v>
      </c>
      <c r="D98" s="3" t="s">
        <v>339</v>
      </c>
      <c r="E98" s="3"/>
      <c r="F98" s="3" t="s">
        <v>15</v>
      </c>
      <c r="G98" s="3"/>
      <c r="H98" s="3"/>
      <c r="I98" s="3" t="s">
        <v>16</v>
      </c>
      <c r="J98" s="3" t="s">
        <v>17</v>
      </c>
      <c r="K98" s="3" t="s">
        <v>340</v>
      </c>
    </row>
    <row r="99" spans="1:11" ht="27.6" customHeight="1">
      <c r="A99" s="3" t="s">
        <v>341</v>
      </c>
      <c r="B99" s="3" t="s">
        <v>338</v>
      </c>
      <c r="C99" s="3" t="s">
        <v>299</v>
      </c>
      <c r="D99" s="3" t="s">
        <v>342</v>
      </c>
      <c r="E99" s="3"/>
      <c r="F99" s="3" t="s">
        <v>15</v>
      </c>
      <c r="G99" s="3"/>
      <c r="H99" s="3"/>
      <c r="I99" s="3" t="s">
        <v>16</v>
      </c>
      <c r="J99" s="3" t="s">
        <v>17</v>
      </c>
      <c r="K99" s="3" t="s">
        <v>343</v>
      </c>
    </row>
    <row r="100" spans="1:11" ht="27.6" customHeight="1">
      <c r="A100" s="3" t="s">
        <v>344</v>
      </c>
      <c r="B100" s="3" t="s">
        <v>338</v>
      </c>
      <c r="C100" s="3" t="s">
        <v>299</v>
      </c>
      <c r="D100" s="3" t="s">
        <v>345</v>
      </c>
      <c r="E100" s="3"/>
      <c r="F100" s="3" t="s">
        <v>15</v>
      </c>
      <c r="G100" s="3"/>
      <c r="H100" s="3"/>
      <c r="I100" s="3" t="s">
        <v>16</v>
      </c>
      <c r="J100" s="3" t="s">
        <v>17</v>
      </c>
      <c r="K100" s="3" t="s">
        <v>346</v>
      </c>
    </row>
    <row r="101" spans="1:11" ht="27.6" customHeight="1">
      <c r="A101" s="3" t="s">
        <v>347</v>
      </c>
      <c r="B101" s="3" t="s">
        <v>338</v>
      </c>
      <c r="C101" s="3" t="s">
        <v>299</v>
      </c>
      <c r="D101" s="3" t="s">
        <v>348</v>
      </c>
      <c r="E101" s="3"/>
      <c r="F101" s="3" t="s">
        <v>15</v>
      </c>
      <c r="G101" s="3"/>
      <c r="H101" s="3"/>
      <c r="I101" s="3" t="s">
        <v>16</v>
      </c>
      <c r="J101" s="3" t="s">
        <v>17</v>
      </c>
      <c r="K101" s="3" t="s">
        <v>349</v>
      </c>
    </row>
    <row r="102" spans="1:11" ht="27.6" customHeight="1">
      <c r="A102" s="3" t="s">
        <v>350</v>
      </c>
      <c r="B102" s="3" t="s">
        <v>351</v>
      </c>
      <c r="C102" s="3" t="s">
        <v>299</v>
      </c>
      <c r="D102" s="3" t="s">
        <v>352</v>
      </c>
      <c r="E102" s="3"/>
      <c r="F102" s="3" t="s">
        <v>15</v>
      </c>
      <c r="G102" s="3"/>
      <c r="H102" s="3" t="s">
        <v>353</v>
      </c>
      <c r="I102" s="3" t="s">
        <v>16</v>
      </c>
      <c r="J102" s="3" t="s">
        <v>17</v>
      </c>
      <c r="K102" s="3" t="s">
        <v>354</v>
      </c>
    </row>
    <row r="103" spans="1:11" ht="27.6" customHeight="1">
      <c r="A103" s="3" t="s">
        <v>355</v>
      </c>
      <c r="B103" s="3" t="s">
        <v>351</v>
      </c>
      <c r="C103" s="3" t="s">
        <v>299</v>
      </c>
      <c r="D103" s="3" t="s">
        <v>356</v>
      </c>
      <c r="E103" s="3"/>
      <c r="F103" s="3" t="s">
        <v>15</v>
      </c>
      <c r="G103" s="3"/>
      <c r="H103" s="3"/>
      <c r="I103" s="3" t="s">
        <v>16</v>
      </c>
      <c r="J103" s="3" t="s">
        <v>17</v>
      </c>
      <c r="K103" s="3" t="s">
        <v>357</v>
      </c>
    </row>
    <row r="104" spans="1:11" ht="27.6" customHeight="1">
      <c r="A104" s="3" t="s">
        <v>358</v>
      </c>
      <c r="B104" s="3" t="s">
        <v>351</v>
      </c>
      <c r="C104" s="3" t="s">
        <v>299</v>
      </c>
      <c r="D104" s="3" t="s">
        <v>359</v>
      </c>
      <c r="E104" s="3"/>
      <c r="F104" s="3" t="s">
        <v>15</v>
      </c>
      <c r="G104" s="3"/>
      <c r="H104" s="3"/>
      <c r="I104" s="3" t="s">
        <v>16</v>
      </c>
      <c r="J104" s="3" t="s">
        <v>17</v>
      </c>
      <c r="K104" s="3" t="s">
        <v>360</v>
      </c>
    </row>
    <row r="105" spans="1:11" ht="27.6" customHeight="1">
      <c r="A105" s="3" t="s">
        <v>361</v>
      </c>
      <c r="B105" s="3" t="s">
        <v>351</v>
      </c>
      <c r="C105" s="3" t="s">
        <v>299</v>
      </c>
      <c r="D105" s="3" t="s">
        <v>362</v>
      </c>
      <c r="E105" s="3"/>
      <c r="F105" s="3" t="s">
        <v>15</v>
      </c>
      <c r="G105" s="3"/>
      <c r="H105" s="3"/>
      <c r="I105" s="3" t="s">
        <v>16</v>
      </c>
      <c r="J105" s="3" t="s">
        <v>17</v>
      </c>
      <c r="K105" s="3" t="s">
        <v>363</v>
      </c>
    </row>
    <row r="106" spans="1:11" ht="27.6" customHeight="1">
      <c r="A106" s="3" t="s">
        <v>364</v>
      </c>
      <c r="B106" s="3" t="s">
        <v>365</v>
      </c>
      <c r="C106" s="3" t="s">
        <v>299</v>
      </c>
      <c r="D106" s="3" t="s">
        <v>366</v>
      </c>
      <c r="E106" s="3"/>
      <c r="F106" s="3" t="s">
        <v>15</v>
      </c>
      <c r="G106" s="3"/>
      <c r="H106" s="3" t="s">
        <v>367</v>
      </c>
      <c r="I106" s="3" t="s">
        <v>16</v>
      </c>
      <c r="J106" s="3" t="s">
        <v>17</v>
      </c>
      <c r="K106" s="3" t="s">
        <v>368</v>
      </c>
    </row>
    <row r="107" spans="1:11" ht="27.6" customHeight="1">
      <c r="A107" s="3" t="s">
        <v>369</v>
      </c>
      <c r="B107" s="3" t="s">
        <v>365</v>
      </c>
      <c r="C107" s="3" t="s">
        <v>299</v>
      </c>
      <c r="D107" s="3" t="s">
        <v>370</v>
      </c>
      <c r="E107" s="3"/>
      <c r="F107" s="3" t="s">
        <v>15</v>
      </c>
      <c r="G107" s="3"/>
      <c r="H107" s="3"/>
      <c r="I107" s="3" t="s">
        <v>16</v>
      </c>
      <c r="J107" s="3" t="s">
        <v>17</v>
      </c>
      <c r="K107" s="3" t="s">
        <v>371</v>
      </c>
    </row>
    <row r="108" spans="1:11" ht="27.6" customHeight="1">
      <c r="A108" s="3" t="s">
        <v>372</v>
      </c>
      <c r="B108" s="3" t="s">
        <v>365</v>
      </c>
      <c r="C108" s="3" t="s">
        <v>299</v>
      </c>
      <c r="D108" s="3" t="s">
        <v>373</v>
      </c>
      <c r="E108" s="3"/>
      <c r="F108" s="3" t="s">
        <v>15</v>
      </c>
      <c r="G108" s="3"/>
      <c r="H108" s="3"/>
      <c r="I108" s="3" t="s">
        <v>16</v>
      </c>
      <c r="J108" s="3" t="s">
        <v>17</v>
      </c>
      <c r="K108" s="3" t="s">
        <v>374</v>
      </c>
    </row>
    <row r="109" spans="1:11" ht="27.6" customHeight="1">
      <c r="A109" s="3" t="s">
        <v>375</v>
      </c>
      <c r="B109" s="3" t="s">
        <v>365</v>
      </c>
      <c r="C109" s="3" t="s">
        <v>299</v>
      </c>
      <c r="D109" s="3" t="s">
        <v>376</v>
      </c>
      <c r="E109" s="3"/>
      <c r="F109" s="3" t="s">
        <v>15</v>
      </c>
      <c r="G109" s="3"/>
      <c r="H109" s="3"/>
      <c r="I109" s="3" t="s">
        <v>16</v>
      </c>
      <c r="J109" s="3" t="s">
        <v>17</v>
      </c>
      <c r="K109" s="3" t="s">
        <v>377</v>
      </c>
    </row>
    <row r="110" spans="1:11" ht="27.6" customHeight="1">
      <c r="A110" s="3" t="s">
        <v>378</v>
      </c>
      <c r="B110" s="3" t="s">
        <v>379</v>
      </c>
      <c r="C110" s="3" t="s">
        <v>380</v>
      </c>
      <c r="D110" s="3" t="s">
        <v>381</v>
      </c>
      <c r="E110" s="3"/>
      <c r="F110" s="3" t="s">
        <v>15</v>
      </c>
      <c r="G110" s="3"/>
      <c r="H110" s="3"/>
      <c r="I110" s="3" t="s">
        <v>16</v>
      </c>
      <c r="J110" s="3" t="s">
        <v>17</v>
      </c>
      <c r="K110" s="3" t="s">
        <v>382</v>
      </c>
    </row>
    <row r="111" spans="1:11" ht="27.6" customHeight="1">
      <c r="A111" s="3" t="s">
        <v>383</v>
      </c>
      <c r="B111" s="3" t="s">
        <v>379</v>
      </c>
      <c r="C111" s="3" t="s">
        <v>380</v>
      </c>
      <c r="D111" s="3" t="s">
        <v>384</v>
      </c>
      <c r="E111" s="3"/>
      <c r="F111" s="3" t="s">
        <v>15</v>
      </c>
      <c r="G111" s="3"/>
      <c r="H111" s="3"/>
      <c r="I111" s="3" t="s">
        <v>16</v>
      </c>
      <c r="J111" s="3" t="s">
        <v>17</v>
      </c>
      <c r="K111" s="3" t="s">
        <v>385</v>
      </c>
    </row>
    <row r="112" spans="1:11" ht="27.6" customHeight="1">
      <c r="A112" s="3" t="s">
        <v>386</v>
      </c>
      <c r="B112" s="3" t="s">
        <v>379</v>
      </c>
      <c r="C112" s="3" t="s">
        <v>380</v>
      </c>
      <c r="D112" s="3" t="s">
        <v>387</v>
      </c>
      <c r="E112" s="3"/>
      <c r="F112" s="3" t="s">
        <v>15</v>
      </c>
      <c r="G112" s="3"/>
      <c r="H112" s="3"/>
      <c r="I112" s="3" t="s">
        <v>16</v>
      </c>
      <c r="J112" s="3" t="s">
        <v>17</v>
      </c>
      <c r="K112" s="3" t="s">
        <v>388</v>
      </c>
    </row>
    <row r="113" spans="1:11" ht="27.6" customHeight="1">
      <c r="A113" s="3" t="s">
        <v>389</v>
      </c>
      <c r="B113" s="3" t="s">
        <v>379</v>
      </c>
      <c r="C113" s="3" t="s">
        <v>380</v>
      </c>
      <c r="D113" s="3" t="s">
        <v>119</v>
      </c>
      <c r="E113" s="3"/>
      <c r="F113" s="3" t="s">
        <v>15</v>
      </c>
      <c r="G113" s="3"/>
      <c r="H113" s="3"/>
      <c r="I113" s="3" t="s">
        <v>16</v>
      </c>
      <c r="J113" s="3" t="s">
        <v>17</v>
      </c>
      <c r="K113" s="3" t="s">
        <v>390</v>
      </c>
    </row>
    <row r="114" spans="1:11" ht="27.6" customHeight="1">
      <c r="A114" s="3" t="s">
        <v>391</v>
      </c>
      <c r="B114" s="3" t="s">
        <v>392</v>
      </c>
      <c r="C114" s="3" t="s">
        <v>380</v>
      </c>
      <c r="D114" s="3" t="s">
        <v>393</v>
      </c>
      <c r="E114" s="3"/>
      <c r="F114" s="3" t="s">
        <v>15</v>
      </c>
      <c r="G114" s="3"/>
      <c r="H114" s="3"/>
      <c r="I114" s="3" t="s">
        <v>16</v>
      </c>
      <c r="J114" s="3" t="s">
        <v>17</v>
      </c>
      <c r="K114" s="3" t="s">
        <v>394</v>
      </c>
    </row>
    <row r="115" spans="1:11" ht="27.6" customHeight="1">
      <c r="A115" s="3" t="s">
        <v>395</v>
      </c>
      <c r="B115" s="3" t="s">
        <v>392</v>
      </c>
      <c r="C115" s="3" t="s">
        <v>380</v>
      </c>
      <c r="D115" s="3" t="s">
        <v>396</v>
      </c>
      <c r="E115" s="3"/>
      <c r="F115" s="3" t="s">
        <v>15</v>
      </c>
      <c r="G115" s="3"/>
      <c r="H115" s="3"/>
      <c r="I115" s="3" t="s">
        <v>16</v>
      </c>
      <c r="J115" s="3" t="s">
        <v>17</v>
      </c>
      <c r="K115" s="3" t="s">
        <v>397</v>
      </c>
    </row>
    <row r="116" spans="1:11" ht="27.6" customHeight="1">
      <c r="A116" s="3" t="s">
        <v>398</v>
      </c>
      <c r="B116" s="3" t="s">
        <v>392</v>
      </c>
      <c r="C116" s="3" t="s">
        <v>380</v>
      </c>
      <c r="D116" s="3" t="s">
        <v>399</v>
      </c>
      <c r="E116" s="3"/>
      <c r="F116" s="3" t="s">
        <v>15</v>
      </c>
      <c r="G116" s="3"/>
      <c r="H116" s="3"/>
      <c r="I116" s="3" t="s">
        <v>16</v>
      </c>
      <c r="J116" s="3" t="s">
        <v>17</v>
      </c>
      <c r="K116" s="3" t="s">
        <v>400</v>
      </c>
    </row>
    <row r="117" spans="1:11" ht="27.6" customHeight="1">
      <c r="A117" s="3" t="s">
        <v>401</v>
      </c>
      <c r="B117" s="3" t="s">
        <v>392</v>
      </c>
      <c r="C117" s="3" t="s">
        <v>380</v>
      </c>
      <c r="D117" s="3" t="s">
        <v>402</v>
      </c>
      <c r="E117" s="3"/>
      <c r="F117" s="3" t="s">
        <v>15</v>
      </c>
      <c r="G117" s="3"/>
      <c r="H117" s="3"/>
      <c r="I117" s="3" t="s">
        <v>16</v>
      </c>
      <c r="J117" s="3" t="s">
        <v>17</v>
      </c>
      <c r="K117" s="3" t="s">
        <v>403</v>
      </c>
    </row>
    <row r="118" spans="1:11" ht="27.6" customHeight="1">
      <c r="A118" s="3" t="s">
        <v>404</v>
      </c>
      <c r="B118" s="3" t="s">
        <v>405</v>
      </c>
      <c r="C118" s="3" t="s">
        <v>380</v>
      </c>
      <c r="D118" s="3" t="s">
        <v>406</v>
      </c>
      <c r="E118" s="3"/>
      <c r="F118" s="3" t="s">
        <v>15</v>
      </c>
      <c r="G118" s="3"/>
      <c r="H118" s="3"/>
      <c r="I118" s="3" t="s">
        <v>16</v>
      </c>
      <c r="J118" s="3" t="s">
        <v>17</v>
      </c>
      <c r="K118" s="3" t="s">
        <v>407</v>
      </c>
    </row>
    <row r="119" spans="1:11" ht="27.6" customHeight="1">
      <c r="A119" s="3" t="s">
        <v>408</v>
      </c>
      <c r="B119" s="3" t="s">
        <v>405</v>
      </c>
      <c r="C119" s="3" t="s">
        <v>380</v>
      </c>
      <c r="D119" s="3" t="s">
        <v>409</v>
      </c>
      <c r="E119" s="3"/>
      <c r="F119" s="3" t="s">
        <v>15</v>
      </c>
      <c r="G119" s="3"/>
      <c r="H119" s="3"/>
      <c r="I119" s="3" t="s">
        <v>16</v>
      </c>
      <c r="J119" s="3" t="s">
        <v>17</v>
      </c>
      <c r="K119" s="3" t="s">
        <v>410</v>
      </c>
    </row>
    <row r="120" spans="1:11" ht="27.6" customHeight="1">
      <c r="A120" s="3" t="s">
        <v>411</v>
      </c>
      <c r="B120" s="3" t="s">
        <v>405</v>
      </c>
      <c r="C120" s="3" t="s">
        <v>380</v>
      </c>
      <c r="D120" s="3" t="s">
        <v>412</v>
      </c>
      <c r="E120" s="3"/>
      <c r="F120" s="3" t="s">
        <v>15</v>
      </c>
      <c r="G120" s="3"/>
      <c r="H120" s="3"/>
      <c r="I120" s="3" t="s">
        <v>16</v>
      </c>
      <c r="J120" s="3" t="s">
        <v>17</v>
      </c>
      <c r="K120" s="3" t="s">
        <v>413</v>
      </c>
    </row>
    <row r="121" spans="1:11" ht="27.6" customHeight="1">
      <c r="A121" s="3" t="s">
        <v>414</v>
      </c>
      <c r="B121" s="3" t="s">
        <v>405</v>
      </c>
      <c r="C121" s="3" t="s">
        <v>380</v>
      </c>
      <c r="D121" s="3" t="s">
        <v>415</v>
      </c>
      <c r="E121" s="3"/>
      <c r="F121" s="3" t="s">
        <v>15</v>
      </c>
      <c r="G121" s="3"/>
      <c r="H121" s="3"/>
      <c r="I121" s="3" t="s">
        <v>16</v>
      </c>
      <c r="J121" s="3" t="s">
        <v>17</v>
      </c>
      <c r="K121" s="3" t="s">
        <v>416</v>
      </c>
    </row>
    <row r="122" spans="1:11" ht="27.6" customHeight="1">
      <c r="A122" s="3" t="s">
        <v>417</v>
      </c>
      <c r="B122" s="3" t="s">
        <v>418</v>
      </c>
      <c r="C122" s="3" t="s">
        <v>380</v>
      </c>
      <c r="D122" s="3" t="s">
        <v>419</v>
      </c>
      <c r="E122" s="3"/>
      <c r="F122" s="3" t="s">
        <v>15</v>
      </c>
      <c r="G122" s="3"/>
      <c r="H122" s="3"/>
      <c r="I122" s="3" t="s">
        <v>16</v>
      </c>
      <c r="J122" s="3" t="s">
        <v>17</v>
      </c>
      <c r="K122" s="3" t="s">
        <v>420</v>
      </c>
    </row>
    <row r="123" spans="1:11" ht="27.6" customHeight="1">
      <c r="A123" s="3" t="s">
        <v>421</v>
      </c>
      <c r="B123" s="3" t="s">
        <v>418</v>
      </c>
      <c r="C123" s="3" t="s">
        <v>380</v>
      </c>
      <c r="D123" s="3" t="s">
        <v>422</v>
      </c>
      <c r="E123" s="3"/>
      <c r="F123" s="3" t="s">
        <v>15</v>
      </c>
      <c r="G123" s="3"/>
      <c r="H123" s="3"/>
      <c r="I123" s="3" t="s">
        <v>16</v>
      </c>
      <c r="J123" s="3" t="s">
        <v>17</v>
      </c>
      <c r="K123" s="3" t="s">
        <v>423</v>
      </c>
    </row>
    <row r="124" spans="1:11" ht="27.6" customHeight="1">
      <c r="A124" s="3" t="s">
        <v>424</v>
      </c>
      <c r="B124" s="3" t="s">
        <v>418</v>
      </c>
      <c r="C124" s="3" t="s">
        <v>380</v>
      </c>
      <c r="D124" s="3" t="s">
        <v>425</v>
      </c>
      <c r="E124" s="3"/>
      <c r="F124" s="3" t="s">
        <v>15</v>
      </c>
      <c r="G124" s="3"/>
      <c r="H124" s="3"/>
      <c r="I124" s="3" t="s">
        <v>16</v>
      </c>
      <c r="J124" s="3" t="s">
        <v>17</v>
      </c>
      <c r="K124" s="3" t="s">
        <v>426</v>
      </c>
    </row>
    <row r="125" spans="1:11" ht="27.6" customHeight="1">
      <c r="A125" s="3" t="s">
        <v>427</v>
      </c>
      <c r="B125" s="3" t="s">
        <v>418</v>
      </c>
      <c r="C125" s="3" t="s">
        <v>380</v>
      </c>
      <c r="D125" s="3" t="s">
        <v>428</v>
      </c>
      <c r="E125" s="3"/>
      <c r="F125" s="3" t="s">
        <v>15</v>
      </c>
      <c r="G125" s="3"/>
      <c r="H125" s="3"/>
      <c r="I125" s="3" t="s">
        <v>16</v>
      </c>
      <c r="J125" s="3" t="s">
        <v>17</v>
      </c>
      <c r="K125" s="3" t="s">
        <v>429</v>
      </c>
    </row>
    <row r="126" spans="1:11" ht="27.6" customHeight="1">
      <c r="A126" s="3" t="s">
        <v>430</v>
      </c>
      <c r="B126" s="3" t="s">
        <v>431</v>
      </c>
      <c r="C126" s="3" t="s">
        <v>380</v>
      </c>
      <c r="D126" s="3" t="s">
        <v>432</v>
      </c>
      <c r="E126" s="3"/>
      <c r="F126" s="3" t="s">
        <v>15</v>
      </c>
      <c r="G126" s="3"/>
      <c r="H126" s="3"/>
      <c r="I126" s="3" t="s">
        <v>16</v>
      </c>
      <c r="J126" s="3" t="s">
        <v>17</v>
      </c>
      <c r="K126" s="3" t="s">
        <v>433</v>
      </c>
    </row>
    <row r="127" spans="1:11" ht="27.6" customHeight="1">
      <c r="A127" s="3" t="s">
        <v>434</v>
      </c>
      <c r="B127" s="3" t="s">
        <v>431</v>
      </c>
      <c r="C127" s="3" t="s">
        <v>380</v>
      </c>
      <c r="D127" s="3" t="s">
        <v>435</v>
      </c>
      <c r="E127" s="3"/>
      <c r="F127" s="3" t="s">
        <v>15</v>
      </c>
      <c r="G127" s="3"/>
      <c r="H127" s="3" t="s">
        <v>436</v>
      </c>
      <c r="I127" s="3" t="s">
        <v>16</v>
      </c>
      <c r="J127" s="3" t="s">
        <v>17</v>
      </c>
      <c r="K127" s="3" t="s">
        <v>437</v>
      </c>
    </row>
    <row r="128" spans="1:11" ht="27.6" customHeight="1">
      <c r="A128" s="3" t="s">
        <v>438</v>
      </c>
      <c r="B128" s="3" t="s">
        <v>431</v>
      </c>
      <c r="C128" s="3" t="s">
        <v>380</v>
      </c>
      <c r="D128" s="3" t="s">
        <v>439</v>
      </c>
      <c r="E128" s="3"/>
      <c r="F128" s="3" t="s">
        <v>15</v>
      </c>
      <c r="G128" s="3"/>
      <c r="H128" s="3"/>
      <c r="I128" s="3" t="s">
        <v>16</v>
      </c>
      <c r="J128" s="3" t="s">
        <v>17</v>
      </c>
      <c r="K128" s="3" t="s">
        <v>440</v>
      </c>
    </row>
    <row r="129" spans="1:11" ht="27.6" customHeight="1">
      <c r="A129" s="3" t="s">
        <v>441</v>
      </c>
      <c r="B129" s="3" t="s">
        <v>431</v>
      </c>
      <c r="C129" s="3" t="s">
        <v>380</v>
      </c>
      <c r="D129" s="3" t="s">
        <v>442</v>
      </c>
      <c r="E129" s="3"/>
      <c r="F129" s="3" t="s">
        <v>15</v>
      </c>
      <c r="G129" s="3"/>
      <c r="H129" s="3"/>
      <c r="I129" s="3" t="s">
        <v>16</v>
      </c>
      <c r="J129" s="3" t="s">
        <v>17</v>
      </c>
      <c r="K129" s="3" t="s">
        <v>443</v>
      </c>
    </row>
    <row r="130" spans="1:11" ht="27.6" customHeight="1">
      <c r="A130" s="3" t="s">
        <v>444</v>
      </c>
      <c r="B130" s="3" t="s">
        <v>445</v>
      </c>
      <c r="C130" s="3" t="s">
        <v>380</v>
      </c>
      <c r="D130" s="3" t="s">
        <v>446</v>
      </c>
      <c r="E130" s="3"/>
      <c r="F130" s="3" t="s">
        <v>15</v>
      </c>
      <c r="G130" s="3"/>
      <c r="H130" s="3"/>
      <c r="I130" s="3" t="s">
        <v>16</v>
      </c>
      <c r="J130" s="3" t="s">
        <v>17</v>
      </c>
      <c r="K130" s="3" t="s">
        <v>447</v>
      </c>
    </row>
    <row r="131" spans="1:11" ht="27.6" customHeight="1">
      <c r="A131" s="3" t="s">
        <v>448</v>
      </c>
      <c r="B131" s="3" t="s">
        <v>445</v>
      </c>
      <c r="C131" s="3" t="s">
        <v>380</v>
      </c>
      <c r="D131" s="3" t="s">
        <v>449</v>
      </c>
      <c r="E131" s="3"/>
      <c r="F131" s="3" t="s">
        <v>15</v>
      </c>
      <c r="G131" s="3"/>
      <c r="H131" s="3"/>
      <c r="I131" s="3" t="s">
        <v>16</v>
      </c>
      <c r="J131" s="3" t="s">
        <v>17</v>
      </c>
      <c r="K131" s="3" t="s">
        <v>450</v>
      </c>
    </row>
    <row r="132" spans="1:11" ht="27.6" customHeight="1">
      <c r="A132" s="3" t="s">
        <v>451</v>
      </c>
      <c r="B132" s="3" t="s">
        <v>445</v>
      </c>
      <c r="C132" s="3" t="s">
        <v>380</v>
      </c>
      <c r="D132" s="3" t="s">
        <v>452</v>
      </c>
      <c r="E132" s="3"/>
      <c r="F132" s="3" t="s">
        <v>15</v>
      </c>
      <c r="G132" s="3"/>
      <c r="H132" s="3"/>
      <c r="I132" s="3" t="s">
        <v>16</v>
      </c>
      <c r="J132" s="3" t="s">
        <v>17</v>
      </c>
      <c r="K132" s="3" t="s">
        <v>453</v>
      </c>
    </row>
    <row r="133" spans="1:11" ht="27.6" customHeight="1">
      <c r="A133" s="3" t="s">
        <v>454</v>
      </c>
      <c r="B133" s="3" t="s">
        <v>445</v>
      </c>
      <c r="C133" s="3" t="s">
        <v>380</v>
      </c>
      <c r="D133" s="3" t="s">
        <v>455</v>
      </c>
      <c r="E133" s="3"/>
      <c r="F133" s="3" t="s">
        <v>15</v>
      </c>
      <c r="G133" s="3"/>
      <c r="H133" s="3" t="s">
        <v>456</v>
      </c>
      <c r="I133" s="3" t="s">
        <v>16</v>
      </c>
      <c r="J133" s="3" t="s">
        <v>17</v>
      </c>
      <c r="K133" s="3" t="s">
        <v>457</v>
      </c>
    </row>
    <row r="134" spans="1:11" ht="27.6" customHeight="1">
      <c r="A134" s="3" t="s">
        <v>458</v>
      </c>
      <c r="B134" s="3" t="s">
        <v>459</v>
      </c>
      <c r="C134" s="3" t="s">
        <v>380</v>
      </c>
      <c r="D134" s="3" t="s">
        <v>460</v>
      </c>
      <c r="E134" s="3"/>
      <c r="F134" s="3" t="s">
        <v>15</v>
      </c>
      <c r="G134" s="3"/>
      <c r="H134" s="3"/>
      <c r="I134" s="3" t="s">
        <v>16</v>
      </c>
      <c r="J134" s="3" t="s">
        <v>17</v>
      </c>
      <c r="K134" s="3" t="s">
        <v>461</v>
      </c>
    </row>
    <row r="135" spans="1:11" ht="27.6" customHeight="1">
      <c r="A135" s="3" t="s">
        <v>462</v>
      </c>
      <c r="B135" s="3" t="s">
        <v>459</v>
      </c>
      <c r="C135" s="3" t="s">
        <v>380</v>
      </c>
      <c r="D135" s="3" t="s">
        <v>463</v>
      </c>
      <c r="E135" s="3"/>
      <c r="F135" s="3" t="s">
        <v>15</v>
      </c>
      <c r="G135" s="3"/>
      <c r="H135" s="3"/>
      <c r="I135" s="3" t="s">
        <v>16</v>
      </c>
      <c r="J135" s="3" t="s">
        <v>17</v>
      </c>
      <c r="K135" s="3" t="s">
        <v>464</v>
      </c>
    </row>
    <row r="136" spans="1:11" ht="27.6" customHeight="1">
      <c r="A136" s="3" t="s">
        <v>465</v>
      </c>
      <c r="B136" s="3" t="s">
        <v>459</v>
      </c>
      <c r="C136" s="3" t="s">
        <v>380</v>
      </c>
      <c r="D136" s="3" t="s">
        <v>466</v>
      </c>
      <c r="E136" s="3"/>
      <c r="F136" s="3" t="s">
        <v>15</v>
      </c>
      <c r="G136" s="3"/>
      <c r="H136" s="3"/>
      <c r="I136" s="3" t="s">
        <v>16</v>
      </c>
      <c r="J136" s="3" t="s">
        <v>17</v>
      </c>
      <c r="K136" s="3" t="s">
        <v>467</v>
      </c>
    </row>
    <row r="137" spans="1:11" ht="27.6" customHeight="1">
      <c r="A137" s="3" t="s">
        <v>468</v>
      </c>
      <c r="B137" s="3" t="s">
        <v>459</v>
      </c>
      <c r="C137" s="3" t="s">
        <v>380</v>
      </c>
      <c r="D137" s="3" t="s">
        <v>469</v>
      </c>
      <c r="E137" s="3"/>
      <c r="F137" s="3" t="s">
        <v>15</v>
      </c>
      <c r="G137" s="3"/>
      <c r="H137" s="3"/>
      <c r="I137" s="3" t="s">
        <v>16</v>
      </c>
      <c r="J137" s="3" t="s">
        <v>17</v>
      </c>
      <c r="K137" s="3" t="s">
        <v>470</v>
      </c>
    </row>
    <row r="138" spans="1:11" ht="27.6" customHeight="1">
      <c r="A138" s="3" t="s">
        <v>471</v>
      </c>
      <c r="B138" s="3" t="s">
        <v>472</v>
      </c>
      <c r="C138" s="3" t="s">
        <v>380</v>
      </c>
      <c r="D138" s="3" t="s">
        <v>473</v>
      </c>
      <c r="E138" s="3"/>
      <c r="F138" s="3" t="s">
        <v>15</v>
      </c>
      <c r="G138" s="3"/>
      <c r="H138" s="3"/>
      <c r="I138" s="3" t="s">
        <v>16</v>
      </c>
      <c r="J138" s="3" t="s">
        <v>17</v>
      </c>
      <c r="K138" s="3" t="s">
        <v>474</v>
      </c>
    </row>
    <row r="139" spans="1:11" ht="27.6" customHeight="1">
      <c r="A139" s="3" t="s">
        <v>475</v>
      </c>
      <c r="B139" s="3" t="s">
        <v>472</v>
      </c>
      <c r="C139" s="3" t="s">
        <v>380</v>
      </c>
      <c r="D139" s="3" t="s">
        <v>476</v>
      </c>
      <c r="E139" s="3"/>
      <c r="F139" s="3" t="s">
        <v>15</v>
      </c>
      <c r="G139" s="3"/>
      <c r="H139" s="3" t="s">
        <v>477</v>
      </c>
      <c r="I139" s="3" t="s">
        <v>16</v>
      </c>
      <c r="J139" s="3" t="s">
        <v>17</v>
      </c>
      <c r="K139" s="3" t="s">
        <v>478</v>
      </c>
    </row>
    <row r="140" spans="1:11" ht="27.6" customHeight="1">
      <c r="A140" s="3" t="s">
        <v>479</v>
      </c>
      <c r="B140" s="3" t="s">
        <v>472</v>
      </c>
      <c r="C140" s="3" t="s">
        <v>380</v>
      </c>
      <c r="D140" s="3" t="s">
        <v>480</v>
      </c>
      <c r="E140" s="3"/>
      <c r="F140" s="3" t="s">
        <v>15</v>
      </c>
      <c r="G140" s="3"/>
      <c r="H140" s="3" t="s">
        <v>481</v>
      </c>
      <c r="I140" s="3" t="s">
        <v>16</v>
      </c>
      <c r="J140" s="3" t="s">
        <v>17</v>
      </c>
      <c r="K140" s="3" t="s">
        <v>482</v>
      </c>
    </row>
    <row r="141" spans="1:11" ht="27.6" customHeight="1">
      <c r="A141" s="3" t="s">
        <v>483</v>
      </c>
      <c r="B141" s="3" t="s">
        <v>472</v>
      </c>
      <c r="C141" s="3" t="s">
        <v>380</v>
      </c>
      <c r="D141" s="3" t="s">
        <v>484</v>
      </c>
      <c r="E141" s="3"/>
      <c r="F141" s="3" t="s">
        <v>15</v>
      </c>
      <c r="G141" s="3"/>
      <c r="H141" s="3"/>
      <c r="I141" s="3" t="s">
        <v>16</v>
      </c>
      <c r="J141" s="3" t="s">
        <v>17</v>
      </c>
      <c r="K141" s="3" t="s">
        <v>485</v>
      </c>
    </row>
    <row r="142" spans="1:11" ht="27.6" customHeight="1">
      <c r="A142" s="3" t="s">
        <v>486</v>
      </c>
      <c r="B142" s="3" t="s">
        <v>487</v>
      </c>
      <c r="C142" s="3" t="s">
        <v>488</v>
      </c>
      <c r="D142" s="3" t="s">
        <v>489</v>
      </c>
      <c r="E142" s="3"/>
      <c r="F142" s="3" t="s">
        <v>15</v>
      </c>
      <c r="G142" s="3"/>
      <c r="H142" s="3"/>
      <c r="I142" s="3" t="s">
        <v>16</v>
      </c>
      <c r="J142" s="3" t="s">
        <v>17</v>
      </c>
      <c r="K142" s="3" t="s">
        <v>490</v>
      </c>
    </row>
    <row r="143" spans="1:11" ht="27.6" customHeight="1">
      <c r="A143" s="3" t="s">
        <v>491</v>
      </c>
      <c r="B143" s="3" t="s">
        <v>487</v>
      </c>
      <c r="C143" s="3" t="s">
        <v>488</v>
      </c>
      <c r="D143" s="3" t="s">
        <v>492</v>
      </c>
      <c r="E143" s="3"/>
      <c r="F143" s="3" t="s">
        <v>15</v>
      </c>
      <c r="G143" s="3"/>
      <c r="H143" s="3"/>
      <c r="I143" s="3" t="s">
        <v>16</v>
      </c>
      <c r="J143" s="3" t="s">
        <v>17</v>
      </c>
      <c r="K143" s="3" t="s">
        <v>493</v>
      </c>
    </row>
    <row r="144" spans="1:11" ht="27.6" customHeight="1">
      <c r="A144" s="3" t="s">
        <v>494</v>
      </c>
      <c r="B144" s="3" t="s">
        <v>487</v>
      </c>
      <c r="C144" s="3" t="s">
        <v>488</v>
      </c>
      <c r="D144" s="3" t="s">
        <v>495</v>
      </c>
      <c r="E144" s="3"/>
      <c r="F144" s="3" t="s">
        <v>15</v>
      </c>
      <c r="G144" s="3"/>
      <c r="H144" s="3"/>
      <c r="I144" s="3" t="s">
        <v>16</v>
      </c>
      <c r="J144" s="3" t="s">
        <v>17</v>
      </c>
      <c r="K144" s="3" t="s">
        <v>496</v>
      </c>
    </row>
    <row r="145" spans="1:11" ht="27.6" customHeight="1">
      <c r="A145" s="3" t="s">
        <v>497</v>
      </c>
      <c r="B145" s="3" t="s">
        <v>487</v>
      </c>
      <c r="C145" s="3" t="s">
        <v>488</v>
      </c>
      <c r="D145" s="3" t="s">
        <v>498</v>
      </c>
      <c r="E145" s="3"/>
      <c r="F145" s="3" t="s">
        <v>15</v>
      </c>
      <c r="G145" s="3"/>
      <c r="H145" s="3"/>
      <c r="I145" s="3" t="s">
        <v>16</v>
      </c>
      <c r="J145" s="3" t="s">
        <v>17</v>
      </c>
      <c r="K145" s="3" t="s">
        <v>499</v>
      </c>
    </row>
    <row r="146" spans="1:11" ht="27.6" customHeight="1">
      <c r="A146" s="3" t="s">
        <v>500</v>
      </c>
      <c r="B146" s="3" t="s">
        <v>501</v>
      </c>
      <c r="C146" s="3" t="s">
        <v>488</v>
      </c>
      <c r="D146" s="3" t="s">
        <v>502</v>
      </c>
      <c r="E146" s="3"/>
      <c r="F146" s="3" t="s">
        <v>15</v>
      </c>
      <c r="G146" s="3"/>
      <c r="H146" s="3"/>
      <c r="I146" s="3" t="s">
        <v>16</v>
      </c>
      <c r="J146" s="3" t="s">
        <v>17</v>
      </c>
      <c r="K146" s="3" t="s">
        <v>503</v>
      </c>
    </row>
    <row r="147" spans="1:11" ht="27.6" customHeight="1">
      <c r="A147" s="3" t="s">
        <v>504</v>
      </c>
      <c r="B147" s="3" t="s">
        <v>501</v>
      </c>
      <c r="C147" s="3" t="s">
        <v>488</v>
      </c>
      <c r="D147" s="3" t="s">
        <v>505</v>
      </c>
      <c r="E147" s="3"/>
      <c r="F147" s="3" t="s">
        <v>15</v>
      </c>
      <c r="G147" s="3"/>
      <c r="H147" s="3"/>
      <c r="I147" s="3" t="s">
        <v>16</v>
      </c>
      <c r="J147" s="3" t="s">
        <v>17</v>
      </c>
      <c r="K147" s="3" t="s">
        <v>506</v>
      </c>
    </row>
    <row r="148" spans="1:11" ht="27.6" customHeight="1">
      <c r="A148" s="3" t="s">
        <v>507</v>
      </c>
      <c r="B148" s="3" t="s">
        <v>501</v>
      </c>
      <c r="C148" s="3" t="s">
        <v>488</v>
      </c>
      <c r="D148" s="3" t="s">
        <v>508</v>
      </c>
      <c r="E148" s="3"/>
      <c r="F148" s="3" t="s">
        <v>15</v>
      </c>
      <c r="G148" s="3"/>
      <c r="H148" s="3"/>
      <c r="I148" s="3" t="s">
        <v>16</v>
      </c>
      <c r="J148" s="3" t="s">
        <v>17</v>
      </c>
      <c r="K148" s="3" t="s">
        <v>509</v>
      </c>
    </row>
    <row r="149" spans="1:11" ht="27.6" customHeight="1">
      <c r="A149" s="3" t="s">
        <v>510</v>
      </c>
      <c r="B149" s="3" t="s">
        <v>501</v>
      </c>
      <c r="C149" s="3" t="s">
        <v>488</v>
      </c>
      <c r="D149" s="3" t="s">
        <v>511</v>
      </c>
      <c r="E149" s="3"/>
      <c r="F149" s="3" t="s">
        <v>15</v>
      </c>
      <c r="G149" s="3"/>
      <c r="H149" s="3"/>
      <c r="I149" s="3" t="s">
        <v>16</v>
      </c>
      <c r="J149" s="3" t="s">
        <v>17</v>
      </c>
      <c r="K149" s="3" t="s">
        <v>512</v>
      </c>
    </row>
    <row r="150" spans="1:11" ht="27.6" customHeight="1">
      <c r="A150" s="3" t="s">
        <v>513</v>
      </c>
      <c r="B150" s="3" t="s">
        <v>514</v>
      </c>
      <c r="C150" s="3" t="s">
        <v>488</v>
      </c>
      <c r="D150" s="3" t="s">
        <v>515</v>
      </c>
      <c r="E150" s="3"/>
      <c r="F150" s="3" t="s">
        <v>15</v>
      </c>
      <c r="G150" s="3"/>
      <c r="H150" s="3"/>
      <c r="I150" s="3" t="s">
        <v>16</v>
      </c>
      <c r="J150" s="3" t="s">
        <v>17</v>
      </c>
      <c r="K150" s="3" t="s">
        <v>516</v>
      </c>
    </row>
    <row r="151" spans="1:11" ht="27.6" customHeight="1">
      <c r="A151" s="3" t="s">
        <v>517</v>
      </c>
      <c r="B151" s="3" t="s">
        <v>514</v>
      </c>
      <c r="C151" s="3" t="s">
        <v>488</v>
      </c>
      <c r="D151" s="3" t="s">
        <v>518</v>
      </c>
      <c r="E151" s="3"/>
      <c r="F151" s="3" t="s">
        <v>15</v>
      </c>
      <c r="G151" s="3"/>
      <c r="H151" s="3"/>
      <c r="I151" s="3" t="s">
        <v>16</v>
      </c>
      <c r="J151" s="3" t="s">
        <v>17</v>
      </c>
      <c r="K151" s="3" t="s">
        <v>519</v>
      </c>
    </row>
    <row r="152" spans="1:11" ht="27.6" customHeight="1">
      <c r="A152" s="3" t="s">
        <v>520</v>
      </c>
      <c r="B152" s="3" t="s">
        <v>514</v>
      </c>
      <c r="C152" s="3" t="s">
        <v>488</v>
      </c>
      <c r="D152" s="3" t="s">
        <v>521</v>
      </c>
      <c r="E152" s="3"/>
      <c r="F152" s="3" t="s">
        <v>15</v>
      </c>
      <c r="G152" s="3"/>
      <c r="H152" s="3"/>
      <c r="I152" s="3" t="s">
        <v>16</v>
      </c>
      <c r="J152" s="3" t="s">
        <v>17</v>
      </c>
      <c r="K152" s="3" t="s">
        <v>522</v>
      </c>
    </row>
    <row r="153" spans="1:11" ht="27.6" customHeight="1">
      <c r="A153" s="3" t="s">
        <v>523</v>
      </c>
      <c r="B153" s="3" t="s">
        <v>514</v>
      </c>
      <c r="C153" s="3" t="s">
        <v>488</v>
      </c>
      <c r="D153" s="3" t="s">
        <v>524</v>
      </c>
      <c r="E153" s="3"/>
      <c r="F153" s="3" t="s">
        <v>15</v>
      </c>
      <c r="G153" s="3"/>
      <c r="H153" s="3"/>
      <c r="I153" s="3" t="s">
        <v>16</v>
      </c>
      <c r="J153" s="3" t="s">
        <v>17</v>
      </c>
      <c r="K153" s="3" t="s">
        <v>525</v>
      </c>
    </row>
    <row r="154" spans="1:11" ht="27.6" customHeight="1">
      <c r="A154" s="3" t="s">
        <v>526</v>
      </c>
      <c r="B154" s="3" t="s">
        <v>527</v>
      </c>
      <c r="C154" s="3" t="s">
        <v>488</v>
      </c>
      <c r="D154" s="3" t="s">
        <v>528</v>
      </c>
      <c r="E154" s="3"/>
      <c r="F154" s="3" t="s">
        <v>15</v>
      </c>
      <c r="G154" s="3"/>
      <c r="H154" s="3"/>
      <c r="I154" s="3" t="s">
        <v>16</v>
      </c>
      <c r="J154" s="3" t="s">
        <v>17</v>
      </c>
      <c r="K154" s="3" t="s">
        <v>529</v>
      </c>
    </row>
    <row r="155" spans="1:11" ht="27.6" customHeight="1">
      <c r="A155" s="3" t="s">
        <v>530</v>
      </c>
      <c r="B155" s="3" t="s">
        <v>527</v>
      </c>
      <c r="C155" s="3" t="s">
        <v>488</v>
      </c>
      <c r="D155" s="3" t="s">
        <v>531</v>
      </c>
      <c r="E155" s="3"/>
      <c r="F155" s="3" t="s">
        <v>15</v>
      </c>
      <c r="G155" s="3"/>
      <c r="H155" s="3"/>
      <c r="I155" s="3" t="s">
        <v>16</v>
      </c>
      <c r="J155" s="3" t="s">
        <v>17</v>
      </c>
      <c r="K155" s="3" t="s">
        <v>532</v>
      </c>
    </row>
    <row r="156" spans="1:11" ht="27.6" customHeight="1">
      <c r="A156" s="3" t="s">
        <v>533</v>
      </c>
      <c r="B156" s="3" t="s">
        <v>527</v>
      </c>
      <c r="C156" s="3" t="s">
        <v>488</v>
      </c>
      <c r="D156" s="3" t="s">
        <v>534</v>
      </c>
      <c r="E156" s="3"/>
      <c r="F156" s="3" t="s">
        <v>15</v>
      </c>
      <c r="G156" s="3"/>
      <c r="H156" s="3"/>
      <c r="I156" s="3" t="s">
        <v>16</v>
      </c>
      <c r="J156" s="3" t="s">
        <v>17</v>
      </c>
      <c r="K156" s="3" t="s">
        <v>535</v>
      </c>
    </row>
    <row r="157" spans="1:11" ht="27.6" customHeight="1">
      <c r="A157" s="3" t="s">
        <v>536</v>
      </c>
      <c r="B157" s="3" t="s">
        <v>527</v>
      </c>
      <c r="C157" s="3" t="s">
        <v>488</v>
      </c>
      <c r="D157" s="3" t="s">
        <v>537</v>
      </c>
      <c r="E157" s="3"/>
      <c r="F157" s="3" t="s">
        <v>15</v>
      </c>
      <c r="G157" s="3"/>
      <c r="H157" s="3"/>
      <c r="I157" s="3" t="s">
        <v>16</v>
      </c>
      <c r="J157" s="3" t="s">
        <v>17</v>
      </c>
      <c r="K157" s="3" t="s">
        <v>538</v>
      </c>
    </row>
    <row r="158" spans="1:11" ht="27.6" customHeight="1">
      <c r="A158" s="3" t="s">
        <v>539</v>
      </c>
      <c r="B158" s="3" t="s">
        <v>540</v>
      </c>
      <c r="C158" s="3" t="s">
        <v>488</v>
      </c>
      <c r="D158" s="3" t="s">
        <v>541</v>
      </c>
      <c r="E158" s="3"/>
      <c r="F158" s="3" t="s">
        <v>15</v>
      </c>
      <c r="G158" s="3"/>
      <c r="H158" s="3"/>
      <c r="I158" s="3" t="s">
        <v>16</v>
      </c>
      <c r="J158" s="3" t="s">
        <v>17</v>
      </c>
      <c r="K158" s="3" t="s">
        <v>542</v>
      </c>
    </row>
    <row r="159" spans="1:11" ht="27.6" customHeight="1">
      <c r="A159" s="3" t="s">
        <v>543</v>
      </c>
      <c r="B159" s="3" t="s">
        <v>540</v>
      </c>
      <c r="C159" s="3" t="s">
        <v>488</v>
      </c>
      <c r="D159" s="3" t="s">
        <v>544</v>
      </c>
      <c r="E159" s="3"/>
      <c r="F159" s="3" t="s">
        <v>15</v>
      </c>
      <c r="G159" s="3"/>
      <c r="H159" s="3"/>
      <c r="I159" s="3" t="s">
        <v>16</v>
      </c>
      <c r="J159" s="3" t="s">
        <v>17</v>
      </c>
      <c r="K159" s="3" t="s">
        <v>545</v>
      </c>
    </row>
    <row r="160" spans="1:11" ht="27.6" customHeight="1">
      <c r="A160" s="3" t="s">
        <v>546</v>
      </c>
      <c r="B160" s="3" t="s">
        <v>540</v>
      </c>
      <c r="C160" s="3" t="s">
        <v>488</v>
      </c>
      <c r="D160" s="3" t="s">
        <v>547</v>
      </c>
      <c r="E160" s="3"/>
      <c r="F160" s="3" t="s">
        <v>15</v>
      </c>
      <c r="G160" s="3"/>
      <c r="H160" s="3"/>
      <c r="I160" s="3" t="s">
        <v>16</v>
      </c>
      <c r="J160" s="3" t="s">
        <v>17</v>
      </c>
      <c r="K160" s="3" t="s">
        <v>548</v>
      </c>
    </row>
    <row r="161" spans="1:11" ht="27.6" customHeight="1">
      <c r="A161" s="3" t="s">
        <v>549</v>
      </c>
      <c r="B161" s="3" t="s">
        <v>540</v>
      </c>
      <c r="C161" s="3" t="s">
        <v>488</v>
      </c>
      <c r="D161" s="3" t="s">
        <v>550</v>
      </c>
      <c r="E161" s="3"/>
      <c r="F161" s="3" t="s">
        <v>15</v>
      </c>
      <c r="G161" s="3"/>
      <c r="H161" s="3"/>
      <c r="I161" s="3" t="s">
        <v>16</v>
      </c>
      <c r="J161" s="3" t="s">
        <v>17</v>
      </c>
      <c r="K161" s="3" t="s">
        <v>551</v>
      </c>
    </row>
    <row r="162" spans="1:11" ht="27.6" customHeight="1">
      <c r="A162" s="3" t="s">
        <v>552</v>
      </c>
      <c r="B162" s="3" t="s">
        <v>553</v>
      </c>
      <c r="C162" s="3" t="s">
        <v>488</v>
      </c>
      <c r="D162" s="3" t="s">
        <v>554</v>
      </c>
      <c r="E162" s="3"/>
      <c r="F162" s="3" t="s">
        <v>15</v>
      </c>
      <c r="G162" s="3"/>
      <c r="H162" s="3"/>
      <c r="I162" s="3" t="s">
        <v>16</v>
      </c>
      <c r="J162" s="3" t="s">
        <v>17</v>
      </c>
      <c r="K162" s="3" t="s">
        <v>555</v>
      </c>
    </row>
    <row r="163" spans="1:11" ht="27.6" customHeight="1">
      <c r="A163" s="3" t="s">
        <v>556</v>
      </c>
      <c r="B163" s="3" t="s">
        <v>553</v>
      </c>
      <c r="C163" s="3" t="s">
        <v>488</v>
      </c>
      <c r="D163" s="3" t="s">
        <v>557</v>
      </c>
      <c r="E163" s="3"/>
      <c r="F163" s="3" t="s">
        <v>15</v>
      </c>
      <c r="G163" s="3"/>
      <c r="H163" s="3"/>
      <c r="I163" s="3" t="s">
        <v>16</v>
      </c>
      <c r="J163" s="3" t="s">
        <v>17</v>
      </c>
      <c r="K163" s="3" t="s">
        <v>558</v>
      </c>
    </row>
    <row r="164" spans="1:11" ht="27.6" customHeight="1">
      <c r="A164" s="3" t="s">
        <v>559</v>
      </c>
      <c r="B164" s="3" t="s">
        <v>553</v>
      </c>
      <c r="C164" s="3" t="s">
        <v>488</v>
      </c>
      <c r="D164" s="3" t="s">
        <v>560</v>
      </c>
      <c r="E164" s="3"/>
      <c r="F164" s="3" t="s">
        <v>15</v>
      </c>
      <c r="G164" s="3"/>
      <c r="H164" s="3"/>
      <c r="I164" s="3" t="s">
        <v>16</v>
      </c>
      <c r="J164" s="3" t="s">
        <v>17</v>
      </c>
      <c r="K164" s="3" t="s">
        <v>561</v>
      </c>
    </row>
    <row r="165" spans="1:11" ht="27.6" customHeight="1">
      <c r="A165" s="3" t="s">
        <v>562</v>
      </c>
      <c r="B165" s="3" t="s">
        <v>553</v>
      </c>
      <c r="C165" s="3" t="s">
        <v>488</v>
      </c>
      <c r="D165" s="3" t="s">
        <v>563</v>
      </c>
      <c r="E165" s="3"/>
      <c r="F165" s="3" t="s">
        <v>15</v>
      </c>
      <c r="G165" s="3"/>
      <c r="H165" s="3"/>
      <c r="I165" s="3" t="s">
        <v>16</v>
      </c>
      <c r="J165" s="3" t="s">
        <v>17</v>
      </c>
      <c r="K165" s="3" t="s">
        <v>564</v>
      </c>
    </row>
    <row r="166" spans="1:11" ht="27.6" customHeight="1">
      <c r="A166" s="3" t="s">
        <v>565</v>
      </c>
      <c r="B166" s="3" t="s">
        <v>566</v>
      </c>
      <c r="C166" s="3" t="s">
        <v>488</v>
      </c>
      <c r="D166" s="3" t="s">
        <v>567</v>
      </c>
      <c r="E166" s="3"/>
      <c r="F166" s="3" t="s">
        <v>15</v>
      </c>
      <c r="G166" s="3"/>
      <c r="H166" s="3"/>
      <c r="I166" s="3" t="s">
        <v>16</v>
      </c>
      <c r="J166" s="3" t="s">
        <v>17</v>
      </c>
      <c r="K166" s="3" t="s">
        <v>568</v>
      </c>
    </row>
    <row r="167" spans="1:11" ht="27.6" customHeight="1">
      <c r="A167" s="3" t="s">
        <v>569</v>
      </c>
      <c r="B167" s="3" t="s">
        <v>566</v>
      </c>
      <c r="C167" s="3" t="s">
        <v>488</v>
      </c>
      <c r="D167" s="3" t="s">
        <v>570</v>
      </c>
      <c r="E167" s="3"/>
      <c r="F167" s="3" t="s">
        <v>15</v>
      </c>
      <c r="G167" s="3"/>
      <c r="H167" s="3"/>
      <c r="I167" s="3" t="s">
        <v>16</v>
      </c>
      <c r="J167" s="3" t="s">
        <v>17</v>
      </c>
      <c r="K167" s="3" t="s">
        <v>571</v>
      </c>
    </row>
    <row r="168" spans="1:11" ht="27.6" customHeight="1">
      <c r="A168" s="3" t="s">
        <v>572</v>
      </c>
      <c r="B168" s="3" t="s">
        <v>566</v>
      </c>
      <c r="C168" s="3" t="s">
        <v>488</v>
      </c>
      <c r="D168" s="3" t="s">
        <v>573</v>
      </c>
      <c r="E168" s="3"/>
      <c r="F168" s="3" t="s">
        <v>15</v>
      </c>
      <c r="G168" s="3"/>
      <c r="H168" s="3"/>
      <c r="I168" s="3" t="s">
        <v>16</v>
      </c>
      <c r="J168" s="3" t="s">
        <v>17</v>
      </c>
      <c r="K168" s="3" t="s">
        <v>574</v>
      </c>
    </row>
    <row r="169" spans="1:11" ht="27.6" customHeight="1">
      <c r="A169" s="3" t="s">
        <v>575</v>
      </c>
      <c r="B169" s="3" t="s">
        <v>566</v>
      </c>
      <c r="C169" s="3" t="s">
        <v>488</v>
      </c>
      <c r="D169" s="3" t="s">
        <v>576</v>
      </c>
      <c r="E169" s="3"/>
      <c r="F169" s="3" t="s">
        <v>15</v>
      </c>
      <c r="G169" s="3"/>
      <c r="H169" s="3"/>
      <c r="I169" s="3" t="s">
        <v>16</v>
      </c>
      <c r="J169" s="3" t="s">
        <v>17</v>
      </c>
      <c r="K169" s="3" t="s">
        <v>577</v>
      </c>
    </row>
    <row r="170" spans="1:11" ht="27.6" customHeight="1">
      <c r="A170" s="3" t="s">
        <v>578</v>
      </c>
      <c r="B170" s="3" t="s">
        <v>579</v>
      </c>
      <c r="C170" s="3" t="s">
        <v>488</v>
      </c>
      <c r="D170" s="3" t="s">
        <v>580</v>
      </c>
      <c r="E170" s="3"/>
      <c r="F170" s="3" t="s">
        <v>15</v>
      </c>
      <c r="G170" s="3"/>
      <c r="H170" s="3"/>
      <c r="I170" s="3" t="s">
        <v>16</v>
      </c>
      <c r="J170" s="3" t="s">
        <v>17</v>
      </c>
      <c r="K170" s="3" t="s">
        <v>581</v>
      </c>
    </row>
    <row r="171" spans="1:11" ht="27.6" customHeight="1">
      <c r="A171" s="3" t="s">
        <v>582</v>
      </c>
      <c r="B171" s="3" t="s">
        <v>579</v>
      </c>
      <c r="C171" s="3" t="s">
        <v>488</v>
      </c>
      <c r="D171" s="3" t="s">
        <v>583</v>
      </c>
      <c r="E171" s="3"/>
      <c r="F171" s="3" t="s">
        <v>15</v>
      </c>
      <c r="G171" s="3"/>
      <c r="H171" s="3"/>
      <c r="I171" s="3" t="s">
        <v>16</v>
      </c>
      <c r="J171" s="3" t="s">
        <v>17</v>
      </c>
      <c r="K171" s="3" t="s">
        <v>584</v>
      </c>
    </row>
    <row r="172" spans="1:11" ht="27.6" customHeight="1">
      <c r="A172" s="3" t="s">
        <v>585</v>
      </c>
      <c r="B172" s="3" t="s">
        <v>579</v>
      </c>
      <c r="C172" s="3" t="s">
        <v>488</v>
      </c>
      <c r="D172" s="3" t="s">
        <v>586</v>
      </c>
      <c r="E172" s="3"/>
      <c r="F172" s="3" t="s">
        <v>15</v>
      </c>
      <c r="G172" s="3"/>
      <c r="H172" s="3"/>
      <c r="I172" s="3" t="s">
        <v>16</v>
      </c>
      <c r="J172" s="3" t="s">
        <v>17</v>
      </c>
      <c r="K172" s="3" t="s">
        <v>587</v>
      </c>
    </row>
    <row r="173" spans="1:11" ht="27.6" customHeight="1">
      <c r="A173" s="3" t="s">
        <v>588</v>
      </c>
      <c r="B173" s="3" t="s">
        <v>579</v>
      </c>
      <c r="C173" s="3" t="s">
        <v>488</v>
      </c>
      <c r="D173" s="3" t="s">
        <v>589</v>
      </c>
      <c r="E173" s="3"/>
      <c r="F173" s="3" t="s">
        <v>15</v>
      </c>
      <c r="G173" s="3"/>
      <c r="H173" s="3"/>
      <c r="I173" s="3" t="s">
        <v>16</v>
      </c>
      <c r="J173" s="3" t="s">
        <v>17</v>
      </c>
      <c r="K173" s="3" t="s">
        <v>590</v>
      </c>
    </row>
    <row r="174" spans="1:11" ht="27.6" customHeight="1">
      <c r="A174" s="3" t="s">
        <v>591</v>
      </c>
      <c r="B174" s="3" t="s">
        <v>592</v>
      </c>
      <c r="C174" s="3" t="s">
        <v>488</v>
      </c>
      <c r="D174" s="3" t="s">
        <v>593</v>
      </c>
      <c r="E174" s="3"/>
      <c r="F174" s="3" t="s">
        <v>15</v>
      </c>
      <c r="G174" s="3"/>
      <c r="H174" s="3"/>
      <c r="I174" s="3" t="s">
        <v>16</v>
      </c>
      <c r="J174" s="3" t="s">
        <v>17</v>
      </c>
      <c r="K174" s="3" t="s">
        <v>594</v>
      </c>
    </row>
    <row r="175" spans="1:11" ht="27.6" customHeight="1">
      <c r="A175" s="3" t="s">
        <v>595</v>
      </c>
      <c r="B175" s="3" t="s">
        <v>592</v>
      </c>
      <c r="C175" s="3" t="s">
        <v>488</v>
      </c>
      <c r="D175" s="3" t="s">
        <v>596</v>
      </c>
      <c r="E175" s="3"/>
      <c r="F175" s="3" t="s">
        <v>15</v>
      </c>
      <c r="G175" s="3"/>
      <c r="H175" s="3"/>
      <c r="I175" s="3" t="s">
        <v>16</v>
      </c>
      <c r="J175" s="3" t="s">
        <v>17</v>
      </c>
      <c r="K175" s="3" t="s">
        <v>597</v>
      </c>
    </row>
    <row r="176" spans="1:11" ht="27.6" customHeight="1">
      <c r="A176" s="3" t="s">
        <v>598</v>
      </c>
      <c r="B176" s="3" t="s">
        <v>592</v>
      </c>
      <c r="C176" s="3" t="s">
        <v>488</v>
      </c>
      <c r="D176" s="3" t="s">
        <v>599</v>
      </c>
      <c r="E176" s="3"/>
      <c r="F176" s="3" t="s">
        <v>15</v>
      </c>
      <c r="G176" s="3"/>
      <c r="H176" s="3"/>
      <c r="I176" s="3" t="s">
        <v>16</v>
      </c>
      <c r="J176" s="3" t="s">
        <v>17</v>
      </c>
      <c r="K176" s="3" t="s">
        <v>600</v>
      </c>
    </row>
    <row r="177" spans="1:11" ht="27.6" customHeight="1">
      <c r="A177" s="3" t="s">
        <v>601</v>
      </c>
      <c r="B177" s="3" t="s">
        <v>592</v>
      </c>
      <c r="C177" s="3" t="s">
        <v>488</v>
      </c>
      <c r="D177" s="3" t="s">
        <v>602</v>
      </c>
      <c r="E177" s="3"/>
      <c r="F177" s="3" t="s">
        <v>15</v>
      </c>
      <c r="G177" s="3"/>
      <c r="H177" s="3"/>
      <c r="I177" s="3" t="s">
        <v>16</v>
      </c>
      <c r="J177" s="3" t="s">
        <v>17</v>
      </c>
      <c r="K177" s="3" t="s">
        <v>603</v>
      </c>
    </row>
    <row r="178" spans="1:11" ht="27.6" customHeight="1">
      <c r="A178" s="3" t="s">
        <v>604</v>
      </c>
      <c r="B178" s="3" t="s">
        <v>605</v>
      </c>
      <c r="C178" s="3" t="s">
        <v>488</v>
      </c>
      <c r="D178" s="3" t="s">
        <v>606</v>
      </c>
      <c r="E178" s="3"/>
      <c r="F178" s="3" t="s">
        <v>15</v>
      </c>
      <c r="G178" s="3"/>
      <c r="H178" s="3"/>
      <c r="I178" s="3" t="s">
        <v>16</v>
      </c>
      <c r="J178" s="3" t="s">
        <v>17</v>
      </c>
      <c r="K178" s="3" t="s">
        <v>607</v>
      </c>
    </row>
    <row r="179" spans="1:11" ht="27.6" customHeight="1">
      <c r="A179" s="3" t="s">
        <v>608</v>
      </c>
      <c r="B179" s="3" t="s">
        <v>605</v>
      </c>
      <c r="C179" s="3" t="s">
        <v>488</v>
      </c>
      <c r="D179" s="3" t="s">
        <v>609</v>
      </c>
      <c r="E179" s="3"/>
      <c r="F179" s="3" t="s">
        <v>15</v>
      </c>
      <c r="G179" s="3"/>
      <c r="H179" s="3"/>
      <c r="I179" s="3" t="s">
        <v>16</v>
      </c>
      <c r="J179" s="3" t="s">
        <v>17</v>
      </c>
      <c r="K179" s="3" t="s">
        <v>610</v>
      </c>
    </row>
    <row r="180" spans="1:11" ht="27.6" customHeight="1">
      <c r="A180" s="3" t="s">
        <v>611</v>
      </c>
      <c r="B180" s="3" t="s">
        <v>605</v>
      </c>
      <c r="C180" s="3" t="s">
        <v>488</v>
      </c>
      <c r="D180" s="3" t="s">
        <v>612</v>
      </c>
      <c r="E180" s="3"/>
      <c r="F180" s="3" t="s">
        <v>15</v>
      </c>
      <c r="G180" s="3"/>
      <c r="H180" s="3"/>
      <c r="I180" s="3" t="s">
        <v>16</v>
      </c>
      <c r="J180" s="3" t="s">
        <v>17</v>
      </c>
      <c r="K180" s="3" t="s">
        <v>613</v>
      </c>
    </row>
    <row r="181" spans="1:11" ht="27.6" customHeight="1">
      <c r="A181" s="3" t="s">
        <v>614</v>
      </c>
      <c r="B181" s="3" t="s">
        <v>605</v>
      </c>
      <c r="C181" s="3" t="s">
        <v>488</v>
      </c>
      <c r="D181" s="3" t="s">
        <v>615</v>
      </c>
      <c r="E181" s="3"/>
      <c r="F181" s="3" t="s">
        <v>15</v>
      </c>
      <c r="G181" s="3"/>
      <c r="H181" s="3"/>
      <c r="I181" s="3" t="s">
        <v>16</v>
      </c>
      <c r="J181" s="3" t="s">
        <v>17</v>
      </c>
      <c r="K181" s="3" t="s">
        <v>616</v>
      </c>
    </row>
    <row r="182" spans="1:11" ht="27.6" customHeight="1">
      <c r="A182" s="3" t="s">
        <v>617</v>
      </c>
      <c r="B182" s="3" t="s">
        <v>618</v>
      </c>
      <c r="C182" s="3" t="s">
        <v>619</v>
      </c>
      <c r="D182" s="3" t="s">
        <v>620</v>
      </c>
      <c r="E182" s="3"/>
      <c r="F182" s="3" t="s">
        <v>15</v>
      </c>
      <c r="G182" s="3"/>
      <c r="H182" s="3"/>
      <c r="I182" s="3" t="s">
        <v>16</v>
      </c>
      <c r="J182" s="3" t="s">
        <v>17</v>
      </c>
      <c r="K182" s="3" t="s">
        <v>621</v>
      </c>
    </row>
    <row r="183" spans="1:11" ht="27.6" customHeight="1">
      <c r="A183" s="3" t="s">
        <v>622</v>
      </c>
      <c r="B183" s="3" t="s">
        <v>618</v>
      </c>
      <c r="C183" s="3" t="s">
        <v>619</v>
      </c>
      <c r="D183" s="3" t="s">
        <v>623</v>
      </c>
      <c r="E183" s="3"/>
      <c r="F183" s="3" t="s">
        <v>15</v>
      </c>
      <c r="G183" s="3"/>
      <c r="H183" s="3"/>
      <c r="I183" s="3" t="s">
        <v>16</v>
      </c>
      <c r="J183" s="3" t="s">
        <v>17</v>
      </c>
      <c r="K183" s="3" t="s">
        <v>624</v>
      </c>
    </row>
    <row r="184" spans="1:11" ht="27.6" customHeight="1">
      <c r="A184" s="3" t="s">
        <v>625</v>
      </c>
      <c r="B184" s="3" t="s">
        <v>618</v>
      </c>
      <c r="C184" s="3" t="s">
        <v>619</v>
      </c>
      <c r="D184" s="3" t="s">
        <v>626</v>
      </c>
      <c r="E184" s="3"/>
      <c r="F184" s="3" t="s">
        <v>15</v>
      </c>
      <c r="G184" s="3"/>
      <c r="H184" s="3"/>
      <c r="I184" s="3" t="s">
        <v>16</v>
      </c>
      <c r="J184" s="3" t="s">
        <v>17</v>
      </c>
      <c r="K184" s="3" t="s">
        <v>627</v>
      </c>
    </row>
    <row r="185" spans="1:11" ht="27.6" customHeight="1">
      <c r="A185" s="3" t="s">
        <v>628</v>
      </c>
      <c r="B185" s="3" t="s">
        <v>618</v>
      </c>
      <c r="C185" s="3" t="s">
        <v>619</v>
      </c>
      <c r="D185" s="3" t="s">
        <v>629</v>
      </c>
      <c r="E185" s="3"/>
      <c r="F185" s="3" t="s">
        <v>15</v>
      </c>
      <c r="G185" s="3"/>
      <c r="H185" s="3"/>
      <c r="I185" s="3" t="s">
        <v>16</v>
      </c>
      <c r="J185" s="3" t="s">
        <v>17</v>
      </c>
      <c r="K185" s="3" t="s">
        <v>630</v>
      </c>
    </row>
    <row r="186" spans="1:11" ht="27.6" customHeight="1">
      <c r="A186" s="3" t="s">
        <v>631</v>
      </c>
      <c r="B186" s="3" t="s">
        <v>632</v>
      </c>
      <c r="C186" s="3" t="s">
        <v>619</v>
      </c>
      <c r="D186" s="3" t="s">
        <v>633</v>
      </c>
      <c r="E186" s="3"/>
      <c r="F186" s="3" t="s">
        <v>15</v>
      </c>
      <c r="G186" s="3"/>
      <c r="H186" s="3"/>
      <c r="I186" s="3" t="s">
        <v>16</v>
      </c>
      <c r="J186" s="3" t="s">
        <v>17</v>
      </c>
      <c r="K186" s="3" t="s">
        <v>634</v>
      </c>
    </row>
    <row r="187" spans="1:11" ht="27.6" customHeight="1">
      <c r="A187" s="3" t="s">
        <v>635</v>
      </c>
      <c r="B187" s="3" t="s">
        <v>632</v>
      </c>
      <c r="C187" s="3" t="s">
        <v>619</v>
      </c>
      <c r="D187" s="3" t="s">
        <v>636</v>
      </c>
      <c r="E187" s="3"/>
      <c r="F187" s="3" t="s">
        <v>15</v>
      </c>
      <c r="G187" s="3"/>
      <c r="H187" s="3"/>
      <c r="I187" s="3" t="s">
        <v>16</v>
      </c>
      <c r="J187" s="3" t="s">
        <v>17</v>
      </c>
      <c r="K187" s="3" t="s">
        <v>637</v>
      </c>
    </row>
    <row r="188" spans="1:11" ht="27.6" customHeight="1">
      <c r="A188" s="3" t="s">
        <v>638</v>
      </c>
      <c r="B188" s="3" t="s">
        <v>632</v>
      </c>
      <c r="C188" s="3" t="s">
        <v>619</v>
      </c>
      <c r="D188" s="3" t="s">
        <v>639</v>
      </c>
      <c r="E188" s="3"/>
      <c r="F188" s="3" t="s">
        <v>15</v>
      </c>
      <c r="G188" s="3"/>
      <c r="H188" s="3"/>
      <c r="I188" s="3" t="s">
        <v>16</v>
      </c>
      <c r="J188" s="3" t="s">
        <v>17</v>
      </c>
      <c r="K188" s="3" t="s">
        <v>640</v>
      </c>
    </row>
    <row r="189" spans="1:11" ht="27.6" customHeight="1">
      <c r="A189" s="3" t="s">
        <v>641</v>
      </c>
      <c r="B189" s="3" t="s">
        <v>632</v>
      </c>
      <c r="C189" s="3" t="s">
        <v>619</v>
      </c>
      <c r="D189" s="3" t="s">
        <v>642</v>
      </c>
      <c r="E189" s="3"/>
      <c r="F189" s="3" t="s">
        <v>15</v>
      </c>
      <c r="G189" s="3"/>
      <c r="H189" s="3"/>
      <c r="I189" s="3" t="s">
        <v>16</v>
      </c>
      <c r="J189" s="3" t="s">
        <v>17</v>
      </c>
      <c r="K189" s="3" t="s">
        <v>643</v>
      </c>
    </row>
    <row r="190" spans="1:11" ht="27.6" customHeight="1">
      <c r="A190" s="3" t="s">
        <v>644</v>
      </c>
      <c r="B190" s="3" t="s">
        <v>645</v>
      </c>
      <c r="C190" s="3" t="s">
        <v>619</v>
      </c>
      <c r="D190" s="3" t="s">
        <v>646</v>
      </c>
      <c r="E190" s="3"/>
      <c r="F190" s="3" t="s">
        <v>15</v>
      </c>
      <c r="G190" s="3"/>
      <c r="H190" s="3"/>
      <c r="I190" s="3" t="s">
        <v>16</v>
      </c>
      <c r="J190" s="3" t="s">
        <v>17</v>
      </c>
      <c r="K190" s="3" t="s">
        <v>647</v>
      </c>
    </row>
    <row r="191" spans="1:11" ht="27.6" customHeight="1">
      <c r="A191" s="3" t="s">
        <v>648</v>
      </c>
      <c r="B191" s="3" t="s">
        <v>645</v>
      </c>
      <c r="C191" s="3" t="s">
        <v>619</v>
      </c>
      <c r="D191" s="3" t="s">
        <v>649</v>
      </c>
      <c r="E191" s="3"/>
      <c r="F191" s="3" t="s">
        <v>15</v>
      </c>
      <c r="G191" s="3"/>
      <c r="H191" s="3"/>
      <c r="I191" s="3" t="s">
        <v>16</v>
      </c>
      <c r="J191" s="3" t="s">
        <v>17</v>
      </c>
      <c r="K191" s="3" t="s">
        <v>650</v>
      </c>
    </row>
    <row r="192" spans="1:11" ht="27.6" customHeight="1">
      <c r="A192" s="3" t="s">
        <v>651</v>
      </c>
      <c r="B192" s="3" t="s">
        <v>645</v>
      </c>
      <c r="C192" s="3" t="s">
        <v>619</v>
      </c>
      <c r="D192" s="3" t="s">
        <v>652</v>
      </c>
      <c r="E192" s="3"/>
      <c r="F192" s="3" t="s">
        <v>15</v>
      </c>
      <c r="G192" s="3"/>
      <c r="H192" s="3"/>
      <c r="I192" s="3" t="s">
        <v>16</v>
      </c>
      <c r="J192" s="3" t="s">
        <v>17</v>
      </c>
      <c r="K192" s="3" t="s">
        <v>653</v>
      </c>
    </row>
    <row r="193" spans="1:11" ht="27.6" customHeight="1">
      <c r="A193" s="3" t="s">
        <v>654</v>
      </c>
      <c r="B193" s="3" t="s">
        <v>645</v>
      </c>
      <c r="C193" s="3" t="s">
        <v>619</v>
      </c>
      <c r="D193" s="3" t="s">
        <v>655</v>
      </c>
      <c r="E193" s="3"/>
      <c r="F193" s="3" t="s">
        <v>15</v>
      </c>
      <c r="G193" s="3"/>
      <c r="H193" s="3"/>
      <c r="I193" s="3" t="s">
        <v>16</v>
      </c>
      <c r="J193" s="3" t="s">
        <v>17</v>
      </c>
      <c r="K193" s="3" t="s">
        <v>656</v>
      </c>
    </row>
    <row r="194" spans="1:11" ht="27.6" customHeight="1">
      <c r="A194" s="3" t="s">
        <v>657</v>
      </c>
      <c r="B194" s="3" t="s">
        <v>658</v>
      </c>
      <c r="C194" s="3" t="s">
        <v>619</v>
      </c>
      <c r="D194" s="3" t="s">
        <v>659</v>
      </c>
      <c r="E194" s="3"/>
      <c r="F194" s="3" t="s">
        <v>15</v>
      </c>
      <c r="G194" s="3"/>
      <c r="H194" s="3"/>
      <c r="I194" s="3" t="s">
        <v>16</v>
      </c>
      <c r="J194" s="3" t="s">
        <v>17</v>
      </c>
      <c r="K194" s="3" t="s">
        <v>660</v>
      </c>
    </row>
    <row r="195" spans="1:11" ht="27.6" customHeight="1">
      <c r="A195" s="3" t="s">
        <v>661</v>
      </c>
      <c r="B195" s="3" t="s">
        <v>658</v>
      </c>
      <c r="C195" s="3" t="s">
        <v>619</v>
      </c>
      <c r="D195" s="3" t="s">
        <v>662</v>
      </c>
      <c r="E195" s="3"/>
      <c r="F195" s="3" t="s">
        <v>15</v>
      </c>
      <c r="G195" s="3"/>
      <c r="H195" s="3"/>
      <c r="I195" s="3" t="s">
        <v>16</v>
      </c>
      <c r="J195" s="3" t="s">
        <v>17</v>
      </c>
      <c r="K195" s="3" t="s">
        <v>663</v>
      </c>
    </row>
    <row r="196" spans="1:11" ht="27.6" customHeight="1">
      <c r="A196" s="3" t="s">
        <v>664</v>
      </c>
      <c r="B196" s="3" t="s">
        <v>658</v>
      </c>
      <c r="C196" s="3" t="s">
        <v>619</v>
      </c>
      <c r="D196" s="3" t="s">
        <v>665</v>
      </c>
      <c r="E196" s="3"/>
      <c r="F196" s="3" t="s">
        <v>15</v>
      </c>
      <c r="G196" s="3"/>
      <c r="H196" s="3"/>
      <c r="I196" s="3" t="s">
        <v>16</v>
      </c>
      <c r="J196" s="3" t="s">
        <v>17</v>
      </c>
      <c r="K196" s="3" t="s">
        <v>666</v>
      </c>
    </row>
    <row r="197" spans="1:11" ht="27.6" customHeight="1">
      <c r="A197" s="3" t="s">
        <v>667</v>
      </c>
      <c r="B197" s="3" t="s">
        <v>658</v>
      </c>
      <c r="C197" s="3" t="s">
        <v>619</v>
      </c>
      <c r="D197" s="3" t="s">
        <v>668</v>
      </c>
      <c r="E197" s="3"/>
      <c r="F197" s="3" t="s">
        <v>15</v>
      </c>
      <c r="G197" s="3"/>
      <c r="H197" s="3"/>
      <c r="I197" s="3" t="s">
        <v>16</v>
      </c>
      <c r="J197" s="3" t="s">
        <v>17</v>
      </c>
      <c r="K197" s="3" t="s">
        <v>669</v>
      </c>
    </row>
    <row r="198" spans="1:11" ht="27.6" customHeight="1">
      <c r="A198" s="3" t="s">
        <v>670</v>
      </c>
      <c r="B198" s="3" t="s">
        <v>671</v>
      </c>
      <c r="C198" s="3" t="s">
        <v>619</v>
      </c>
      <c r="D198" s="3" t="s">
        <v>672</v>
      </c>
      <c r="E198" s="3"/>
      <c r="F198" s="3" t="s">
        <v>15</v>
      </c>
      <c r="G198" s="3"/>
      <c r="H198" s="3"/>
      <c r="I198" s="3" t="s">
        <v>16</v>
      </c>
      <c r="J198" s="3" t="s">
        <v>17</v>
      </c>
      <c r="K198" s="3" t="s">
        <v>673</v>
      </c>
    </row>
    <row r="199" spans="1:11" ht="27.6" customHeight="1">
      <c r="A199" s="3" t="s">
        <v>674</v>
      </c>
      <c r="B199" s="3" t="s">
        <v>671</v>
      </c>
      <c r="C199" s="3" t="s">
        <v>619</v>
      </c>
      <c r="D199" s="3" t="s">
        <v>675</v>
      </c>
      <c r="E199" s="3"/>
      <c r="F199" s="3" t="s">
        <v>15</v>
      </c>
      <c r="G199" s="3"/>
      <c r="H199" s="3"/>
      <c r="I199" s="3" t="s">
        <v>16</v>
      </c>
      <c r="J199" s="3" t="s">
        <v>17</v>
      </c>
      <c r="K199" s="3" t="s">
        <v>676</v>
      </c>
    </row>
    <row r="200" spans="1:11" ht="27.6" customHeight="1">
      <c r="A200" s="3" t="s">
        <v>677</v>
      </c>
      <c r="B200" s="3" t="s">
        <v>671</v>
      </c>
      <c r="C200" s="3" t="s">
        <v>619</v>
      </c>
      <c r="D200" s="3" t="s">
        <v>678</v>
      </c>
      <c r="E200" s="3"/>
      <c r="F200" s="3" t="s">
        <v>15</v>
      </c>
      <c r="G200" s="3"/>
      <c r="H200" s="3"/>
      <c r="I200" s="3" t="s">
        <v>16</v>
      </c>
      <c r="J200" s="3" t="s">
        <v>17</v>
      </c>
      <c r="K200" s="3" t="s">
        <v>679</v>
      </c>
    </row>
    <row r="201" spans="1:11" ht="27.6" customHeight="1">
      <c r="A201" s="3" t="s">
        <v>680</v>
      </c>
      <c r="B201" s="3" t="s">
        <v>671</v>
      </c>
      <c r="C201" s="3" t="s">
        <v>619</v>
      </c>
      <c r="D201" s="3" t="s">
        <v>681</v>
      </c>
      <c r="E201" s="3"/>
      <c r="F201" s="3" t="s">
        <v>15</v>
      </c>
      <c r="G201" s="3"/>
      <c r="H201" s="3"/>
      <c r="I201" s="3" t="s">
        <v>16</v>
      </c>
      <c r="J201" s="3" t="s">
        <v>17</v>
      </c>
      <c r="K201" s="3" t="s">
        <v>682</v>
      </c>
    </row>
    <row r="202" spans="1:11" ht="27.6" customHeight="1">
      <c r="A202" s="3" t="s">
        <v>683</v>
      </c>
      <c r="B202" s="3" t="s">
        <v>684</v>
      </c>
      <c r="C202" s="3" t="s">
        <v>685</v>
      </c>
      <c r="D202" s="3" t="s">
        <v>686</v>
      </c>
      <c r="E202" s="3"/>
      <c r="F202" s="3" t="s">
        <v>15</v>
      </c>
      <c r="G202" s="3"/>
      <c r="H202" s="3"/>
      <c r="I202" s="3" t="s">
        <v>16</v>
      </c>
      <c r="J202" s="3" t="s">
        <v>17</v>
      </c>
      <c r="K202" s="3" t="s">
        <v>687</v>
      </c>
    </row>
    <row r="203" spans="1:11" ht="27.6" customHeight="1">
      <c r="A203" s="3" t="s">
        <v>688</v>
      </c>
      <c r="B203" s="3" t="s">
        <v>684</v>
      </c>
      <c r="C203" s="3" t="s">
        <v>685</v>
      </c>
      <c r="D203" s="3" t="s">
        <v>689</v>
      </c>
      <c r="E203" s="3"/>
      <c r="F203" s="3" t="s">
        <v>15</v>
      </c>
      <c r="G203" s="3"/>
      <c r="H203" s="3"/>
      <c r="I203" s="3" t="s">
        <v>16</v>
      </c>
      <c r="J203" s="3" t="s">
        <v>17</v>
      </c>
      <c r="K203" s="3" t="s">
        <v>690</v>
      </c>
    </row>
    <row r="204" spans="1:11" ht="27.6" customHeight="1">
      <c r="A204" s="3" t="s">
        <v>691</v>
      </c>
      <c r="B204" s="3" t="s">
        <v>684</v>
      </c>
      <c r="C204" s="3" t="s">
        <v>685</v>
      </c>
      <c r="D204" s="3" t="s">
        <v>692</v>
      </c>
      <c r="E204" s="3"/>
      <c r="F204" s="3" t="s">
        <v>15</v>
      </c>
      <c r="G204" s="3"/>
      <c r="H204" s="3"/>
      <c r="I204" s="3" t="s">
        <v>16</v>
      </c>
      <c r="J204" s="3" t="s">
        <v>17</v>
      </c>
      <c r="K204" s="3" t="s">
        <v>693</v>
      </c>
    </row>
    <row r="205" spans="1:11" ht="27.6" customHeight="1">
      <c r="A205" s="3" t="s">
        <v>694</v>
      </c>
      <c r="B205" s="3" t="s">
        <v>684</v>
      </c>
      <c r="C205" s="3" t="s">
        <v>685</v>
      </c>
      <c r="D205" s="3" t="s">
        <v>695</v>
      </c>
      <c r="E205" s="3"/>
      <c r="F205" s="3" t="s">
        <v>15</v>
      </c>
      <c r="G205" s="3"/>
      <c r="H205" s="3"/>
      <c r="I205" s="3" t="s">
        <v>16</v>
      </c>
      <c r="J205" s="3" t="s">
        <v>17</v>
      </c>
      <c r="K205" s="3" t="s">
        <v>696</v>
      </c>
    </row>
    <row r="206" spans="1:11" ht="27.6" customHeight="1">
      <c r="A206" s="3" t="s">
        <v>697</v>
      </c>
      <c r="B206" s="3" t="s">
        <v>698</v>
      </c>
      <c r="C206" s="3" t="s">
        <v>685</v>
      </c>
      <c r="D206" s="3" t="s">
        <v>699</v>
      </c>
      <c r="E206" s="3"/>
      <c r="F206" s="3" t="s">
        <v>15</v>
      </c>
      <c r="G206" s="3"/>
      <c r="H206" s="3"/>
      <c r="I206" s="3" t="s">
        <v>16</v>
      </c>
      <c r="J206" s="3" t="s">
        <v>17</v>
      </c>
      <c r="K206" s="3" t="s">
        <v>700</v>
      </c>
    </row>
    <row r="207" spans="1:11" ht="27.6" customHeight="1">
      <c r="A207" s="3" t="s">
        <v>701</v>
      </c>
      <c r="B207" s="3" t="s">
        <v>698</v>
      </c>
      <c r="C207" s="3" t="s">
        <v>685</v>
      </c>
      <c r="D207" s="3" t="s">
        <v>702</v>
      </c>
      <c r="E207" s="3"/>
      <c r="F207" s="3" t="s">
        <v>15</v>
      </c>
      <c r="G207" s="3"/>
      <c r="H207" s="3"/>
      <c r="I207" s="3" t="s">
        <v>16</v>
      </c>
      <c r="J207" s="3" t="s">
        <v>17</v>
      </c>
      <c r="K207" s="3" t="s">
        <v>703</v>
      </c>
    </row>
    <row r="208" spans="1:11" ht="27.6" customHeight="1">
      <c r="A208" s="3" t="s">
        <v>704</v>
      </c>
      <c r="B208" s="3" t="s">
        <v>698</v>
      </c>
      <c r="C208" s="3" t="s">
        <v>685</v>
      </c>
      <c r="D208" s="3" t="s">
        <v>705</v>
      </c>
      <c r="E208" s="3"/>
      <c r="F208" s="3" t="s">
        <v>15</v>
      </c>
      <c r="G208" s="3"/>
      <c r="H208" s="3"/>
      <c r="I208" s="3" t="s">
        <v>16</v>
      </c>
      <c r="J208" s="3" t="s">
        <v>17</v>
      </c>
      <c r="K208" s="3" t="s">
        <v>706</v>
      </c>
    </row>
    <row r="209" spans="1:11" ht="27.6" customHeight="1">
      <c r="A209" s="3" t="s">
        <v>707</v>
      </c>
      <c r="B209" s="3" t="s">
        <v>698</v>
      </c>
      <c r="C209" s="3" t="s">
        <v>685</v>
      </c>
      <c r="D209" s="3" t="s">
        <v>708</v>
      </c>
      <c r="E209" s="3"/>
      <c r="F209" s="3" t="s">
        <v>15</v>
      </c>
      <c r="G209" s="3"/>
      <c r="H209" s="3" t="s">
        <v>709</v>
      </c>
      <c r="I209" s="3" t="s">
        <v>16</v>
      </c>
      <c r="J209" s="3" t="s">
        <v>17</v>
      </c>
      <c r="K209" s="3" t="s">
        <v>710</v>
      </c>
    </row>
    <row r="210" spans="1:11" ht="27.6" customHeight="1">
      <c r="A210" s="3" t="s">
        <v>711</v>
      </c>
      <c r="B210" s="3" t="s">
        <v>712</v>
      </c>
      <c r="C210" s="3" t="s">
        <v>685</v>
      </c>
      <c r="D210" s="3" t="s">
        <v>713</v>
      </c>
      <c r="E210" s="3"/>
      <c r="F210" s="3" t="s">
        <v>15</v>
      </c>
      <c r="G210" s="3"/>
      <c r="H210" s="3"/>
      <c r="I210" s="3" t="s">
        <v>16</v>
      </c>
      <c r="J210" s="3" t="s">
        <v>17</v>
      </c>
      <c r="K210" s="3" t="s">
        <v>714</v>
      </c>
    </row>
    <row r="211" spans="1:11" ht="27.6" customHeight="1">
      <c r="A211" s="3" t="s">
        <v>715</v>
      </c>
      <c r="B211" s="3" t="s">
        <v>712</v>
      </c>
      <c r="C211" s="3" t="s">
        <v>685</v>
      </c>
      <c r="D211" s="3" t="s">
        <v>716</v>
      </c>
      <c r="E211" s="3"/>
      <c r="F211" s="3" t="s">
        <v>15</v>
      </c>
      <c r="G211" s="3"/>
      <c r="H211" s="3"/>
      <c r="I211" s="3" t="s">
        <v>16</v>
      </c>
      <c r="J211" s="3" t="s">
        <v>17</v>
      </c>
      <c r="K211" s="3" t="s">
        <v>717</v>
      </c>
    </row>
    <row r="212" spans="1:11" ht="27.6" customHeight="1">
      <c r="A212" s="3" t="s">
        <v>718</v>
      </c>
      <c r="B212" s="3" t="s">
        <v>712</v>
      </c>
      <c r="C212" s="3" t="s">
        <v>685</v>
      </c>
      <c r="D212" s="3" t="s">
        <v>719</v>
      </c>
      <c r="E212" s="3"/>
      <c r="F212" s="3" t="s">
        <v>15</v>
      </c>
      <c r="G212" s="3"/>
      <c r="H212" s="3"/>
      <c r="I212" s="3" t="s">
        <v>16</v>
      </c>
      <c r="J212" s="3" t="s">
        <v>17</v>
      </c>
      <c r="K212" s="3" t="s">
        <v>720</v>
      </c>
    </row>
    <row r="213" spans="1:11" ht="27.6" customHeight="1">
      <c r="A213" s="3" t="s">
        <v>721</v>
      </c>
      <c r="B213" s="3" t="s">
        <v>712</v>
      </c>
      <c r="C213" s="3" t="s">
        <v>685</v>
      </c>
      <c r="D213" s="3" t="s">
        <v>722</v>
      </c>
      <c r="E213" s="3"/>
      <c r="F213" s="3" t="s">
        <v>15</v>
      </c>
      <c r="G213" s="3"/>
      <c r="H213" s="3" t="s">
        <v>723</v>
      </c>
      <c r="I213" s="3" t="s">
        <v>16</v>
      </c>
      <c r="J213" s="3" t="s">
        <v>17</v>
      </c>
      <c r="K213" s="3" t="s">
        <v>724</v>
      </c>
    </row>
    <row r="214" spans="1:11" ht="27.6" customHeight="1">
      <c r="A214" s="3" t="s">
        <v>725</v>
      </c>
      <c r="B214" s="3" t="s">
        <v>726</v>
      </c>
      <c r="C214" s="3" t="s">
        <v>685</v>
      </c>
      <c r="D214" s="3" t="s">
        <v>727</v>
      </c>
      <c r="E214" s="3"/>
      <c r="F214" s="3" t="s">
        <v>15</v>
      </c>
      <c r="G214" s="3"/>
      <c r="H214" s="3"/>
      <c r="I214" s="3" t="s">
        <v>16</v>
      </c>
      <c r="J214" s="3" t="s">
        <v>17</v>
      </c>
      <c r="K214" s="3" t="s">
        <v>728</v>
      </c>
    </row>
    <row r="215" spans="1:11" ht="27.6" customHeight="1">
      <c r="A215" s="3" t="s">
        <v>729</v>
      </c>
      <c r="B215" s="3" t="s">
        <v>726</v>
      </c>
      <c r="C215" s="3" t="s">
        <v>685</v>
      </c>
      <c r="D215" s="3" t="s">
        <v>730</v>
      </c>
      <c r="E215" s="3"/>
      <c r="F215" s="3" t="s">
        <v>15</v>
      </c>
      <c r="G215" s="3"/>
      <c r="H215" s="3"/>
      <c r="I215" s="3" t="s">
        <v>16</v>
      </c>
      <c r="J215" s="3" t="s">
        <v>17</v>
      </c>
      <c r="K215" s="3" t="s">
        <v>731</v>
      </c>
    </row>
    <row r="216" spans="1:11" ht="27.6" customHeight="1">
      <c r="A216" s="3" t="s">
        <v>732</v>
      </c>
      <c r="B216" s="3" t="s">
        <v>726</v>
      </c>
      <c r="C216" s="3" t="s">
        <v>685</v>
      </c>
      <c r="D216" s="3" t="s">
        <v>733</v>
      </c>
      <c r="E216" s="3"/>
      <c r="F216" s="3" t="s">
        <v>15</v>
      </c>
      <c r="G216" s="3"/>
      <c r="H216" s="3"/>
      <c r="I216" s="3" t="s">
        <v>16</v>
      </c>
      <c r="J216" s="3" t="s">
        <v>17</v>
      </c>
      <c r="K216" s="3" t="s">
        <v>734</v>
      </c>
    </row>
    <row r="217" spans="1:11" ht="27.6" customHeight="1">
      <c r="A217" s="3" t="s">
        <v>735</v>
      </c>
      <c r="B217" s="3" t="s">
        <v>726</v>
      </c>
      <c r="C217" s="3" t="s">
        <v>685</v>
      </c>
      <c r="D217" s="3" t="s">
        <v>736</v>
      </c>
      <c r="E217" s="3"/>
      <c r="F217" s="3" t="s">
        <v>15</v>
      </c>
      <c r="G217" s="3"/>
      <c r="H217" s="3"/>
      <c r="I217" s="3" t="s">
        <v>16</v>
      </c>
      <c r="J217" s="3" t="s">
        <v>17</v>
      </c>
      <c r="K217" s="3" t="s">
        <v>737</v>
      </c>
    </row>
    <row r="218" spans="1:11" ht="27.6" customHeight="1">
      <c r="A218" s="3" t="s">
        <v>738</v>
      </c>
      <c r="B218" s="3" t="s">
        <v>739</v>
      </c>
      <c r="C218" s="3" t="s">
        <v>685</v>
      </c>
      <c r="D218" s="3" t="s">
        <v>740</v>
      </c>
      <c r="E218" s="3"/>
      <c r="F218" s="3" t="s">
        <v>15</v>
      </c>
      <c r="G218" s="3"/>
      <c r="H218" s="3"/>
      <c r="I218" s="3" t="s">
        <v>16</v>
      </c>
      <c r="J218" s="3" t="s">
        <v>17</v>
      </c>
      <c r="K218" s="3" t="s">
        <v>741</v>
      </c>
    </row>
    <row r="219" spans="1:11" ht="27.6" customHeight="1">
      <c r="A219" s="3" t="s">
        <v>742</v>
      </c>
      <c r="B219" s="3" t="s">
        <v>739</v>
      </c>
      <c r="C219" s="3" t="s">
        <v>685</v>
      </c>
      <c r="D219" s="3" t="s">
        <v>743</v>
      </c>
      <c r="E219" s="3"/>
      <c r="F219" s="3" t="s">
        <v>15</v>
      </c>
      <c r="G219" s="3"/>
      <c r="H219" s="3"/>
      <c r="I219" s="3" t="s">
        <v>16</v>
      </c>
      <c r="J219" s="3" t="s">
        <v>17</v>
      </c>
      <c r="K219" s="3" t="s">
        <v>744</v>
      </c>
    </row>
    <row r="220" spans="1:11" ht="27.6" customHeight="1">
      <c r="A220" s="3" t="s">
        <v>745</v>
      </c>
      <c r="B220" s="3" t="s">
        <v>739</v>
      </c>
      <c r="C220" s="3" t="s">
        <v>685</v>
      </c>
      <c r="D220" s="3" t="s">
        <v>746</v>
      </c>
      <c r="E220" s="3"/>
      <c r="F220" s="3" t="s">
        <v>15</v>
      </c>
      <c r="G220" s="3"/>
      <c r="H220" s="3" t="s">
        <v>747</v>
      </c>
      <c r="I220" s="3" t="s">
        <v>16</v>
      </c>
      <c r="J220" s="3" t="s">
        <v>17</v>
      </c>
      <c r="K220" s="3" t="s">
        <v>748</v>
      </c>
    </row>
    <row r="221" spans="1:11" ht="27.6" customHeight="1">
      <c r="A221" s="3" t="s">
        <v>749</v>
      </c>
      <c r="B221" s="3" t="s">
        <v>739</v>
      </c>
      <c r="C221" s="3" t="s">
        <v>685</v>
      </c>
      <c r="D221" s="3" t="s">
        <v>750</v>
      </c>
      <c r="E221" s="3"/>
      <c r="F221" s="3" t="s">
        <v>15</v>
      </c>
      <c r="G221" s="3"/>
      <c r="H221" s="3"/>
      <c r="I221" s="3" t="s">
        <v>16</v>
      </c>
      <c r="J221" s="3" t="s">
        <v>17</v>
      </c>
      <c r="K221" s="3" t="s">
        <v>751</v>
      </c>
    </row>
    <row r="222" spans="1:11" ht="27.6" customHeight="1">
      <c r="A222" s="3" t="s">
        <v>752</v>
      </c>
      <c r="B222" s="3" t="s">
        <v>753</v>
      </c>
      <c r="C222" s="3" t="s">
        <v>754</v>
      </c>
      <c r="D222" s="3" t="s">
        <v>755</v>
      </c>
      <c r="E222" s="3"/>
      <c r="F222" s="3" t="s">
        <v>15</v>
      </c>
      <c r="G222" s="3"/>
      <c r="H222" s="3"/>
      <c r="I222" s="3" t="s">
        <v>16</v>
      </c>
      <c r="J222" s="3" t="s">
        <v>17</v>
      </c>
      <c r="K222" s="3" t="s">
        <v>756</v>
      </c>
    </row>
    <row r="223" spans="1:11" ht="27.6" customHeight="1">
      <c r="A223" s="3" t="s">
        <v>757</v>
      </c>
      <c r="B223" s="3" t="s">
        <v>753</v>
      </c>
      <c r="C223" s="3" t="s">
        <v>754</v>
      </c>
      <c r="D223" s="3" t="s">
        <v>758</v>
      </c>
      <c r="E223" s="3"/>
      <c r="F223" s="3" t="s">
        <v>15</v>
      </c>
      <c r="G223" s="3"/>
      <c r="H223" s="3"/>
      <c r="I223" s="3" t="s">
        <v>16</v>
      </c>
      <c r="J223" s="3" t="s">
        <v>17</v>
      </c>
      <c r="K223" s="3" t="s">
        <v>759</v>
      </c>
    </row>
    <row r="224" spans="1:11" ht="27.6" customHeight="1">
      <c r="A224" s="3" t="s">
        <v>760</v>
      </c>
      <c r="B224" s="3" t="s">
        <v>753</v>
      </c>
      <c r="C224" s="3" t="s">
        <v>754</v>
      </c>
      <c r="D224" s="3" t="s">
        <v>761</v>
      </c>
      <c r="E224" s="3"/>
      <c r="F224" s="3" t="s">
        <v>15</v>
      </c>
      <c r="G224" s="3"/>
      <c r="H224" s="3"/>
      <c r="I224" s="3" t="s">
        <v>16</v>
      </c>
      <c r="J224" s="3" t="s">
        <v>17</v>
      </c>
      <c r="K224" s="3" t="s">
        <v>762</v>
      </c>
    </row>
    <row r="225" spans="1:11" ht="27.6" customHeight="1">
      <c r="A225" s="3" t="s">
        <v>763</v>
      </c>
      <c r="B225" s="3" t="s">
        <v>753</v>
      </c>
      <c r="C225" s="3" t="s">
        <v>754</v>
      </c>
      <c r="D225" s="3" t="s">
        <v>764</v>
      </c>
      <c r="E225" s="3"/>
      <c r="F225" s="3" t="s">
        <v>15</v>
      </c>
      <c r="G225" s="3"/>
      <c r="H225" s="3"/>
      <c r="I225" s="3" t="s">
        <v>16</v>
      </c>
      <c r="J225" s="3" t="s">
        <v>17</v>
      </c>
      <c r="K225" s="3" t="s">
        <v>765</v>
      </c>
    </row>
    <row r="226" spans="1:11" ht="27.6" customHeight="1">
      <c r="A226" s="3" t="s">
        <v>766</v>
      </c>
      <c r="B226" s="3" t="s">
        <v>767</v>
      </c>
      <c r="C226" s="3" t="s">
        <v>754</v>
      </c>
      <c r="D226" s="3" t="s">
        <v>768</v>
      </c>
      <c r="E226" s="3"/>
      <c r="F226" s="3" t="s">
        <v>15</v>
      </c>
      <c r="G226" s="3"/>
      <c r="H226" s="3" t="s">
        <v>769</v>
      </c>
      <c r="I226" s="3" t="s">
        <v>16</v>
      </c>
      <c r="J226" s="3" t="s">
        <v>17</v>
      </c>
      <c r="K226" s="3" t="s">
        <v>770</v>
      </c>
    </row>
    <row r="227" spans="1:11" ht="27.6" customHeight="1">
      <c r="A227" s="3" t="s">
        <v>771</v>
      </c>
      <c r="B227" s="3" t="s">
        <v>767</v>
      </c>
      <c r="C227" s="3" t="s">
        <v>754</v>
      </c>
      <c r="D227" s="3" t="s">
        <v>772</v>
      </c>
      <c r="E227" s="3"/>
      <c r="F227" s="3" t="s">
        <v>15</v>
      </c>
      <c r="G227" s="3"/>
      <c r="H227" s="3"/>
      <c r="I227" s="3" t="s">
        <v>16</v>
      </c>
      <c r="J227" s="3" t="s">
        <v>17</v>
      </c>
      <c r="K227" s="3" t="s">
        <v>773</v>
      </c>
    </row>
    <row r="228" spans="1:11" ht="27.6" customHeight="1">
      <c r="A228" s="3" t="s">
        <v>774</v>
      </c>
      <c r="B228" s="3" t="s">
        <v>767</v>
      </c>
      <c r="C228" s="3" t="s">
        <v>754</v>
      </c>
      <c r="D228" s="3" t="s">
        <v>775</v>
      </c>
      <c r="E228" s="3"/>
      <c r="F228" s="3" t="s">
        <v>15</v>
      </c>
      <c r="G228" s="3"/>
      <c r="H228" s="3"/>
      <c r="I228" s="3" t="s">
        <v>16</v>
      </c>
      <c r="J228" s="3" t="s">
        <v>17</v>
      </c>
      <c r="K228" s="3" t="s">
        <v>776</v>
      </c>
    </row>
    <row r="229" spans="1:11" ht="27.6" customHeight="1">
      <c r="A229" s="3" t="s">
        <v>777</v>
      </c>
      <c r="B229" s="3" t="s">
        <v>767</v>
      </c>
      <c r="C229" s="3" t="s">
        <v>754</v>
      </c>
      <c r="D229" s="3" t="s">
        <v>778</v>
      </c>
      <c r="E229" s="3"/>
      <c r="F229" s="3" t="s">
        <v>15</v>
      </c>
      <c r="G229" s="3"/>
      <c r="H229" s="3"/>
      <c r="I229" s="3" t="s">
        <v>16</v>
      </c>
      <c r="J229" s="3" t="s">
        <v>17</v>
      </c>
      <c r="K229" s="3" t="s">
        <v>779</v>
      </c>
    </row>
    <row r="230" spans="1:11" ht="27.6" customHeight="1">
      <c r="A230" s="3" t="s">
        <v>780</v>
      </c>
      <c r="B230" s="3" t="s">
        <v>781</v>
      </c>
      <c r="C230" s="3" t="s">
        <v>754</v>
      </c>
      <c r="D230" s="3" t="s">
        <v>782</v>
      </c>
      <c r="E230" s="3"/>
      <c r="F230" s="3" t="s">
        <v>15</v>
      </c>
      <c r="G230" s="3"/>
      <c r="H230" s="3" t="s">
        <v>783</v>
      </c>
      <c r="I230" s="3" t="s">
        <v>16</v>
      </c>
      <c r="J230" s="3" t="s">
        <v>17</v>
      </c>
      <c r="K230" s="3" t="s">
        <v>784</v>
      </c>
    </row>
    <row r="231" spans="1:11" ht="27.6" customHeight="1">
      <c r="A231" s="3" t="s">
        <v>785</v>
      </c>
      <c r="B231" s="3" t="s">
        <v>781</v>
      </c>
      <c r="C231" s="3" t="s">
        <v>754</v>
      </c>
      <c r="D231" s="3" t="s">
        <v>786</v>
      </c>
      <c r="E231" s="3"/>
      <c r="F231" s="3" t="s">
        <v>15</v>
      </c>
      <c r="G231" s="3"/>
      <c r="H231" s="3"/>
      <c r="I231" s="3" t="s">
        <v>16</v>
      </c>
      <c r="J231" s="3" t="s">
        <v>17</v>
      </c>
      <c r="K231" s="3" t="s">
        <v>787</v>
      </c>
    </row>
    <row r="232" spans="1:11" ht="27.6" customHeight="1">
      <c r="A232" s="3" t="s">
        <v>788</v>
      </c>
      <c r="B232" s="3" t="s">
        <v>781</v>
      </c>
      <c r="C232" s="3" t="s">
        <v>754</v>
      </c>
      <c r="D232" s="3" t="s">
        <v>789</v>
      </c>
      <c r="E232" s="3"/>
      <c r="F232" s="3" t="s">
        <v>15</v>
      </c>
      <c r="G232" s="3"/>
      <c r="H232" s="3"/>
      <c r="I232" s="3" t="s">
        <v>16</v>
      </c>
      <c r="J232" s="3" t="s">
        <v>17</v>
      </c>
      <c r="K232" s="3" t="s">
        <v>790</v>
      </c>
    </row>
    <row r="233" spans="1:11" ht="27.6" customHeight="1">
      <c r="A233" s="3" t="s">
        <v>791</v>
      </c>
      <c r="B233" s="3" t="s">
        <v>781</v>
      </c>
      <c r="C233" s="3" t="s">
        <v>754</v>
      </c>
      <c r="D233" s="3" t="s">
        <v>792</v>
      </c>
      <c r="E233" s="3"/>
      <c r="F233" s="3" t="s">
        <v>15</v>
      </c>
      <c r="G233" s="3"/>
      <c r="H233" s="3" t="s">
        <v>793</v>
      </c>
      <c r="I233" s="3" t="s">
        <v>16</v>
      </c>
      <c r="J233" s="3" t="s">
        <v>17</v>
      </c>
      <c r="K233" s="3" t="s">
        <v>794</v>
      </c>
    </row>
    <row r="234" spans="1:11" ht="27.6" customHeight="1">
      <c r="A234" s="3" t="s">
        <v>795</v>
      </c>
      <c r="B234" s="3" t="s">
        <v>796</v>
      </c>
      <c r="C234" s="3" t="s">
        <v>754</v>
      </c>
      <c r="D234" s="3" t="s">
        <v>797</v>
      </c>
      <c r="E234" s="3"/>
      <c r="F234" s="3" t="s">
        <v>15</v>
      </c>
      <c r="G234" s="3"/>
      <c r="H234" s="3"/>
      <c r="I234" s="3" t="s">
        <v>16</v>
      </c>
      <c r="J234" s="3" t="s">
        <v>17</v>
      </c>
      <c r="K234" s="3" t="s">
        <v>798</v>
      </c>
    </row>
    <row r="235" spans="1:11" ht="27.6" customHeight="1">
      <c r="A235" s="3" t="s">
        <v>799</v>
      </c>
      <c r="B235" s="3" t="s">
        <v>796</v>
      </c>
      <c r="C235" s="3" t="s">
        <v>754</v>
      </c>
      <c r="D235" s="3" t="s">
        <v>800</v>
      </c>
      <c r="E235" s="3"/>
      <c r="F235" s="3" t="s">
        <v>15</v>
      </c>
      <c r="G235" s="3"/>
      <c r="H235" s="3"/>
      <c r="I235" s="3" t="s">
        <v>16</v>
      </c>
      <c r="J235" s="3" t="s">
        <v>17</v>
      </c>
      <c r="K235" s="3" t="s">
        <v>801</v>
      </c>
    </row>
    <row r="236" spans="1:11" ht="27.6" customHeight="1">
      <c r="A236" s="3" t="s">
        <v>802</v>
      </c>
      <c r="B236" s="3" t="s">
        <v>796</v>
      </c>
      <c r="C236" s="3" t="s">
        <v>754</v>
      </c>
      <c r="D236" s="3" t="s">
        <v>803</v>
      </c>
      <c r="E236" s="3"/>
      <c r="F236" s="3" t="s">
        <v>15</v>
      </c>
      <c r="G236" s="3"/>
      <c r="H236" s="3" t="s">
        <v>793</v>
      </c>
      <c r="I236" s="3" t="s">
        <v>16</v>
      </c>
      <c r="J236" s="3" t="s">
        <v>17</v>
      </c>
      <c r="K236" s="3" t="s">
        <v>804</v>
      </c>
    </row>
    <row r="237" spans="1:11" ht="27.6" customHeight="1">
      <c r="A237" s="3" t="s">
        <v>805</v>
      </c>
      <c r="B237" s="3" t="s">
        <v>796</v>
      </c>
      <c r="C237" s="3" t="s">
        <v>754</v>
      </c>
      <c r="D237" s="3" t="s">
        <v>806</v>
      </c>
      <c r="E237" s="3"/>
      <c r="F237" s="3" t="s">
        <v>15</v>
      </c>
      <c r="G237" s="3"/>
      <c r="H237" s="3"/>
      <c r="I237" s="3" t="s">
        <v>16</v>
      </c>
      <c r="J237" s="3" t="s">
        <v>17</v>
      </c>
      <c r="K237" s="3" t="s">
        <v>807</v>
      </c>
    </row>
    <row r="238" spans="1:11" ht="27.6" customHeight="1">
      <c r="A238" s="3" t="s">
        <v>808</v>
      </c>
      <c r="B238" s="3" t="s">
        <v>809</v>
      </c>
      <c r="C238" s="3" t="s">
        <v>754</v>
      </c>
      <c r="D238" s="3" t="s">
        <v>810</v>
      </c>
      <c r="E238" s="3"/>
      <c r="F238" s="3" t="s">
        <v>15</v>
      </c>
      <c r="G238" s="3"/>
      <c r="H238" s="3"/>
      <c r="I238" s="3" t="s">
        <v>16</v>
      </c>
      <c r="J238" s="3" t="s">
        <v>17</v>
      </c>
      <c r="K238" s="3" t="s">
        <v>811</v>
      </c>
    </row>
    <row r="239" spans="1:11" ht="27.6" customHeight="1">
      <c r="A239" s="3" t="s">
        <v>812</v>
      </c>
      <c r="B239" s="3" t="s">
        <v>809</v>
      </c>
      <c r="C239" s="3" t="s">
        <v>754</v>
      </c>
      <c r="D239" s="3" t="s">
        <v>813</v>
      </c>
      <c r="E239" s="3"/>
      <c r="F239" s="3" t="s">
        <v>15</v>
      </c>
      <c r="G239" s="3"/>
      <c r="H239" s="3"/>
      <c r="I239" s="3" t="s">
        <v>16</v>
      </c>
      <c r="J239" s="3" t="s">
        <v>17</v>
      </c>
      <c r="K239" s="3" t="s">
        <v>814</v>
      </c>
    </row>
    <row r="240" spans="1:11" ht="27.6" customHeight="1">
      <c r="A240" s="3" t="s">
        <v>815</v>
      </c>
      <c r="B240" s="3" t="s">
        <v>809</v>
      </c>
      <c r="C240" s="3" t="s">
        <v>754</v>
      </c>
      <c r="D240" s="3" t="s">
        <v>816</v>
      </c>
      <c r="E240" s="3"/>
      <c r="F240" s="3" t="s">
        <v>15</v>
      </c>
      <c r="G240" s="3"/>
      <c r="H240" s="3"/>
      <c r="I240" s="3" t="s">
        <v>16</v>
      </c>
      <c r="J240" s="3" t="s">
        <v>17</v>
      </c>
      <c r="K240" s="3" t="s">
        <v>817</v>
      </c>
    </row>
    <row r="241" spans="1:11" ht="27.6" customHeight="1">
      <c r="A241" s="3" t="s">
        <v>818</v>
      </c>
      <c r="B241" s="3" t="s">
        <v>809</v>
      </c>
      <c r="C241" s="3" t="s">
        <v>754</v>
      </c>
      <c r="D241" s="3" t="s">
        <v>819</v>
      </c>
      <c r="E241" s="3"/>
      <c r="F241" s="3" t="s">
        <v>15</v>
      </c>
      <c r="G241" s="3"/>
      <c r="H241" s="3"/>
      <c r="I241" s="3" t="s">
        <v>16</v>
      </c>
      <c r="J241" s="3" t="s">
        <v>17</v>
      </c>
      <c r="K241" s="3" t="s">
        <v>820</v>
      </c>
    </row>
    <row r="242" spans="1:11" ht="27.6" customHeight="1">
      <c r="A242" s="3" t="s">
        <v>821</v>
      </c>
      <c r="B242" s="3" t="s">
        <v>822</v>
      </c>
      <c r="C242" s="3" t="s">
        <v>823</v>
      </c>
      <c r="D242" s="3" t="s">
        <v>824</v>
      </c>
      <c r="E242" s="3"/>
      <c r="F242" s="3" t="s">
        <v>15</v>
      </c>
      <c r="G242" s="3"/>
      <c r="H242" s="3"/>
      <c r="I242" s="3" t="s">
        <v>16</v>
      </c>
      <c r="J242" s="3" t="s">
        <v>17</v>
      </c>
      <c r="K242" s="3" t="s">
        <v>825</v>
      </c>
    </row>
    <row r="243" spans="1:11" ht="27.6" customHeight="1">
      <c r="A243" s="3" t="s">
        <v>826</v>
      </c>
      <c r="B243" s="3" t="s">
        <v>822</v>
      </c>
      <c r="C243" s="3" t="s">
        <v>823</v>
      </c>
      <c r="D243" s="3" t="s">
        <v>827</v>
      </c>
      <c r="E243" s="3"/>
      <c r="F243" s="3" t="s">
        <v>15</v>
      </c>
      <c r="G243" s="3"/>
      <c r="H243" s="3"/>
      <c r="I243" s="3" t="s">
        <v>16</v>
      </c>
      <c r="J243" s="3" t="s">
        <v>17</v>
      </c>
      <c r="K243" s="3" t="s">
        <v>828</v>
      </c>
    </row>
    <row r="244" spans="1:11" ht="27.6" customHeight="1">
      <c r="A244" s="3" t="s">
        <v>829</v>
      </c>
      <c r="B244" s="3" t="s">
        <v>822</v>
      </c>
      <c r="C244" s="3" t="s">
        <v>823</v>
      </c>
      <c r="D244" s="3" t="s">
        <v>830</v>
      </c>
      <c r="E244" s="3"/>
      <c r="F244" s="3" t="s">
        <v>15</v>
      </c>
      <c r="G244" s="3"/>
      <c r="H244" s="3"/>
      <c r="I244" s="3" t="s">
        <v>16</v>
      </c>
      <c r="J244" s="3" t="s">
        <v>17</v>
      </c>
      <c r="K244" s="3" t="s">
        <v>831</v>
      </c>
    </row>
    <row r="245" spans="1:11" ht="27.6" customHeight="1">
      <c r="A245" s="3" t="s">
        <v>832</v>
      </c>
      <c r="B245" s="3" t="s">
        <v>822</v>
      </c>
      <c r="C245" s="3" t="s">
        <v>823</v>
      </c>
      <c r="D245" s="3" t="s">
        <v>833</v>
      </c>
      <c r="E245" s="3"/>
      <c r="F245" s="3" t="s">
        <v>15</v>
      </c>
      <c r="G245" s="3"/>
      <c r="H245" s="3"/>
      <c r="I245" s="3" t="s">
        <v>16</v>
      </c>
      <c r="J245" s="3" t="s">
        <v>17</v>
      </c>
      <c r="K245" s="3" t="s">
        <v>834</v>
      </c>
    </row>
    <row r="246" spans="1:11" ht="27.6" customHeight="1">
      <c r="A246" s="3" t="s">
        <v>835</v>
      </c>
      <c r="B246" s="3" t="s">
        <v>836</v>
      </c>
      <c r="C246" s="3" t="s">
        <v>823</v>
      </c>
      <c r="D246" s="3" t="s">
        <v>837</v>
      </c>
      <c r="E246" s="3"/>
      <c r="F246" s="3" t="s">
        <v>15</v>
      </c>
      <c r="G246" s="3"/>
      <c r="H246" s="3"/>
      <c r="I246" s="3" t="s">
        <v>16</v>
      </c>
      <c r="J246" s="3" t="s">
        <v>17</v>
      </c>
      <c r="K246" s="3" t="s">
        <v>838</v>
      </c>
    </row>
    <row r="247" spans="1:11" ht="27.6" customHeight="1">
      <c r="A247" s="3" t="s">
        <v>839</v>
      </c>
      <c r="B247" s="3" t="s">
        <v>836</v>
      </c>
      <c r="C247" s="3" t="s">
        <v>823</v>
      </c>
      <c r="D247" s="3" t="s">
        <v>840</v>
      </c>
      <c r="E247" s="3"/>
      <c r="F247" s="3" t="s">
        <v>15</v>
      </c>
      <c r="G247" s="3"/>
      <c r="H247" s="3"/>
      <c r="I247" s="3" t="s">
        <v>16</v>
      </c>
      <c r="J247" s="3" t="s">
        <v>17</v>
      </c>
      <c r="K247" s="3" t="s">
        <v>841</v>
      </c>
    </row>
    <row r="248" spans="1:11" ht="27.6" customHeight="1">
      <c r="A248" s="3" t="s">
        <v>842</v>
      </c>
      <c r="B248" s="3" t="s">
        <v>836</v>
      </c>
      <c r="C248" s="3" t="s">
        <v>823</v>
      </c>
      <c r="D248" s="3" t="s">
        <v>843</v>
      </c>
      <c r="E248" s="3"/>
      <c r="F248" s="3" t="s">
        <v>15</v>
      </c>
      <c r="G248" s="3"/>
      <c r="H248" s="3"/>
      <c r="I248" s="3" t="s">
        <v>16</v>
      </c>
      <c r="J248" s="3" t="s">
        <v>17</v>
      </c>
      <c r="K248" s="3" t="s">
        <v>844</v>
      </c>
    </row>
    <row r="249" spans="1:11" ht="27.6" customHeight="1">
      <c r="A249" s="3" t="s">
        <v>845</v>
      </c>
      <c r="B249" s="3" t="s">
        <v>836</v>
      </c>
      <c r="C249" s="3" t="s">
        <v>823</v>
      </c>
      <c r="D249" s="3" t="s">
        <v>846</v>
      </c>
      <c r="E249" s="3"/>
      <c r="F249" s="3" t="s">
        <v>15</v>
      </c>
      <c r="G249" s="3"/>
      <c r="H249" s="3"/>
      <c r="I249" s="3" t="s">
        <v>16</v>
      </c>
      <c r="J249" s="3" t="s">
        <v>17</v>
      </c>
      <c r="K249" s="3" t="s">
        <v>847</v>
      </c>
    </row>
    <row r="250" spans="1:11" ht="27.6" customHeight="1">
      <c r="A250" s="3" t="s">
        <v>848</v>
      </c>
      <c r="B250" s="3" t="s">
        <v>849</v>
      </c>
      <c r="C250" s="3" t="s">
        <v>823</v>
      </c>
      <c r="D250" s="3" t="s">
        <v>850</v>
      </c>
      <c r="E250" s="3"/>
      <c r="F250" s="3" t="s">
        <v>15</v>
      </c>
      <c r="G250" s="3"/>
      <c r="H250" s="3"/>
      <c r="I250" s="3" t="s">
        <v>16</v>
      </c>
      <c r="J250" s="3" t="s">
        <v>17</v>
      </c>
      <c r="K250" s="3" t="s">
        <v>851</v>
      </c>
    </row>
    <row r="251" spans="1:11" ht="27.6" customHeight="1">
      <c r="A251" s="3" t="s">
        <v>852</v>
      </c>
      <c r="B251" s="3" t="s">
        <v>849</v>
      </c>
      <c r="C251" s="3" t="s">
        <v>823</v>
      </c>
      <c r="D251" s="3" t="s">
        <v>853</v>
      </c>
      <c r="E251" s="3"/>
      <c r="F251" s="3" t="s">
        <v>15</v>
      </c>
      <c r="G251" s="3"/>
      <c r="H251" s="3"/>
      <c r="I251" s="3" t="s">
        <v>16</v>
      </c>
      <c r="J251" s="3" t="s">
        <v>17</v>
      </c>
      <c r="K251" s="3" t="s">
        <v>854</v>
      </c>
    </row>
    <row r="252" spans="1:11" ht="27.6" customHeight="1">
      <c r="A252" s="3" t="s">
        <v>855</v>
      </c>
      <c r="B252" s="3" t="s">
        <v>849</v>
      </c>
      <c r="C252" s="3" t="s">
        <v>823</v>
      </c>
      <c r="D252" s="3" t="s">
        <v>856</v>
      </c>
      <c r="E252" s="3"/>
      <c r="F252" s="3" t="s">
        <v>15</v>
      </c>
      <c r="G252" s="3"/>
      <c r="H252" s="3"/>
      <c r="I252" s="3" t="s">
        <v>16</v>
      </c>
      <c r="J252" s="3" t="s">
        <v>17</v>
      </c>
      <c r="K252" s="3" t="s">
        <v>857</v>
      </c>
    </row>
    <row r="253" spans="1:11" ht="27.6" customHeight="1">
      <c r="A253" s="3" t="s">
        <v>858</v>
      </c>
      <c r="B253" s="3" t="s">
        <v>849</v>
      </c>
      <c r="C253" s="3" t="s">
        <v>823</v>
      </c>
      <c r="D253" s="3" t="s">
        <v>859</v>
      </c>
      <c r="E253" s="3"/>
      <c r="F253" s="3" t="s">
        <v>15</v>
      </c>
      <c r="G253" s="3"/>
      <c r="H253" s="3"/>
      <c r="I253" s="3" t="s">
        <v>16</v>
      </c>
      <c r="J253" s="3" t="s">
        <v>17</v>
      </c>
      <c r="K253" s="3" t="s">
        <v>860</v>
      </c>
    </row>
    <row r="254" spans="1:11" ht="27.6" customHeight="1">
      <c r="A254" s="3" t="s">
        <v>861</v>
      </c>
      <c r="B254" s="3" t="s">
        <v>862</v>
      </c>
      <c r="C254" s="3" t="s">
        <v>823</v>
      </c>
      <c r="D254" s="3" t="s">
        <v>863</v>
      </c>
      <c r="E254" s="3"/>
      <c r="F254" s="3" t="s">
        <v>15</v>
      </c>
      <c r="G254" s="3"/>
      <c r="H254" s="3"/>
      <c r="I254" s="3" t="s">
        <v>16</v>
      </c>
      <c r="J254" s="3" t="s">
        <v>17</v>
      </c>
      <c r="K254" s="3" t="s">
        <v>864</v>
      </c>
    </row>
    <row r="255" spans="1:11" ht="27.6" customHeight="1">
      <c r="A255" s="3" t="s">
        <v>865</v>
      </c>
      <c r="B255" s="3" t="s">
        <v>862</v>
      </c>
      <c r="C255" s="3" t="s">
        <v>823</v>
      </c>
      <c r="D255" s="3" t="s">
        <v>866</v>
      </c>
      <c r="E255" s="3"/>
      <c r="F255" s="3" t="s">
        <v>15</v>
      </c>
      <c r="G255" s="3"/>
      <c r="H255" s="3" t="s">
        <v>867</v>
      </c>
      <c r="I255" s="3" t="s">
        <v>16</v>
      </c>
      <c r="J255" s="3" t="s">
        <v>17</v>
      </c>
      <c r="K255" s="3" t="s">
        <v>868</v>
      </c>
    </row>
    <row r="256" spans="1:11" ht="27.6" customHeight="1">
      <c r="A256" s="3" t="s">
        <v>869</v>
      </c>
      <c r="B256" s="3" t="s">
        <v>862</v>
      </c>
      <c r="C256" s="3" t="s">
        <v>823</v>
      </c>
      <c r="D256" s="3" t="s">
        <v>870</v>
      </c>
      <c r="E256" s="3"/>
      <c r="F256" s="3" t="s">
        <v>15</v>
      </c>
      <c r="G256" s="3"/>
      <c r="H256" s="3"/>
      <c r="I256" s="3" t="s">
        <v>16</v>
      </c>
      <c r="J256" s="3" t="s">
        <v>17</v>
      </c>
      <c r="K256" s="3" t="s">
        <v>871</v>
      </c>
    </row>
    <row r="257" spans="1:11" ht="27.6" customHeight="1">
      <c r="A257" s="3" t="s">
        <v>872</v>
      </c>
      <c r="B257" s="3" t="s">
        <v>862</v>
      </c>
      <c r="C257" s="3" t="s">
        <v>823</v>
      </c>
      <c r="D257" s="3" t="s">
        <v>873</v>
      </c>
      <c r="E257" s="3"/>
      <c r="F257" s="3" t="s">
        <v>15</v>
      </c>
      <c r="G257" s="3"/>
      <c r="H257" s="3"/>
      <c r="I257" s="3" t="s">
        <v>16</v>
      </c>
      <c r="J257" s="3" t="s">
        <v>17</v>
      </c>
      <c r="K257" s="3" t="s">
        <v>874</v>
      </c>
    </row>
    <row r="258" spans="1:11" ht="27.6" customHeight="1">
      <c r="A258" s="3" t="s">
        <v>875</v>
      </c>
      <c r="B258" s="3" t="s">
        <v>876</v>
      </c>
      <c r="C258" s="3" t="s">
        <v>823</v>
      </c>
      <c r="D258" s="3" t="s">
        <v>877</v>
      </c>
      <c r="E258" s="3"/>
      <c r="F258" s="3" t="s">
        <v>15</v>
      </c>
      <c r="G258" s="3"/>
      <c r="H258" s="3"/>
      <c r="I258" s="3" t="s">
        <v>16</v>
      </c>
      <c r="J258" s="3" t="s">
        <v>17</v>
      </c>
      <c r="K258" s="3" t="s">
        <v>878</v>
      </c>
    </row>
    <row r="259" spans="1:11" ht="27.6" customHeight="1">
      <c r="A259" s="3" t="s">
        <v>879</v>
      </c>
      <c r="B259" s="3" t="s">
        <v>876</v>
      </c>
      <c r="C259" s="3" t="s">
        <v>823</v>
      </c>
      <c r="D259" s="3" t="s">
        <v>880</v>
      </c>
      <c r="E259" s="3"/>
      <c r="F259" s="3" t="s">
        <v>15</v>
      </c>
      <c r="G259" s="3"/>
      <c r="H259" s="3"/>
      <c r="I259" s="3" t="s">
        <v>16</v>
      </c>
      <c r="J259" s="3" t="s">
        <v>17</v>
      </c>
      <c r="K259" s="3" t="s">
        <v>881</v>
      </c>
    </row>
    <row r="260" spans="1:11" ht="27.6" customHeight="1">
      <c r="A260" s="3" t="s">
        <v>882</v>
      </c>
      <c r="B260" s="3" t="s">
        <v>876</v>
      </c>
      <c r="C260" s="3" t="s">
        <v>823</v>
      </c>
      <c r="D260" s="3" t="s">
        <v>883</v>
      </c>
      <c r="E260" s="3"/>
      <c r="F260" s="3" t="s">
        <v>15</v>
      </c>
      <c r="G260" s="3"/>
      <c r="H260" s="3" t="s">
        <v>884</v>
      </c>
      <c r="I260" s="3" t="s">
        <v>16</v>
      </c>
      <c r="J260" s="3" t="s">
        <v>17</v>
      </c>
      <c r="K260" s="3" t="s">
        <v>885</v>
      </c>
    </row>
    <row r="261" spans="1:11" ht="27.6" customHeight="1">
      <c r="A261" s="3" t="s">
        <v>886</v>
      </c>
      <c r="B261" s="3" t="s">
        <v>876</v>
      </c>
      <c r="C261" s="3" t="s">
        <v>823</v>
      </c>
      <c r="D261" s="3" t="s">
        <v>887</v>
      </c>
      <c r="E261" s="3"/>
      <c r="F261" s="3" t="s">
        <v>15</v>
      </c>
      <c r="G261" s="3"/>
      <c r="H261" s="3"/>
      <c r="I261" s="3" t="s">
        <v>16</v>
      </c>
      <c r="J261" s="3" t="s">
        <v>17</v>
      </c>
      <c r="K261" s="3" t="s">
        <v>888</v>
      </c>
    </row>
    <row r="262" spans="1:11" ht="27.6" customHeight="1">
      <c r="A262" s="3" t="s">
        <v>889</v>
      </c>
      <c r="B262" s="3" t="s">
        <v>890</v>
      </c>
      <c r="C262" s="3" t="s">
        <v>891</v>
      </c>
      <c r="D262" s="3" t="s">
        <v>892</v>
      </c>
      <c r="E262" s="3"/>
      <c r="F262" s="3" t="s">
        <v>15</v>
      </c>
      <c r="G262" s="3"/>
      <c r="H262" s="3"/>
      <c r="I262" s="3" t="s">
        <v>16</v>
      </c>
      <c r="J262" s="3" t="s">
        <v>17</v>
      </c>
      <c r="K262" s="3" t="s">
        <v>893</v>
      </c>
    </row>
    <row r="263" spans="1:11" ht="27.6" customHeight="1">
      <c r="A263" s="3" t="s">
        <v>894</v>
      </c>
      <c r="B263" s="3" t="s">
        <v>890</v>
      </c>
      <c r="C263" s="3" t="s">
        <v>891</v>
      </c>
      <c r="D263" s="3" t="s">
        <v>895</v>
      </c>
      <c r="E263" s="3"/>
      <c r="F263" s="3" t="s">
        <v>15</v>
      </c>
      <c r="G263" s="3"/>
      <c r="H263" s="3"/>
      <c r="I263" s="3" t="s">
        <v>16</v>
      </c>
      <c r="J263" s="3" t="s">
        <v>17</v>
      </c>
      <c r="K263" s="3" t="s">
        <v>896</v>
      </c>
    </row>
    <row r="264" spans="1:11" ht="27.6" customHeight="1">
      <c r="A264" s="3" t="s">
        <v>897</v>
      </c>
      <c r="B264" s="3" t="s">
        <v>890</v>
      </c>
      <c r="C264" s="3" t="s">
        <v>891</v>
      </c>
      <c r="D264" s="3" t="s">
        <v>898</v>
      </c>
      <c r="E264" s="3"/>
      <c r="F264" s="3" t="s">
        <v>15</v>
      </c>
      <c r="G264" s="3"/>
      <c r="H264" s="3"/>
      <c r="I264" s="3" t="s">
        <v>16</v>
      </c>
      <c r="J264" s="3" t="s">
        <v>17</v>
      </c>
      <c r="K264" s="3" t="s">
        <v>899</v>
      </c>
    </row>
    <row r="265" spans="1:11" ht="27.6" customHeight="1">
      <c r="A265" s="3" t="s">
        <v>900</v>
      </c>
      <c r="B265" s="3" t="s">
        <v>890</v>
      </c>
      <c r="C265" s="3" t="s">
        <v>891</v>
      </c>
      <c r="D265" s="3" t="s">
        <v>901</v>
      </c>
      <c r="E265" s="3"/>
      <c r="F265" s="3" t="s">
        <v>15</v>
      </c>
      <c r="G265" s="3"/>
      <c r="H265" s="3"/>
      <c r="I265" s="3" t="s">
        <v>16</v>
      </c>
      <c r="J265" s="3" t="s">
        <v>17</v>
      </c>
      <c r="K265" s="3" t="s">
        <v>902</v>
      </c>
    </row>
    <row r="266" spans="1:11" ht="27.6" customHeight="1">
      <c r="A266" s="3" t="s">
        <v>903</v>
      </c>
      <c r="B266" s="3" t="s">
        <v>904</v>
      </c>
      <c r="C266" s="3" t="s">
        <v>891</v>
      </c>
      <c r="D266" s="3" t="s">
        <v>905</v>
      </c>
      <c r="E266" s="3"/>
      <c r="F266" s="3" t="s">
        <v>15</v>
      </c>
      <c r="G266" s="3"/>
      <c r="H266" s="3"/>
      <c r="I266" s="3" t="s">
        <v>16</v>
      </c>
      <c r="J266" s="3" t="s">
        <v>17</v>
      </c>
      <c r="K266" s="3" t="s">
        <v>906</v>
      </c>
    </row>
    <row r="267" spans="1:11" ht="27.6" customHeight="1">
      <c r="A267" s="3" t="s">
        <v>907</v>
      </c>
      <c r="B267" s="3" t="s">
        <v>904</v>
      </c>
      <c r="C267" s="3" t="s">
        <v>891</v>
      </c>
      <c r="D267" s="3" t="s">
        <v>908</v>
      </c>
      <c r="E267" s="3"/>
      <c r="F267" s="3" t="s">
        <v>15</v>
      </c>
      <c r="G267" s="3"/>
      <c r="H267" s="3" t="s">
        <v>909</v>
      </c>
      <c r="I267" s="3" t="s">
        <v>16</v>
      </c>
      <c r="J267" s="3" t="s">
        <v>17</v>
      </c>
      <c r="K267" s="3" t="s">
        <v>910</v>
      </c>
    </row>
    <row r="268" spans="1:11" ht="27.6" customHeight="1">
      <c r="A268" s="3" t="s">
        <v>911</v>
      </c>
      <c r="B268" s="3" t="s">
        <v>904</v>
      </c>
      <c r="C268" s="3" t="s">
        <v>891</v>
      </c>
      <c r="D268" s="3" t="s">
        <v>912</v>
      </c>
      <c r="E268" s="3"/>
      <c r="F268" s="3" t="s">
        <v>15</v>
      </c>
      <c r="G268" s="3"/>
      <c r="H268" s="3"/>
      <c r="I268" s="3" t="s">
        <v>16</v>
      </c>
      <c r="J268" s="3" t="s">
        <v>17</v>
      </c>
      <c r="K268" s="3" t="s">
        <v>913</v>
      </c>
    </row>
    <row r="269" spans="1:11" ht="27.6" customHeight="1">
      <c r="A269" s="3" t="s">
        <v>914</v>
      </c>
      <c r="B269" s="3" t="s">
        <v>904</v>
      </c>
      <c r="C269" s="3" t="s">
        <v>891</v>
      </c>
      <c r="D269" s="3" t="s">
        <v>915</v>
      </c>
      <c r="E269" s="3"/>
      <c r="F269" s="3" t="s">
        <v>15</v>
      </c>
      <c r="G269" s="3"/>
      <c r="H269" s="3"/>
      <c r="I269" s="3" t="s">
        <v>16</v>
      </c>
      <c r="J269" s="3" t="s">
        <v>17</v>
      </c>
      <c r="K269" s="3" t="s">
        <v>916</v>
      </c>
    </row>
    <row r="270" spans="1:11" ht="27.6" customHeight="1">
      <c r="A270" s="3" t="s">
        <v>917</v>
      </c>
      <c r="B270" s="3" t="s">
        <v>918</v>
      </c>
      <c r="C270" s="3" t="s">
        <v>891</v>
      </c>
      <c r="D270" s="3" t="s">
        <v>919</v>
      </c>
      <c r="E270" s="3"/>
      <c r="F270" s="3" t="s">
        <v>15</v>
      </c>
      <c r="G270" s="3"/>
      <c r="H270" s="3"/>
      <c r="I270" s="3" t="s">
        <v>16</v>
      </c>
      <c r="J270" s="3" t="s">
        <v>17</v>
      </c>
      <c r="K270" s="3" t="s">
        <v>920</v>
      </c>
    </row>
    <row r="271" spans="1:11" ht="27.6" customHeight="1">
      <c r="A271" s="3" t="s">
        <v>921</v>
      </c>
      <c r="B271" s="3" t="s">
        <v>918</v>
      </c>
      <c r="C271" s="3" t="s">
        <v>891</v>
      </c>
      <c r="D271" s="3" t="s">
        <v>922</v>
      </c>
      <c r="E271" s="3"/>
      <c r="F271" s="3" t="s">
        <v>15</v>
      </c>
      <c r="G271" s="3"/>
      <c r="H271" s="3"/>
      <c r="I271" s="3" t="s">
        <v>16</v>
      </c>
      <c r="J271" s="3" t="s">
        <v>17</v>
      </c>
      <c r="K271" s="3" t="s">
        <v>923</v>
      </c>
    </row>
    <row r="272" spans="1:11" ht="27.6" customHeight="1">
      <c r="A272" s="3" t="s">
        <v>924</v>
      </c>
      <c r="B272" s="3" t="s">
        <v>918</v>
      </c>
      <c r="C272" s="3" t="s">
        <v>891</v>
      </c>
      <c r="D272" s="3" t="s">
        <v>925</v>
      </c>
      <c r="E272" s="3"/>
      <c r="F272" s="3" t="s">
        <v>15</v>
      </c>
      <c r="G272" s="3"/>
      <c r="H272" s="3"/>
      <c r="I272" s="3" t="s">
        <v>16</v>
      </c>
      <c r="J272" s="3" t="s">
        <v>17</v>
      </c>
      <c r="K272" s="3" t="s">
        <v>926</v>
      </c>
    </row>
    <row r="273" spans="1:11" ht="27.6" customHeight="1">
      <c r="A273" s="3" t="s">
        <v>927</v>
      </c>
      <c r="B273" s="3" t="s">
        <v>918</v>
      </c>
      <c r="C273" s="3" t="s">
        <v>891</v>
      </c>
      <c r="D273" s="3" t="s">
        <v>928</v>
      </c>
      <c r="E273" s="3"/>
      <c r="F273" s="3" t="s">
        <v>15</v>
      </c>
      <c r="G273" s="3"/>
      <c r="H273" s="3"/>
      <c r="I273" s="3" t="s">
        <v>16</v>
      </c>
      <c r="J273" s="3" t="s">
        <v>17</v>
      </c>
      <c r="K273" s="3" t="s">
        <v>929</v>
      </c>
    </row>
    <row r="274" spans="1:11" ht="27.6" customHeight="1">
      <c r="A274" s="3" t="s">
        <v>930</v>
      </c>
      <c r="B274" s="3" t="s">
        <v>931</v>
      </c>
      <c r="C274" s="3" t="s">
        <v>891</v>
      </c>
      <c r="D274" s="3" t="s">
        <v>932</v>
      </c>
      <c r="E274" s="3"/>
      <c r="F274" s="3" t="s">
        <v>15</v>
      </c>
      <c r="G274" s="3"/>
      <c r="H274" s="3"/>
      <c r="I274" s="3" t="s">
        <v>16</v>
      </c>
      <c r="J274" s="3" t="s">
        <v>17</v>
      </c>
      <c r="K274" s="3" t="s">
        <v>933</v>
      </c>
    </row>
    <row r="275" spans="1:11" ht="27.6" customHeight="1">
      <c r="A275" s="3" t="s">
        <v>934</v>
      </c>
      <c r="B275" s="3" t="s">
        <v>931</v>
      </c>
      <c r="C275" s="3" t="s">
        <v>891</v>
      </c>
      <c r="D275" s="3" t="s">
        <v>935</v>
      </c>
      <c r="E275" s="3"/>
      <c r="F275" s="3" t="s">
        <v>15</v>
      </c>
      <c r="G275" s="3"/>
      <c r="H275" s="3"/>
      <c r="I275" s="3" t="s">
        <v>16</v>
      </c>
      <c r="J275" s="3" t="s">
        <v>17</v>
      </c>
      <c r="K275" s="3" t="s">
        <v>936</v>
      </c>
    </row>
    <row r="276" spans="1:11" ht="27.6" customHeight="1">
      <c r="A276" s="3" t="s">
        <v>937</v>
      </c>
      <c r="B276" s="3" t="s">
        <v>931</v>
      </c>
      <c r="C276" s="3" t="s">
        <v>891</v>
      </c>
      <c r="D276" s="3" t="s">
        <v>938</v>
      </c>
      <c r="E276" s="3"/>
      <c r="F276" s="3" t="s">
        <v>15</v>
      </c>
      <c r="G276" s="3"/>
      <c r="H276" s="3"/>
      <c r="I276" s="3" t="s">
        <v>16</v>
      </c>
      <c r="J276" s="3" t="s">
        <v>17</v>
      </c>
      <c r="K276" s="3" t="s">
        <v>939</v>
      </c>
    </row>
    <row r="277" spans="1:11" ht="27.6" customHeight="1">
      <c r="A277" s="3" t="s">
        <v>940</v>
      </c>
      <c r="B277" s="3" t="s">
        <v>931</v>
      </c>
      <c r="C277" s="3" t="s">
        <v>891</v>
      </c>
      <c r="D277" s="3" t="s">
        <v>941</v>
      </c>
      <c r="E277" s="3"/>
      <c r="F277" s="3" t="s">
        <v>15</v>
      </c>
      <c r="G277" s="3"/>
      <c r="H277" s="3"/>
      <c r="I277" s="3" t="s">
        <v>16</v>
      </c>
      <c r="J277" s="3" t="s">
        <v>17</v>
      </c>
      <c r="K277" s="3" t="s">
        <v>942</v>
      </c>
    </row>
    <row r="278" spans="1:11" ht="27.6" customHeight="1">
      <c r="A278" s="3" t="s">
        <v>943</v>
      </c>
      <c r="B278" s="3" t="s">
        <v>944</v>
      </c>
      <c r="C278" s="3" t="s">
        <v>945</v>
      </c>
      <c r="D278" s="3" t="s">
        <v>946</v>
      </c>
      <c r="E278" s="3"/>
      <c r="F278" s="3" t="s">
        <v>15</v>
      </c>
      <c r="G278" s="3"/>
      <c r="H278" s="3"/>
      <c r="I278" s="3" t="s">
        <v>16</v>
      </c>
      <c r="J278" s="3" t="s">
        <v>17</v>
      </c>
      <c r="K278" s="3" t="s">
        <v>947</v>
      </c>
    </row>
    <row r="279" spans="1:11" ht="27.6" customHeight="1">
      <c r="A279" s="3" t="s">
        <v>948</v>
      </c>
      <c r="B279" s="3" t="s">
        <v>944</v>
      </c>
      <c r="C279" s="3" t="s">
        <v>945</v>
      </c>
      <c r="D279" s="3" t="s">
        <v>949</v>
      </c>
      <c r="E279" s="3"/>
      <c r="F279" s="3" t="s">
        <v>15</v>
      </c>
      <c r="G279" s="3"/>
      <c r="H279" s="3"/>
      <c r="I279" s="3" t="s">
        <v>16</v>
      </c>
      <c r="J279" s="3" t="s">
        <v>17</v>
      </c>
      <c r="K279" s="3" t="s">
        <v>950</v>
      </c>
    </row>
    <row r="280" spans="1:11" ht="27.6" customHeight="1">
      <c r="A280" s="3" t="s">
        <v>951</v>
      </c>
      <c r="B280" s="3" t="s">
        <v>944</v>
      </c>
      <c r="C280" s="3" t="s">
        <v>945</v>
      </c>
      <c r="D280" s="3" t="s">
        <v>952</v>
      </c>
      <c r="E280" s="3"/>
      <c r="F280" s="3" t="s">
        <v>15</v>
      </c>
      <c r="G280" s="3"/>
      <c r="H280" s="3"/>
      <c r="I280" s="3" t="s">
        <v>16</v>
      </c>
      <c r="J280" s="3" t="s">
        <v>17</v>
      </c>
      <c r="K280" s="3" t="s">
        <v>953</v>
      </c>
    </row>
    <row r="281" spans="1:11" ht="27.6" customHeight="1">
      <c r="A281" s="3" t="s">
        <v>954</v>
      </c>
      <c r="B281" s="3" t="s">
        <v>944</v>
      </c>
      <c r="C281" s="3" t="s">
        <v>945</v>
      </c>
      <c r="D281" s="3" t="s">
        <v>955</v>
      </c>
      <c r="E281" s="3"/>
      <c r="F281" s="3" t="s">
        <v>15</v>
      </c>
      <c r="G281" s="3"/>
      <c r="H281" s="3"/>
      <c r="I281" s="3" t="s">
        <v>16</v>
      </c>
      <c r="J281" s="3" t="s">
        <v>17</v>
      </c>
      <c r="K281" s="3" t="s">
        <v>956</v>
      </c>
    </row>
    <row r="282" spans="1:11" ht="27.6" customHeight="1">
      <c r="A282" s="3" t="s">
        <v>957</v>
      </c>
      <c r="B282" s="3" t="s">
        <v>958</v>
      </c>
      <c r="C282" s="3" t="s">
        <v>945</v>
      </c>
      <c r="D282" s="3" t="s">
        <v>959</v>
      </c>
      <c r="E282" s="3"/>
      <c r="F282" s="3" t="s">
        <v>15</v>
      </c>
      <c r="G282" s="3"/>
      <c r="H282" s="3"/>
      <c r="I282" s="3" t="s">
        <v>16</v>
      </c>
      <c r="J282" s="3" t="s">
        <v>17</v>
      </c>
      <c r="K282" s="3" t="s">
        <v>960</v>
      </c>
    </row>
    <row r="283" spans="1:11" ht="27.6" customHeight="1">
      <c r="A283" s="3" t="s">
        <v>961</v>
      </c>
      <c r="B283" s="3" t="s">
        <v>958</v>
      </c>
      <c r="C283" s="3" t="s">
        <v>945</v>
      </c>
      <c r="D283" s="3" t="s">
        <v>962</v>
      </c>
      <c r="E283" s="3"/>
      <c r="F283" s="3" t="s">
        <v>15</v>
      </c>
      <c r="G283" s="3"/>
      <c r="H283" s="3"/>
      <c r="I283" s="3" t="s">
        <v>16</v>
      </c>
      <c r="J283" s="3" t="s">
        <v>17</v>
      </c>
      <c r="K283" s="3" t="s">
        <v>963</v>
      </c>
    </row>
    <row r="284" spans="1:11" ht="27.6" customHeight="1">
      <c r="A284" s="3" t="s">
        <v>964</v>
      </c>
      <c r="B284" s="3" t="s">
        <v>958</v>
      </c>
      <c r="C284" s="3" t="s">
        <v>945</v>
      </c>
      <c r="D284" s="3" t="s">
        <v>965</v>
      </c>
      <c r="E284" s="3"/>
      <c r="F284" s="3" t="s">
        <v>15</v>
      </c>
      <c r="G284" s="3"/>
      <c r="H284" s="3"/>
      <c r="I284" s="3" t="s">
        <v>16</v>
      </c>
      <c r="J284" s="3" t="s">
        <v>17</v>
      </c>
      <c r="K284" s="3" t="s">
        <v>966</v>
      </c>
    </row>
    <row r="285" spans="1:11" ht="27.6" customHeight="1">
      <c r="A285" s="3" t="s">
        <v>967</v>
      </c>
      <c r="B285" s="3" t="s">
        <v>958</v>
      </c>
      <c r="C285" s="3" t="s">
        <v>945</v>
      </c>
      <c r="D285" s="3" t="s">
        <v>968</v>
      </c>
      <c r="E285" s="3"/>
      <c r="F285" s="3" t="s">
        <v>15</v>
      </c>
      <c r="G285" s="3"/>
      <c r="H285" s="3"/>
      <c r="I285" s="3" t="s">
        <v>16</v>
      </c>
      <c r="J285" s="3" t="s">
        <v>17</v>
      </c>
      <c r="K285" s="3" t="s">
        <v>969</v>
      </c>
    </row>
    <row r="286" spans="1:11" ht="27.6" customHeight="1">
      <c r="A286" s="3" t="s">
        <v>970</v>
      </c>
      <c r="B286" s="3" t="s">
        <v>971</v>
      </c>
      <c r="C286" s="3" t="s">
        <v>945</v>
      </c>
      <c r="D286" s="3" t="s">
        <v>972</v>
      </c>
      <c r="E286" s="3"/>
      <c r="F286" s="3" t="s">
        <v>15</v>
      </c>
      <c r="G286" s="3"/>
      <c r="H286" s="3"/>
      <c r="I286" s="3" t="s">
        <v>16</v>
      </c>
      <c r="J286" s="3" t="s">
        <v>17</v>
      </c>
      <c r="K286" s="3" t="s">
        <v>973</v>
      </c>
    </row>
    <row r="287" spans="1:11" ht="27.6" customHeight="1">
      <c r="A287" s="3" t="s">
        <v>974</v>
      </c>
      <c r="B287" s="3" t="s">
        <v>971</v>
      </c>
      <c r="C287" s="3" t="s">
        <v>945</v>
      </c>
      <c r="D287" s="3" t="s">
        <v>975</v>
      </c>
      <c r="E287" s="3"/>
      <c r="F287" s="3" t="s">
        <v>15</v>
      </c>
      <c r="G287" s="3"/>
      <c r="H287" s="3"/>
      <c r="I287" s="3" t="s">
        <v>16</v>
      </c>
      <c r="J287" s="3" t="s">
        <v>17</v>
      </c>
      <c r="K287" s="3" t="s">
        <v>976</v>
      </c>
    </row>
    <row r="288" spans="1:11" ht="27.6" customHeight="1">
      <c r="A288" s="3" t="s">
        <v>977</v>
      </c>
      <c r="B288" s="3" t="s">
        <v>971</v>
      </c>
      <c r="C288" s="3" t="s">
        <v>945</v>
      </c>
      <c r="D288" s="3" t="s">
        <v>978</v>
      </c>
      <c r="E288" s="3"/>
      <c r="F288" s="3" t="s">
        <v>15</v>
      </c>
      <c r="G288" s="3"/>
      <c r="H288" s="3"/>
      <c r="I288" s="3" t="s">
        <v>16</v>
      </c>
      <c r="J288" s="3" t="s">
        <v>17</v>
      </c>
      <c r="K288" s="3" t="s">
        <v>979</v>
      </c>
    </row>
    <row r="289" spans="1:11" ht="27.6" customHeight="1">
      <c r="A289" s="3" t="s">
        <v>980</v>
      </c>
      <c r="B289" s="3" t="s">
        <v>971</v>
      </c>
      <c r="C289" s="3" t="s">
        <v>945</v>
      </c>
      <c r="D289" s="3" t="s">
        <v>981</v>
      </c>
      <c r="E289" s="3"/>
      <c r="F289" s="3" t="s">
        <v>15</v>
      </c>
      <c r="G289" s="3"/>
      <c r="H289" s="3"/>
      <c r="I289" s="3" t="s">
        <v>16</v>
      </c>
      <c r="J289" s="3" t="s">
        <v>17</v>
      </c>
      <c r="K289" s="3" t="s">
        <v>982</v>
      </c>
    </row>
    <row r="290" spans="1:11" ht="27.6" customHeight="1">
      <c r="A290" s="3" t="s">
        <v>983</v>
      </c>
      <c r="B290" s="3" t="s">
        <v>984</v>
      </c>
      <c r="C290" s="3" t="s">
        <v>945</v>
      </c>
      <c r="D290" s="3" t="s">
        <v>985</v>
      </c>
      <c r="E290" s="3"/>
      <c r="F290" s="3" t="s">
        <v>15</v>
      </c>
      <c r="G290" s="3"/>
      <c r="H290" s="3"/>
      <c r="I290" s="3" t="s">
        <v>16</v>
      </c>
      <c r="J290" s="3" t="s">
        <v>17</v>
      </c>
      <c r="K290" s="3" t="s">
        <v>986</v>
      </c>
    </row>
    <row r="291" spans="1:11" ht="27.6" customHeight="1">
      <c r="A291" s="3" t="s">
        <v>987</v>
      </c>
      <c r="B291" s="3" t="s">
        <v>984</v>
      </c>
      <c r="C291" s="3" t="s">
        <v>945</v>
      </c>
      <c r="D291" s="3" t="s">
        <v>988</v>
      </c>
      <c r="E291" s="3"/>
      <c r="F291" s="3" t="s">
        <v>15</v>
      </c>
      <c r="G291" s="3"/>
      <c r="H291" s="3"/>
      <c r="I291" s="3" t="s">
        <v>16</v>
      </c>
      <c r="J291" s="3" t="s">
        <v>17</v>
      </c>
      <c r="K291" s="3" t="s">
        <v>989</v>
      </c>
    </row>
    <row r="292" spans="1:11" ht="27.6" customHeight="1">
      <c r="A292" s="3" t="s">
        <v>990</v>
      </c>
      <c r="B292" s="3" t="s">
        <v>984</v>
      </c>
      <c r="C292" s="3" t="s">
        <v>945</v>
      </c>
      <c r="D292" s="3" t="s">
        <v>991</v>
      </c>
      <c r="E292" s="3"/>
      <c r="F292" s="3" t="s">
        <v>15</v>
      </c>
      <c r="G292" s="3"/>
      <c r="H292" s="3"/>
      <c r="I292" s="3" t="s">
        <v>16</v>
      </c>
      <c r="J292" s="3" t="s">
        <v>17</v>
      </c>
      <c r="K292" s="3" t="s">
        <v>992</v>
      </c>
    </row>
    <row r="293" spans="1:11" ht="27.6" customHeight="1">
      <c r="A293" s="3" t="s">
        <v>993</v>
      </c>
      <c r="B293" s="3" t="s">
        <v>984</v>
      </c>
      <c r="C293" s="3" t="s">
        <v>945</v>
      </c>
      <c r="D293" s="3" t="s">
        <v>994</v>
      </c>
      <c r="E293" s="3"/>
      <c r="F293" s="3" t="s">
        <v>15</v>
      </c>
      <c r="G293" s="3"/>
      <c r="H293" s="3"/>
      <c r="I293" s="3" t="s">
        <v>16</v>
      </c>
      <c r="J293" s="3" t="s">
        <v>17</v>
      </c>
      <c r="K293" s="3" t="s">
        <v>995</v>
      </c>
    </row>
    <row r="294" spans="1:11" ht="27.6" customHeight="1">
      <c r="A294" s="3" t="s">
        <v>996</v>
      </c>
      <c r="B294" s="3" t="s">
        <v>997</v>
      </c>
      <c r="C294" s="3" t="s">
        <v>945</v>
      </c>
      <c r="D294" s="3" t="s">
        <v>998</v>
      </c>
      <c r="E294" s="3"/>
      <c r="F294" s="3" t="s">
        <v>15</v>
      </c>
      <c r="G294" s="3"/>
      <c r="H294" s="3"/>
      <c r="I294" s="3" t="s">
        <v>16</v>
      </c>
      <c r="J294" s="3" t="s">
        <v>17</v>
      </c>
      <c r="K294" s="3" t="s">
        <v>999</v>
      </c>
    </row>
    <row r="295" spans="1:11" ht="27.6" customHeight="1">
      <c r="A295" s="3" t="s">
        <v>1000</v>
      </c>
      <c r="B295" s="3" t="s">
        <v>997</v>
      </c>
      <c r="C295" s="3" t="s">
        <v>945</v>
      </c>
      <c r="D295" s="3" t="s">
        <v>1001</v>
      </c>
      <c r="E295" s="3"/>
      <c r="F295" s="3" t="s">
        <v>15</v>
      </c>
      <c r="G295" s="3"/>
      <c r="H295" s="3"/>
      <c r="I295" s="3" t="s">
        <v>16</v>
      </c>
      <c r="J295" s="3" t="s">
        <v>17</v>
      </c>
      <c r="K295" s="3" t="s">
        <v>1002</v>
      </c>
    </row>
    <row r="296" spans="1:11" ht="27.6" customHeight="1">
      <c r="A296" s="3" t="s">
        <v>1003</v>
      </c>
      <c r="B296" s="3" t="s">
        <v>997</v>
      </c>
      <c r="C296" s="3" t="s">
        <v>945</v>
      </c>
      <c r="D296" s="3" t="s">
        <v>1004</v>
      </c>
      <c r="E296" s="3"/>
      <c r="F296" s="3" t="s">
        <v>15</v>
      </c>
      <c r="G296" s="3"/>
      <c r="H296" s="3"/>
      <c r="I296" s="3" t="s">
        <v>16</v>
      </c>
      <c r="J296" s="3" t="s">
        <v>17</v>
      </c>
      <c r="K296" s="3" t="s">
        <v>1005</v>
      </c>
    </row>
    <row r="297" spans="1:11" ht="27.6" customHeight="1">
      <c r="A297" s="3" t="s">
        <v>1006</v>
      </c>
      <c r="B297" s="3" t="s">
        <v>997</v>
      </c>
      <c r="C297" s="3" t="s">
        <v>945</v>
      </c>
      <c r="D297" s="3" t="s">
        <v>1007</v>
      </c>
      <c r="E297" s="3"/>
      <c r="F297" s="3" t="s">
        <v>15</v>
      </c>
      <c r="G297" s="3"/>
      <c r="H297" s="3"/>
      <c r="I297" s="3" t="s">
        <v>16</v>
      </c>
      <c r="J297" s="3" t="s">
        <v>17</v>
      </c>
      <c r="K297" s="3" t="s">
        <v>1008</v>
      </c>
    </row>
    <row r="298" spans="1:11" ht="27.6" customHeight="1">
      <c r="A298" s="3" t="s">
        <v>1009</v>
      </c>
      <c r="B298" s="3" t="s">
        <v>1010</v>
      </c>
      <c r="C298" s="3" t="s">
        <v>945</v>
      </c>
      <c r="D298" s="3" t="s">
        <v>1011</v>
      </c>
      <c r="E298" s="3"/>
      <c r="F298" s="3" t="s">
        <v>15</v>
      </c>
      <c r="G298" s="3"/>
      <c r="H298" s="3"/>
      <c r="I298" s="3" t="s">
        <v>16</v>
      </c>
      <c r="J298" s="3" t="s">
        <v>17</v>
      </c>
      <c r="K298" s="3" t="s">
        <v>1012</v>
      </c>
    </row>
    <row r="299" spans="1:11" ht="27.6" customHeight="1">
      <c r="A299" s="3" t="s">
        <v>1013</v>
      </c>
      <c r="B299" s="3" t="s">
        <v>1010</v>
      </c>
      <c r="C299" s="3" t="s">
        <v>945</v>
      </c>
      <c r="D299" s="3" t="s">
        <v>1014</v>
      </c>
      <c r="E299" s="3"/>
      <c r="F299" s="3" t="s">
        <v>15</v>
      </c>
      <c r="G299" s="3"/>
      <c r="H299" s="3"/>
      <c r="I299" s="3" t="s">
        <v>16</v>
      </c>
      <c r="J299" s="3" t="s">
        <v>17</v>
      </c>
      <c r="K299" s="3" t="s">
        <v>1015</v>
      </c>
    </row>
    <row r="300" spans="1:11" ht="27.6" customHeight="1">
      <c r="A300" s="3" t="s">
        <v>1016</v>
      </c>
      <c r="B300" s="3" t="s">
        <v>1010</v>
      </c>
      <c r="C300" s="3" t="s">
        <v>945</v>
      </c>
      <c r="D300" s="3" t="s">
        <v>1017</v>
      </c>
      <c r="E300" s="3"/>
      <c r="F300" s="3" t="s">
        <v>15</v>
      </c>
      <c r="G300" s="3"/>
      <c r="H300" s="3"/>
      <c r="I300" s="3" t="s">
        <v>16</v>
      </c>
      <c r="J300" s="3" t="s">
        <v>17</v>
      </c>
      <c r="K300" s="3" t="s">
        <v>1018</v>
      </c>
    </row>
    <row r="301" spans="1:11" ht="27.6" customHeight="1">
      <c r="A301" s="3" t="s">
        <v>1019</v>
      </c>
      <c r="B301" s="3" t="s">
        <v>1010</v>
      </c>
      <c r="C301" s="3" t="s">
        <v>945</v>
      </c>
      <c r="D301" s="3" t="s">
        <v>1020</v>
      </c>
      <c r="E301" s="3"/>
      <c r="F301" s="3" t="s">
        <v>15</v>
      </c>
      <c r="G301" s="3"/>
      <c r="H301" s="3"/>
      <c r="I301" s="3" t="s">
        <v>16</v>
      </c>
      <c r="J301" s="3" t="s">
        <v>17</v>
      </c>
      <c r="K301" s="3" t="s">
        <v>1021</v>
      </c>
    </row>
  </sheetData>
  <conditionalFormatting sqref="F2:F301">
    <cfRule type="expression" dxfId="3" priority="1">
      <formula>F2="Pass"</formula>
    </cfRule>
    <cfRule type="expression" dxfId="2" priority="2">
      <formula>F2="Fail"</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4"/>
  <sheetViews>
    <sheetView workbookViewId="0"/>
  </sheetViews>
  <sheetFormatPr defaultRowHeight="13.8"/>
  <cols>
    <col min="1" max="1" width="18" customWidth="1"/>
    <col min="2" max="3" width="74" customWidth="1"/>
    <col min="4" max="4" width="16" customWidth="1"/>
  </cols>
  <sheetData>
    <row r="1" spans="1:6" ht="24" customHeight="1">
      <c r="A1" s="2" t="s">
        <v>1340</v>
      </c>
      <c r="B1" s="2" t="s">
        <v>1341</v>
      </c>
      <c r="C1" s="2" t="s">
        <v>1342</v>
      </c>
      <c r="D1" s="2" t="s">
        <v>1023</v>
      </c>
      <c r="E1" t="s">
        <v>1052</v>
      </c>
      <c r="F1" t="s">
        <v>1343</v>
      </c>
    </row>
    <row r="2" spans="1:6" ht="27.6" customHeight="1">
      <c r="A2" s="4" t="s">
        <v>1344</v>
      </c>
      <c r="B2" s="4" t="s">
        <v>1345</v>
      </c>
      <c r="C2" s="4" t="s">
        <v>1346</v>
      </c>
      <c r="D2" s="4" t="s">
        <v>1028</v>
      </c>
      <c r="E2" t="s">
        <v>1347</v>
      </c>
      <c r="F2" t="s">
        <v>1348</v>
      </c>
    </row>
    <row r="3" spans="1:6">
      <c r="A3" s="4" t="s">
        <v>1349</v>
      </c>
      <c r="B3" s="4" t="s">
        <v>1350</v>
      </c>
      <c r="C3" s="4" t="s">
        <v>1351</v>
      </c>
      <c r="D3" s="4" t="s">
        <v>1033</v>
      </c>
      <c r="E3" t="s">
        <v>1352</v>
      </c>
      <c r="F3" t="s">
        <v>1353</v>
      </c>
    </row>
    <row r="4" spans="1:6">
      <c r="A4" s="4" t="s">
        <v>1354</v>
      </c>
      <c r="B4" s="4" t="s">
        <v>1355</v>
      </c>
      <c r="C4" s="4" t="s">
        <v>1356</v>
      </c>
      <c r="D4" s="4" t="s">
        <v>1028</v>
      </c>
      <c r="E4" t="s">
        <v>15</v>
      </c>
      <c r="F4" t="s">
        <v>1357</v>
      </c>
    </row>
    <row r="5" spans="1:6">
      <c r="A5" s="4" t="s">
        <v>1358</v>
      </c>
      <c r="B5" s="4" t="s">
        <v>1359</v>
      </c>
      <c r="C5" s="4" t="s">
        <v>1360</v>
      </c>
      <c r="D5" s="4" t="s">
        <v>1028</v>
      </c>
      <c r="E5" t="s">
        <v>15</v>
      </c>
      <c r="F5" t="s">
        <v>1361</v>
      </c>
    </row>
    <row r="6" spans="1:6">
      <c r="A6" s="4" t="s">
        <v>1362</v>
      </c>
      <c r="B6" s="4" t="s">
        <v>1363</v>
      </c>
      <c r="C6" s="4" t="s">
        <v>1364</v>
      </c>
      <c r="D6" s="4" t="s">
        <v>1028</v>
      </c>
      <c r="E6" t="s">
        <v>15</v>
      </c>
      <c r="F6" t="s">
        <v>1365</v>
      </c>
    </row>
    <row r="7" spans="1:6" ht="27.6" customHeight="1">
      <c r="A7" s="4" t="s">
        <v>1366</v>
      </c>
      <c r="B7" s="4" t="s">
        <v>1367</v>
      </c>
      <c r="C7" s="4" t="s">
        <v>1368</v>
      </c>
      <c r="D7" s="4" t="s">
        <v>1028</v>
      </c>
      <c r="E7" t="s">
        <v>15</v>
      </c>
      <c r="F7" t="s">
        <v>1369</v>
      </c>
    </row>
    <row r="8" spans="1:6">
      <c r="A8" s="4" t="s">
        <v>1370</v>
      </c>
      <c r="B8" s="4" t="s">
        <v>1371</v>
      </c>
      <c r="C8" s="4" t="s">
        <v>1372</v>
      </c>
      <c r="D8" s="4" t="s">
        <v>1028</v>
      </c>
      <c r="E8" t="s">
        <v>15</v>
      </c>
      <c r="F8" t="s">
        <v>1373</v>
      </c>
    </row>
    <row r="9" spans="1:6">
      <c r="A9" s="4" t="s">
        <v>1374</v>
      </c>
      <c r="B9" s="4" t="s">
        <v>1375</v>
      </c>
      <c r="C9" s="4" t="s">
        <v>1376</v>
      </c>
      <c r="D9" s="4" t="s">
        <v>1028</v>
      </c>
      <c r="E9" t="s">
        <v>15</v>
      </c>
      <c r="F9" t="s">
        <v>1377</v>
      </c>
    </row>
    <row r="10" spans="1:6">
      <c r="A10" s="4" t="s">
        <v>1378</v>
      </c>
      <c r="B10" s="4" t="s">
        <v>1379</v>
      </c>
      <c r="C10" s="4" t="s">
        <v>1380</v>
      </c>
      <c r="D10" s="4" t="s">
        <v>1033</v>
      </c>
      <c r="E10" t="s">
        <v>1381</v>
      </c>
      <c r="F10" t="s">
        <v>1382</v>
      </c>
    </row>
    <row r="11" spans="1:6" ht="27.6" customHeight="1">
      <c r="A11" s="4" t="s">
        <v>1383</v>
      </c>
      <c r="B11" s="4" t="s">
        <v>1384</v>
      </c>
      <c r="C11" s="4" t="s">
        <v>1385</v>
      </c>
      <c r="D11" s="4" t="s">
        <v>1033</v>
      </c>
      <c r="E11" t="s">
        <v>1347</v>
      </c>
      <c r="F11" t="s">
        <v>1386</v>
      </c>
    </row>
    <row r="12" spans="1:6" ht="27.6" customHeight="1">
      <c r="A12" s="4" t="s">
        <v>1387</v>
      </c>
      <c r="B12" s="4" t="s">
        <v>1388</v>
      </c>
      <c r="C12" s="4" t="s">
        <v>1389</v>
      </c>
      <c r="D12" s="4" t="s">
        <v>1028</v>
      </c>
      <c r="E12" t="s">
        <v>15</v>
      </c>
      <c r="F12" t="s">
        <v>1390</v>
      </c>
    </row>
    <row r="13" spans="1:6">
      <c r="A13" s="4" t="s">
        <v>1391</v>
      </c>
      <c r="B13" s="4" t="s">
        <v>1392</v>
      </c>
      <c r="C13" s="4" t="s">
        <v>1393</v>
      </c>
      <c r="D13" s="4" t="s">
        <v>1028</v>
      </c>
      <c r="E13" t="s">
        <v>15</v>
      </c>
      <c r="F13" t="s">
        <v>1394</v>
      </c>
    </row>
    <row r="14" spans="1:6">
      <c r="A14" s="4" t="s">
        <v>1395</v>
      </c>
      <c r="B14" s="4" t="s">
        <v>1396</v>
      </c>
      <c r="C14" s="4" t="s">
        <v>1397</v>
      </c>
      <c r="D14" s="4" t="s">
        <v>1033</v>
      </c>
      <c r="E14" t="s">
        <v>1398</v>
      </c>
      <c r="F14" t="s">
        <v>1399</v>
      </c>
    </row>
    <row r="15" spans="1:6">
      <c r="A15" s="4" t="s">
        <v>1400</v>
      </c>
      <c r="B15" s="4" t="s">
        <v>1401</v>
      </c>
      <c r="C15" s="4" t="s">
        <v>1402</v>
      </c>
      <c r="D15" s="4" t="s">
        <v>1033</v>
      </c>
      <c r="E15" t="s">
        <v>15</v>
      </c>
      <c r="F15" t="s">
        <v>1403</v>
      </c>
    </row>
    <row r="16" spans="1:6">
      <c r="A16" s="4" t="s">
        <v>1404</v>
      </c>
      <c r="B16" s="4" t="s">
        <v>1405</v>
      </c>
      <c r="C16" s="4" t="s">
        <v>1406</v>
      </c>
      <c r="D16" s="4" t="s">
        <v>1028</v>
      </c>
      <c r="E16" t="s">
        <v>15</v>
      </c>
      <c r="F16" t="s">
        <v>1407</v>
      </c>
    </row>
    <row r="17" spans="1:6">
      <c r="A17" s="4" t="s">
        <v>1408</v>
      </c>
      <c r="B17" s="4" t="s">
        <v>1409</v>
      </c>
      <c r="C17" s="4" t="s">
        <v>1410</v>
      </c>
      <c r="D17" s="4" t="s">
        <v>1028</v>
      </c>
      <c r="E17" t="s">
        <v>15</v>
      </c>
      <c r="F17" t="s">
        <v>1411</v>
      </c>
    </row>
    <row r="20" spans="1:6" ht="24" customHeight="1">
      <c r="A20" s="2" t="s">
        <v>1412</v>
      </c>
      <c r="B20" s="2" t="s">
        <v>1413</v>
      </c>
    </row>
    <row r="21" spans="1:6" ht="27.6" customHeight="1">
      <c r="A21" s="4" t="s">
        <v>1414</v>
      </c>
      <c r="B21" s="4" t="s">
        <v>1415</v>
      </c>
      <c r="E21" t="s">
        <v>15</v>
      </c>
      <c r="F21" t="s">
        <v>1416</v>
      </c>
    </row>
    <row r="22" spans="1:6">
      <c r="A22" s="4" t="s">
        <v>1417</v>
      </c>
      <c r="B22" s="4" t="s">
        <v>1418</v>
      </c>
      <c r="E22" t="s">
        <v>15</v>
      </c>
      <c r="F22" t="s">
        <v>1419</v>
      </c>
    </row>
    <row r="23" spans="1:6">
      <c r="A23" s="4" t="s">
        <v>1420</v>
      </c>
      <c r="B23" s="4" t="s">
        <v>1421</v>
      </c>
      <c r="E23" t="s">
        <v>15</v>
      </c>
      <c r="F23" t="s">
        <v>1422</v>
      </c>
    </row>
    <row r="24" spans="1:6">
      <c r="A24" s="4" t="s">
        <v>1423</v>
      </c>
      <c r="B24" s="4" t="s">
        <v>1424</v>
      </c>
      <c r="E24" t="s">
        <v>15</v>
      </c>
      <c r="F24" t="s">
        <v>1425</v>
      </c>
    </row>
    <row r="25" spans="1:6">
      <c r="A25" s="4" t="s">
        <v>1426</v>
      </c>
      <c r="B25" s="4" t="s">
        <v>1427</v>
      </c>
      <c r="E25" t="s">
        <v>15</v>
      </c>
      <c r="F25" t="s">
        <v>1428</v>
      </c>
    </row>
    <row r="26" spans="1:6">
      <c r="A26" s="4" t="s">
        <v>1429</v>
      </c>
      <c r="B26" s="4" t="s">
        <v>1430</v>
      </c>
      <c r="E26" t="s">
        <v>15</v>
      </c>
      <c r="F26" t="s">
        <v>1431</v>
      </c>
    </row>
    <row r="27" spans="1:6">
      <c r="A27" s="4" t="s">
        <v>1432</v>
      </c>
      <c r="B27" s="4" t="s">
        <v>1433</v>
      </c>
      <c r="E27" t="s">
        <v>15</v>
      </c>
      <c r="F27" t="s">
        <v>1434</v>
      </c>
    </row>
    <row r="28" spans="1:6">
      <c r="A28" s="4" t="s">
        <v>1435</v>
      </c>
      <c r="B28" s="4" t="s">
        <v>1436</v>
      </c>
      <c r="E28" t="s">
        <v>15</v>
      </c>
      <c r="F28" t="s">
        <v>1437</v>
      </c>
    </row>
    <row r="29" spans="1:6">
      <c r="A29" s="4" t="s">
        <v>1438</v>
      </c>
      <c r="B29" s="4" t="s">
        <v>1439</v>
      </c>
      <c r="E29" t="s">
        <v>15</v>
      </c>
      <c r="F29" t="s">
        <v>1440</v>
      </c>
    </row>
    <row r="30" spans="1:6">
      <c r="A30" s="4" t="s">
        <v>1441</v>
      </c>
      <c r="B30" s="4" t="s">
        <v>1442</v>
      </c>
      <c r="E30" t="s">
        <v>15</v>
      </c>
      <c r="F30" t="s">
        <v>1443</v>
      </c>
    </row>
    <row r="31" spans="1:6">
      <c r="A31" s="4" t="s">
        <v>1444</v>
      </c>
      <c r="B31" s="4" t="s">
        <v>1445</v>
      </c>
      <c r="E31" t="s">
        <v>15</v>
      </c>
      <c r="F31" t="s">
        <v>1446</v>
      </c>
    </row>
    <row r="32" spans="1:6">
      <c r="A32" s="4" t="s">
        <v>1447</v>
      </c>
      <c r="B32" s="4" t="s">
        <v>1448</v>
      </c>
      <c r="E32" t="s">
        <v>15</v>
      </c>
      <c r="F32" t="s">
        <v>1449</v>
      </c>
    </row>
    <row r="33" spans="1:6" ht="27.6" customHeight="1">
      <c r="A33" s="4" t="s">
        <v>1450</v>
      </c>
      <c r="B33" s="4" t="s">
        <v>1451</v>
      </c>
      <c r="E33" t="s">
        <v>15</v>
      </c>
      <c r="F33" t="s">
        <v>1452</v>
      </c>
    </row>
    <row r="34" spans="1:6" ht="27.6" customHeight="1">
      <c r="A34" s="4" t="s">
        <v>1453</v>
      </c>
      <c r="B34" s="4" t="s">
        <v>1454</v>
      </c>
      <c r="E34" t="s">
        <v>15</v>
      </c>
      <c r="F34" t="s">
        <v>1455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heetViews>
  <sheetFormatPr defaultRowHeight="13.8"/>
  <cols>
    <col min="1" max="1" width="22" customWidth="1"/>
    <col min="2" max="2" width="44" customWidth="1"/>
    <col min="3" max="3" width="72" customWidth="1"/>
  </cols>
  <sheetData>
    <row r="1" spans="1:3" ht="24" customHeight="1">
      <c r="A1" s="2" t="s">
        <v>1456</v>
      </c>
      <c r="B1" s="2" t="s">
        <v>1457</v>
      </c>
      <c r="C1" s="2" t="s">
        <v>1458</v>
      </c>
    </row>
    <row r="2" spans="1:3" ht="27.6" customHeight="1">
      <c r="A2" s="4" t="s">
        <v>1459</v>
      </c>
      <c r="B2" s="4" t="s">
        <v>1460</v>
      </c>
      <c r="C2" s="4" t="s">
        <v>1461</v>
      </c>
    </row>
    <row r="3" spans="1:3">
      <c r="A3" s="4" t="s">
        <v>1462</v>
      </c>
      <c r="B3" s="4" t="s">
        <v>1463</v>
      </c>
      <c r="C3" s="4" t="s">
        <v>1464</v>
      </c>
    </row>
    <row r="4" spans="1:3">
      <c r="A4" s="4" t="s">
        <v>1465</v>
      </c>
      <c r="B4" s="4" t="s">
        <v>1466</v>
      </c>
      <c r="C4" s="4" t="s">
        <v>1467</v>
      </c>
    </row>
    <row r="5" spans="1:3">
      <c r="A5" s="4" t="s">
        <v>1468</v>
      </c>
      <c r="B5" s="4" t="s">
        <v>1469</v>
      </c>
      <c r="C5" s="4" t="s">
        <v>1470</v>
      </c>
    </row>
    <row r="6" spans="1:3">
      <c r="A6" s="4" t="s">
        <v>1471</v>
      </c>
      <c r="B6" s="4" t="s">
        <v>1472</v>
      </c>
      <c r="C6" s="4" t="s">
        <v>1473</v>
      </c>
    </row>
    <row r="7" spans="1:3">
      <c r="A7" s="4" t="s">
        <v>1474</v>
      </c>
      <c r="B7" s="4" t="s">
        <v>1475</v>
      </c>
      <c r="C7" s="4" t="s">
        <v>1476</v>
      </c>
    </row>
    <row r="8" spans="1:3">
      <c r="A8" s="4" t="s">
        <v>1477</v>
      </c>
      <c r="B8" s="4" t="s">
        <v>1478</v>
      </c>
      <c r="C8" s="4" t="s">
        <v>1479</v>
      </c>
    </row>
    <row r="9" spans="1:3" ht="27.6" customHeight="1">
      <c r="A9" s="4" t="s">
        <v>1480</v>
      </c>
      <c r="B9" s="4" t="s">
        <v>1481</v>
      </c>
      <c r="C9" s="4" t="s">
        <v>1482</v>
      </c>
    </row>
    <row r="10" spans="1:3" ht="27.6" customHeight="1">
      <c r="A10" s="4" t="s">
        <v>1483</v>
      </c>
      <c r="B10" s="4" t="s">
        <v>1484</v>
      </c>
      <c r="C10" s="4" t="s">
        <v>1485</v>
      </c>
    </row>
    <row r="11" spans="1:3">
      <c r="A11" s="4" t="s">
        <v>1486</v>
      </c>
      <c r="B11" s="4" t="s">
        <v>1487</v>
      </c>
      <c r="C11" s="4" t="s">
        <v>1488</v>
      </c>
    </row>
    <row r="12" spans="1:3" ht="27.6" customHeight="1">
      <c r="A12" s="4" t="s">
        <v>1489</v>
      </c>
      <c r="B12" s="4" t="s">
        <v>1490</v>
      </c>
      <c r="C12" s="4" t="s">
        <v>1491</v>
      </c>
    </row>
    <row r="13" spans="1:3">
      <c r="A13" s="4" t="s">
        <v>1409</v>
      </c>
      <c r="B13" s="4" t="s">
        <v>1492</v>
      </c>
      <c r="C13" s="4" t="s">
        <v>1493</v>
      </c>
    </row>
    <row r="14" spans="1:3">
      <c r="A14" s="4" t="s">
        <v>1494</v>
      </c>
      <c r="B14" s="4" t="s">
        <v>1495</v>
      </c>
      <c r="C14" s="4" t="s">
        <v>1496</v>
      </c>
    </row>
    <row r="15" spans="1:3">
      <c r="A15" s="4" t="s">
        <v>1497</v>
      </c>
      <c r="B15" s="4" t="s">
        <v>1498</v>
      </c>
      <c r="C15" s="4" t="s">
        <v>1499</v>
      </c>
    </row>
    <row r="16" spans="1:3">
      <c r="A16" s="4" t="s">
        <v>1500</v>
      </c>
      <c r="B16" s="4" t="s">
        <v>1501</v>
      </c>
      <c r="C16" s="4" t="s">
        <v>1502</v>
      </c>
    </row>
    <row r="17" spans="1:3" ht="27.6" customHeight="1">
      <c r="A17" s="4" t="s">
        <v>1503</v>
      </c>
      <c r="B17" s="4" t="s">
        <v>1504</v>
      </c>
      <c r="C17" s="4" t="s">
        <v>1505</v>
      </c>
    </row>
    <row r="18" spans="1:3" ht="27.6" customHeight="1">
      <c r="A18" s="4" t="s">
        <v>1506</v>
      </c>
      <c r="B18" s="4" t="s">
        <v>1507</v>
      </c>
      <c r="C18" s="4" t="s">
        <v>1508</v>
      </c>
    </row>
    <row r="19" spans="1:3" ht="27.6" customHeight="1">
      <c r="A19" s="4" t="s">
        <v>1509</v>
      </c>
      <c r="B19" s="4" t="s">
        <v>1510</v>
      </c>
      <c r="C19" s="4" t="s">
        <v>1511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1"/>
  <sheetViews>
    <sheetView workbookViewId="0"/>
  </sheetViews>
  <sheetFormatPr defaultRowHeight="13.8"/>
  <cols>
    <col min="1" max="1" width="14" customWidth="1"/>
    <col min="2" max="2" width="46" customWidth="1"/>
    <col min="3" max="3" width="18" customWidth="1"/>
  </cols>
  <sheetData>
    <row r="1" spans="1:3" ht="24" customHeight="1">
      <c r="A1" s="2" t="s">
        <v>1512</v>
      </c>
      <c r="B1" s="2" t="s">
        <v>1513</v>
      </c>
      <c r="C1" s="2" t="s">
        <v>1514</v>
      </c>
    </row>
    <row r="2" spans="1:3">
      <c r="A2" s="4" t="s">
        <v>1515</v>
      </c>
      <c r="B2" s="4" t="s">
        <v>1113</v>
      </c>
      <c r="C2" s="4" t="s">
        <v>1045</v>
      </c>
    </row>
    <row r="3" spans="1:3">
      <c r="A3" s="4" t="s">
        <v>1516</v>
      </c>
      <c r="B3" s="4" t="s">
        <v>1517</v>
      </c>
      <c r="C3" s="4" t="s">
        <v>1045</v>
      </c>
    </row>
    <row r="4" spans="1:3">
      <c r="A4" s="4" t="s">
        <v>1518</v>
      </c>
      <c r="B4" s="4" t="s">
        <v>1519</v>
      </c>
      <c r="C4" s="4" t="s">
        <v>1045</v>
      </c>
    </row>
    <row r="5" spans="1:3">
      <c r="A5" s="4" t="s">
        <v>1520</v>
      </c>
      <c r="B5" s="4" t="s">
        <v>1521</v>
      </c>
      <c r="C5" s="4" t="s">
        <v>1045</v>
      </c>
    </row>
    <row r="6" spans="1:3">
      <c r="A6" s="4" t="s">
        <v>1522</v>
      </c>
      <c r="B6" s="4" t="s">
        <v>1523</v>
      </c>
      <c r="C6" s="4" t="s">
        <v>1045</v>
      </c>
    </row>
    <row r="7" spans="1:3">
      <c r="A7" s="4" t="s">
        <v>1524</v>
      </c>
      <c r="B7" s="4" t="s">
        <v>1525</v>
      </c>
      <c r="C7" s="4" t="s">
        <v>1045</v>
      </c>
    </row>
    <row r="8" spans="1:3">
      <c r="A8" s="4" t="s">
        <v>1526</v>
      </c>
      <c r="B8" s="4" t="s">
        <v>1527</v>
      </c>
      <c r="C8" s="4" t="s">
        <v>1045</v>
      </c>
    </row>
    <row r="9" spans="1:3">
      <c r="A9" s="4" t="s">
        <v>1528</v>
      </c>
      <c r="B9" s="4" t="s">
        <v>1529</v>
      </c>
      <c r="C9" s="4" t="s">
        <v>1045</v>
      </c>
    </row>
    <row r="10" spans="1:3">
      <c r="A10" s="4" t="s">
        <v>1530</v>
      </c>
      <c r="B10" s="4" t="s">
        <v>1531</v>
      </c>
      <c r="C10" s="4" t="s">
        <v>1045</v>
      </c>
    </row>
    <row r="11" spans="1:3">
      <c r="A11" s="4" t="s">
        <v>1532</v>
      </c>
      <c r="B11" s="4" t="s">
        <v>1533</v>
      </c>
      <c r="C11" s="4" t="s">
        <v>1045</v>
      </c>
    </row>
    <row r="12" spans="1:3">
      <c r="A12" s="4" t="s">
        <v>1534</v>
      </c>
      <c r="B12" s="4" t="s">
        <v>1535</v>
      </c>
      <c r="C12" s="4" t="s">
        <v>1045</v>
      </c>
    </row>
    <row r="13" spans="1:3">
      <c r="A13" s="4" t="s">
        <v>1536</v>
      </c>
      <c r="B13" s="4" t="s">
        <v>1537</v>
      </c>
      <c r="C13" s="4" t="s">
        <v>1045</v>
      </c>
    </row>
    <row r="14" spans="1:3">
      <c r="A14" s="4" t="s">
        <v>1538</v>
      </c>
      <c r="B14" s="4" t="s">
        <v>1539</v>
      </c>
      <c r="C14" s="4" t="s">
        <v>1045</v>
      </c>
    </row>
    <row r="15" spans="1:3">
      <c r="A15" s="4" t="s">
        <v>1540</v>
      </c>
      <c r="B15" s="4" t="s">
        <v>1070</v>
      </c>
      <c r="C15" s="4" t="s">
        <v>1045</v>
      </c>
    </row>
    <row r="16" spans="1:3">
      <c r="A16" s="4" t="s">
        <v>1541</v>
      </c>
      <c r="B16" s="4" t="s">
        <v>1542</v>
      </c>
      <c r="C16" s="4" t="s">
        <v>1045</v>
      </c>
    </row>
    <row r="17" spans="1:3">
      <c r="A17" s="4" t="s">
        <v>1543</v>
      </c>
      <c r="B17" s="4" t="s">
        <v>1544</v>
      </c>
      <c r="C17" s="4" t="s">
        <v>1045</v>
      </c>
    </row>
    <row r="18" spans="1:3">
      <c r="A18" s="4" t="s">
        <v>1545</v>
      </c>
      <c r="B18" s="4" t="s">
        <v>1546</v>
      </c>
      <c r="C18" s="4" t="s">
        <v>1045</v>
      </c>
    </row>
    <row r="19" spans="1:3">
      <c r="A19" s="4" t="s">
        <v>1547</v>
      </c>
      <c r="B19" s="4" t="s">
        <v>1548</v>
      </c>
      <c r="C19" s="4" t="s">
        <v>1045</v>
      </c>
    </row>
    <row r="20" spans="1:3">
      <c r="A20" s="4" t="s">
        <v>1549</v>
      </c>
      <c r="B20" s="4" t="s">
        <v>1550</v>
      </c>
      <c r="C20" s="4" t="s">
        <v>1045</v>
      </c>
    </row>
    <row r="21" spans="1:3">
      <c r="A21" s="4" t="s">
        <v>1551</v>
      </c>
      <c r="B21" s="4" t="s">
        <v>1552</v>
      </c>
      <c r="C21" s="4" t="s">
        <v>1045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6"/>
  <sheetViews>
    <sheetView workbookViewId="0"/>
  </sheetViews>
  <sheetFormatPr defaultRowHeight="13.8"/>
  <cols>
    <col min="1" max="1" width="12" customWidth="1"/>
    <col min="2" max="2" width="15" customWidth="1"/>
    <col min="3" max="3" width="14" customWidth="1"/>
    <col min="4" max="4" width="15" customWidth="1"/>
    <col min="5" max="5" width="16" customWidth="1"/>
    <col min="6" max="8" width="12" customWidth="1"/>
    <col min="9" max="9" width="18" customWidth="1"/>
    <col min="10" max="10" width="16" customWidth="1"/>
  </cols>
  <sheetData>
    <row r="1" spans="1:10" ht="24" customHeight="1">
      <c r="A1" s="2" t="s">
        <v>2</v>
      </c>
      <c r="B1" s="2" t="s">
        <v>1</v>
      </c>
      <c r="C1" s="2" t="s">
        <v>1553</v>
      </c>
      <c r="D1" s="2" t="s">
        <v>1554</v>
      </c>
      <c r="E1" s="2" t="s">
        <v>1022</v>
      </c>
      <c r="F1" s="2" t="s">
        <v>1555</v>
      </c>
      <c r="G1" s="2" t="s">
        <v>1556</v>
      </c>
      <c r="H1" s="2" t="s">
        <v>1557</v>
      </c>
      <c r="I1" s="2" t="s">
        <v>1558</v>
      </c>
      <c r="J1" s="2" t="s">
        <v>1559</v>
      </c>
    </row>
    <row r="2" spans="1:10">
      <c r="A2" s="4" t="s">
        <v>13</v>
      </c>
      <c r="B2" s="4" t="s">
        <v>12</v>
      </c>
      <c r="C2" s="4">
        <v>4</v>
      </c>
      <c r="D2" s="4">
        <f>COUNTIF('Acceptance Criteria'!B:B,B2)</f>
        <v>4</v>
      </c>
      <c r="E2" s="4" t="str">
        <f>VLOOKUP(B2,'User Stories'!A:L,12,FALSE)</f>
        <v>Done</v>
      </c>
      <c r="F2" s="4">
        <f>COUNTIFS('Acceptance Criteria'!B:B,B2,'Acceptance Criteria'!F:F,"&lt;&gt;Not Tested")</f>
        <v>4</v>
      </c>
      <c r="G2" s="4">
        <f>COUNTIFS('Acceptance Criteria'!B:B,B2,'Acceptance Criteria'!F:F,"Pass")</f>
        <v>4</v>
      </c>
      <c r="H2" s="4">
        <f>COUNTIFS('Acceptance Criteria'!B:B,B2,'Acceptance Criteria'!F:F,"Fail")</f>
        <v>0</v>
      </c>
      <c r="I2" s="4" t="str">
        <f t="shared" ref="I2:I33" si="0">IF(C2=D2,"Linked","Mismatch")</f>
        <v>Linked</v>
      </c>
      <c r="J2" s="5">
        <f t="shared" ref="J2:J33" si="1">IF(C2=0,0,G2/C2)</f>
        <v>1</v>
      </c>
    </row>
    <row r="3" spans="1:10">
      <c r="A3" s="4" t="s">
        <v>13</v>
      </c>
      <c r="B3" s="4" t="s">
        <v>29</v>
      </c>
      <c r="C3" s="4">
        <v>4</v>
      </c>
      <c r="D3" s="4">
        <f>COUNTIF('Acceptance Criteria'!B:B,B3)</f>
        <v>4</v>
      </c>
      <c r="E3" s="4" t="str">
        <f>VLOOKUP(B3,'User Stories'!A:L,12,FALSE)</f>
        <v>Done</v>
      </c>
      <c r="F3" s="4">
        <f>COUNTIFS('Acceptance Criteria'!B:B,B3,'Acceptance Criteria'!F:F,"&lt;&gt;Not Tested")</f>
        <v>4</v>
      </c>
      <c r="G3" s="4">
        <f>COUNTIFS('Acceptance Criteria'!B:B,B3,'Acceptance Criteria'!F:F,"Pass")</f>
        <v>4</v>
      </c>
      <c r="H3" s="4">
        <f>COUNTIFS('Acceptance Criteria'!B:B,B3,'Acceptance Criteria'!F:F,"Fail")</f>
        <v>0</v>
      </c>
      <c r="I3" s="4" t="str">
        <f t="shared" si="0"/>
        <v>Linked</v>
      </c>
      <c r="J3" s="5">
        <f t="shared" si="1"/>
        <v>1</v>
      </c>
    </row>
    <row r="4" spans="1:10">
      <c r="A4" s="4" t="s">
        <v>13</v>
      </c>
      <c r="B4" s="4" t="s">
        <v>42</v>
      </c>
      <c r="C4" s="4">
        <v>4</v>
      </c>
      <c r="D4" s="4">
        <f>COUNTIF('Acceptance Criteria'!B:B,B4)</f>
        <v>4</v>
      </c>
      <c r="E4" s="4" t="str">
        <f>VLOOKUP(B4,'User Stories'!A:L,12,FALSE)</f>
        <v>Done</v>
      </c>
      <c r="F4" s="4">
        <f>COUNTIFS('Acceptance Criteria'!B:B,B4,'Acceptance Criteria'!F:F,"&lt;&gt;Not Tested")</f>
        <v>4</v>
      </c>
      <c r="G4" s="4">
        <f>COUNTIFS('Acceptance Criteria'!B:B,B4,'Acceptance Criteria'!F:F,"Pass")</f>
        <v>4</v>
      </c>
      <c r="H4" s="4">
        <f>COUNTIFS('Acceptance Criteria'!B:B,B4,'Acceptance Criteria'!F:F,"Fail")</f>
        <v>0</v>
      </c>
      <c r="I4" s="4" t="str">
        <f t="shared" si="0"/>
        <v>Linked</v>
      </c>
      <c r="J4" s="5">
        <f t="shared" si="1"/>
        <v>1</v>
      </c>
    </row>
    <row r="5" spans="1:10">
      <c r="A5" s="4" t="s">
        <v>13</v>
      </c>
      <c r="B5" s="4" t="s">
        <v>55</v>
      </c>
      <c r="C5" s="4">
        <v>4</v>
      </c>
      <c r="D5" s="4">
        <f>COUNTIF('Acceptance Criteria'!B:B,B5)</f>
        <v>4</v>
      </c>
      <c r="E5" s="4" t="str">
        <f>VLOOKUP(B5,'User Stories'!A:L,12,FALSE)</f>
        <v>Done</v>
      </c>
      <c r="F5" s="4">
        <f>COUNTIFS('Acceptance Criteria'!B:B,B5,'Acceptance Criteria'!F:F,"&lt;&gt;Not Tested")</f>
        <v>4</v>
      </c>
      <c r="G5" s="4">
        <f>COUNTIFS('Acceptance Criteria'!B:B,B5,'Acceptance Criteria'!F:F,"Pass")</f>
        <v>4</v>
      </c>
      <c r="H5" s="4">
        <f>COUNTIFS('Acceptance Criteria'!B:B,B5,'Acceptance Criteria'!F:F,"Fail")</f>
        <v>0</v>
      </c>
      <c r="I5" s="4" t="str">
        <f t="shared" si="0"/>
        <v>Linked</v>
      </c>
      <c r="J5" s="5">
        <f t="shared" si="1"/>
        <v>1</v>
      </c>
    </row>
    <row r="6" spans="1:10">
      <c r="A6" s="4" t="s">
        <v>13</v>
      </c>
      <c r="B6" s="4" t="s">
        <v>68</v>
      </c>
      <c r="C6" s="4">
        <v>4</v>
      </c>
      <c r="D6" s="4">
        <f>COUNTIF('Acceptance Criteria'!B:B,B6)</f>
        <v>4</v>
      </c>
      <c r="E6" s="4" t="str">
        <f>VLOOKUP(B6,'User Stories'!A:L,12,FALSE)</f>
        <v>Done</v>
      </c>
      <c r="F6" s="4">
        <f>COUNTIFS('Acceptance Criteria'!B:B,B6,'Acceptance Criteria'!F:F,"&lt;&gt;Not Tested")</f>
        <v>4</v>
      </c>
      <c r="G6" s="4">
        <f>COUNTIFS('Acceptance Criteria'!B:B,B6,'Acceptance Criteria'!F:F,"Pass")</f>
        <v>4</v>
      </c>
      <c r="H6" s="4">
        <f>COUNTIFS('Acceptance Criteria'!B:B,B6,'Acceptance Criteria'!F:F,"Fail")</f>
        <v>0</v>
      </c>
      <c r="I6" s="4" t="str">
        <f t="shared" si="0"/>
        <v>Linked</v>
      </c>
      <c r="J6" s="5">
        <f t="shared" si="1"/>
        <v>1</v>
      </c>
    </row>
    <row r="7" spans="1:10">
      <c r="A7" s="4" t="s">
        <v>13</v>
      </c>
      <c r="B7" s="4" t="s">
        <v>82</v>
      </c>
      <c r="C7" s="4">
        <v>4</v>
      </c>
      <c r="D7" s="4">
        <f>COUNTIF('Acceptance Criteria'!B:B,B7)</f>
        <v>4</v>
      </c>
      <c r="E7" s="4" t="str">
        <f>VLOOKUP(B7,'User Stories'!A:L,12,FALSE)</f>
        <v>Done</v>
      </c>
      <c r="F7" s="4">
        <f>COUNTIFS('Acceptance Criteria'!B:B,B7,'Acceptance Criteria'!F:F,"&lt;&gt;Not Tested")</f>
        <v>4</v>
      </c>
      <c r="G7" s="4">
        <f>COUNTIFS('Acceptance Criteria'!B:B,B7,'Acceptance Criteria'!F:F,"Pass")</f>
        <v>4</v>
      </c>
      <c r="H7" s="4">
        <f>COUNTIFS('Acceptance Criteria'!B:B,B7,'Acceptance Criteria'!F:F,"Fail")</f>
        <v>0</v>
      </c>
      <c r="I7" s="4" t="str">
        <f t="shared" si="0"/>
        <v>Linked</v>
      </c>
      <c r="J7" s="5">
        <f t="shared" si="1"/>
        <v>1</v>
      </c>
    </row>
    <row r="8" spans="1:10">
      <c r="A8" s="4" t="s">
        <v>13</v>
      </c>
      <c r="B8" s="4" t="s">
        <v>95</v>
      </c>
      <c r="C8" s="4">
        <v>4</v>
      </c>
      <c r="D8" s="4">
        <f>COUNTIF('Acceptance Criteria'!B:B,B8)</f>
        <v>4</v>
      </c>
      <c r="E8" s="4" t="str">
        <f>VLOOKUP(B8,'User Stories'!A:L,12,FALSE)</f>
        <v>Done</v>
      </c>
      <c r="F8" s="4">
        <f>COUNTIFS('Acceptance Criteria'!B:B,B8,'Acceptance Criteria'!F:F,"&lt;&gt;Not Tested")</f>
        <v>4</v>
      </c>
      <c r="G8" s="4">
        <f>COUNTIFS('Acceptance Criteria'!B:B,B8,'Acceptance Criteria'!F:F,"Pass")</f>
        <v>4</v>
      </c>
      <c r="H8" s="4">
        <f>COUNTIFS('Acceptance Criteria'!B:B,B8,'Acceptance Criteria'!F:F,"Fail")</f>
        <v>0</v>
      </c>
      <c r="I8" s="4" t="str">
        <f t="shared" si="0"/>
        <v>Linked</v>
      </c>
      <c r="J8" s="5">
        <f t="shared" si="1"/>
        <v>1</v>
      </c>
    </row>
    <row r="9" spans="1:10">
      <c r="A9" s="4" t="s">
        <v>109</v>
      </c>
      <c r="B9" s="4" t="s">
        <v>108</v>
      </c>
      <c r="C9" s="4">
        <v>4</v>
      </c>
      <c r="D9" s="4">
        <f>COUNTIF('Acceptance Criteria'!B:B,B9)</f>
        <v>4</v>
      </c>
      <c r="E9" s="4" t="str">
        <f>VLOOKUP(B9,'User Stories'!A:L,12,FALSE)</f>
        <v>Done</v>
      </c>
      <c r="F9" s="4">
        <f>COUNTIFS('Acceptance Criteria'!B:B,B9,'Acceptance Criteria'!F:F,"&lt;&gt;Not Tested")</f>
        <v>4</v>
      </c>
      <c r="G9" s="4">
        <f>COUNTIFS('Acceptance Criteria'!B:B,B9,'Acceptance Criteria'!F:F,"Pass")</f>
        <v>4</v>
      </c>
      <c r="H9" s="4">
        <f>COUNTIFS('Acceptance Criteria'!B:B,B9,'Acceptance Criteria'!F:F,"Fail")</f>
        <v>0</v>
      </c>
      <c r="I9" s="4" t="str">
        <f t="shared" si="0"/>
        <v>Linked</v>
      </c>
      <c r="J9" s="5">
        <f t="shared" si="1"/>
        <v>1</v>
      </c>
    </row>
    <row r="10" spans="1:10">
      <c r="A10" s="4" t="s">
        <v>109</v>
      </c>
      <c r="B10" s="4" t="s">
        <v>122</v>
      </c>
      <c r="C10" s="4">
        <v>4</v>
      </c>
      <c r="D10" s="4">
        <f>COUNTIF('Acceptance Criteria'!B:B,B10)</f>
        <v>4</v>
      </c>
      <c r="E10" s="4" t="str">
        <f>VLOOKUP(B10,'User Stories'!A:L,12,FALSE)</f>
        <v>Done</v>
      </c>
      <c r="F10" s="4">
        <f>COUNTIFS('Acceptance Criteria'!B:B,B10,'Acceptance Criteria'!F:F,"&lt;&gt;Not Tested")</f>
        <v>4</v>
      </c>
      <c r="G10" s="4">
        <f>COUNTIFS('Acceptance Criteria'!B:B,B10,'Acceptance Criteria'!F:F,"Pass")</f>
        <v>4</v>
      </c>
      <c r="H10" s="4">
        <f>COUNTIFS('Acceptance Criteria'!B:B,B10,'Acceptance Criteria'!F:F,"Fail")</f>
        <v>0</v>
      </c>
      <c r="I10" s="4" t="str">
        <f t="shared" si="0"/>
        <v>Linked</v>
      </c>
      <c r="J10" s="5">
        <f t="shared" si="1"/>
        <v>1</v>
      </c>
    </row>
    <row r="11" spans="1:10">
      <c r="A11" s="4" t="s">
        <v>109</v>
      </c>
      <c r="B11" s="4" t="s">
        <v>136</v>
      </c>
      <c r="C11" s="4">
        <v>4</v>
      </c>
      <c r="D11" s="4">
        <f>COUNTIF('Acceptance Criteria'!B:B,B11)</f>
        <v>4</v>
      </c>
      <c r="E11" s="4" t="str">
        <f>VLOOKUP(B11,'User Stories'!A:L,12,FALSE)</f>
        <v>Done</v>
      </c>
      <c r="F11" s="4">
        <f>COUNTIFS('Acceptance Criteria'!B:B,B11,'Acceptance Criteria'!F:F,"&lt;&gt;Not Tested")</f>
        <v>4</v>
      </c>
      <c r="G11" s="4">
        <f>COUNTIFS('Acceptance Criteria'!B:B,B11,'Acceptance Criteria'!F:F,"Pass")</f>
        <v>4</v>
      </c>
      <c r="H11" s="4">
        <f>COUNTIFS('Acceptance Criteria'!B:B,B11,'Acceptance Criteria'!F:F,"Fail")</f>
        <v>0</v>
      </c>
      <c r="I11" s="4" t="str">
        <f t="shared" si="0"/>
        <v>Linked</v>
      </c>
      <c r="J11" s="5">
        <f t="shared" si="1"/>
        <v>1</v>
      </c>
    </row>
    <row r="12" spans="1:10">
      <c r="A12" s="4" t="s">
        <v>109</v>
      </c>
      <c r="B12" s="4" t="s">
        <v>149</v>
      </c>
      <c r="C12" s="4">
        <v>4</v>
      </c>
      <c r="D12" s="4">
        <f>COUNTIF('Acceptance Criteria'!B:B,B12)</f>
        <v>4</v>
      </c>
      <c r="E12" s="4" t="str">
        <f>VLOOKUP(B12,'User Stories'!A:L,12,FALSE)</f>
        <v>Done</v>
      </c>
      <c r="F12" s="4">
        <f>COUNTIFS('Acceptance Criteria'!B:B,B12,'Acceptance Criteria'!F:F,"&lt;&gt;Not Tested")</f>
        <v>4</v>
      </c>
      <c r="G12" s="4">
        <f>COUNTIFS('Acceptance Criteria'!B:B,B12,'Acceptance Criteria'!F:F,"Pass")</f>
        <v>4</v>
      </c>
      <c r="H12" s="4">
        <f>COUNTIFS('Acceptance Criteria'!B:B,B12,'Acceptance Criteria'!F:F,"Fail")</f>
        <v>0</v>
      </c>
      <c r="I12" s="4" t="str">
        <f t="shared" si="0"/>
        <v>Linked</v>
      </c>
      <c r="J12" s="5">
        <f t="shared" si="1"/>
        <v>1</v>
      </c>
    </row>
    <row r="13" spans="1:10">
      <c r="A13" s="4" t="s">
        <v>109</v>
      </c>
      <c r="B13" s="4" t="s">
        <v>162</v>
      </c>
      <c r="C13" s="4">
        <v>4</v>
      </c>
      <c r="D13" s="4">
        <f>COUNTIF('Acceptance Criteria'!B:B,B13)</f>
        <v>4</v>
      </c>
      <c r="E13" s="4" t="str">
        <f>VLOOKUP(B13,'User Stories'!A:L,12,FALSE)</f>
        <v>Done</v>
      </c>
      <c r="F13" s="4">
        <f>COUNTIFS('Acceptance Criteria'!B:B,B13,'Acceptance Criteria'!F:F,"&lt;&gt;Not Tested")</f>
        <v>4</v>
      </c>
      <c r="G13" s="4">
        <f>COUNTIFS('Acceptance Criteria'!B:B,B13,'Acceptance Criteria'!F:F,"Pass")</f>
        <v>4</v>
      </c>
      <c r="H13" s="4">
        <f>COUNTIFS('Acceptance Criteria'!B:B,B13,'Acceptance Criteria'!F:F,"Fail")</f>
        <v>0</v>
      </c>
      <c r="I13" s="4" t="str">
        <f t="shared" si="0"/>
        <v>Linked</v>
      </c>
      <c r="J13" s="5">
        <f t="shared" si="1"/>
        <v>1</v>
      </c>
    </row>
    <row r="14" spans="1:10">
      <c r="A14" s="4" t="s">
        <v>109</v>
      </c>
      <c r="B14" s="4" t="s">
        <v>175</v>
      </c>
      <c r="C14" s="4">
        <v>4</v>
      </c>
      <c r="D14" s="4">
        <f>COUNTIF('Acceptance Criteria'!B:B,B14)</f>
        <v>4</v>
      </c>
      <c r="E14" s="4" t="str">
        <f>VLOOKUP(B14,'User Stories'!A:L,12,FALSE)</f>
        <v>Done</v>
      </c>
      <c r="F14" s="4">
        <f>COUNTIFS('Acceptance Criteria'!B:B,B14,'Acceptance Criteria'!F:F,"&lt;&gt;Not Tested")</f>
        <v>4</v>
      </c>
      <c r="G14" s="4">
        <f>COUNTIFS('Acceptance Criteria'!B:B,B14,'Acceptance Criteria'!F:F,"Pass")</f>
        <v>4</v>
      </c>
      <c r="H14" s="4">
        <f>COUNTIFS('Acceptance Criteria'!B:B,B14,'Acceptance Criteria'!F:F,"Fail")</f>
        <v>0</v>
      </c>
      <c r="I14" s="4" t="str">
        <f t="shared" si="0"/>
        <v>Linked</v>
      </c>
      <c r="J14" s="5">
        <f t="shared" si="1"/>
        <v>1</v>
      </c>
    </row>
    <row r="15" spans="1:10">
      <c r="A15" s="4" t="s">
        <v>191</v>
      </c>
      <c r="B15" s="4" t="s">
        <v>190</v>
      </c>
      <c r="C15" s="4">
        <v>4</v>
      </c>
      <c r="D15" s="4">
        <f>COUNTIF('Acceptance Criteria'!B:B,B15)</f>
        <v>4</v>
      </c>
      <c r="E15" s="4" t="str">
        <f>VLOOKUP(B15,'User Stories'!A:L,12,FALSE)</f>
        <v>Done</v>
      </c>
      <c r="F15" s="4">
        <f>COUNTIFS('Acceptance Criteria'!B:B,B15,'Acceptance Criteria'!F:F,"&lt;&gt;Not Tested")</f>
        <v>4</v>
      </c>
      <c r="G15" s="4">
        <f>COUNTIFS('Acceptance Criteria'!B:B,B15,'Acceptance Criteria'!F:F,"Pass")</f>
        <v>4</v>
      </c>
      <c r="H15" s="4">
        <f>COUNTIFS('Acceptance Criteria'!B:B,B15,'Acceptance Criteria'!F:F,"Fail")</f>
        <v>0</v>
      </c>
      <c r="I15" s="4" t="str">
        <f t="shared" si="0"/>
        <v>Linked</v>
      </c>
      <c r="J15" s="5">
        <f t="shared" si="1"/>
        <v>1</v>
      </c>
    </row>
    <row r="16" spans="1:10">
      <c r="A16" s="4" t="s">
        <v>191</v>
      </c>
      <c r="B16" s="4" t="s">
        <v>204</v>
      </c>
      <c r="C16" s="4">
        <v>4</v>
      </c>
      <c r="D16" s="4">
        <f>COUNTIF('Acceptance Criteria'!B:B,B16)</f>
        <v>4</v>
      </c>
      <c r="E16" s="4" t="str">
        <f>VLOOKUP(B16,'User Stories'!A:L,12,FALSE)</f>
        <v>Done</v>
      </c>
      <c r="F16" s="4">
        <f>COUNTIFS('Acceptance Criteria'!B:B,B16,'Acceptance Criteria'!F:F,"&lt;&gt;Not Tested")</f>
        <v>4</v>
      </c>
      <c r="G16" s="4">
        <f>COUNTIFS('Acceptance Criteria'!B:B,B16,'Acceptance Criteria'!F:F,"Pass")</f>
        <v>4</v>
      </c>
      <c r="H16" s="4">
        <f>COUNTIFS('Acceptance Criteria'!B:B,B16,'Acceptance Criteria'!F:F,"Fail")</f>
        <v>0</v>
      </c>
      <c r="I16" s="4" t="str">
        <f t="shared" si="0"/>
        <v>Linked</v>
      </c>
      <c r="J16" s="5">
        <f t="shared" si="1"/>
        <v>1</v>
      </c>
    </row>
    <row r="17" spans="1:10">
      <c r="A17" s="4" t="s">
        <v>191</v>
      </c>
      <c r="B17" s="4" t="s">
        <v>217</v>
      </c>
      <c r="C17" s="4">
        <v>4</v>
      </c>
      <c r="D17" s="4">
        <f>COUNTIF('Acceptance Criteria'!B:B,B17)</f>
        <v>4</v>
      </c>
      <c r="E17" s="4" t="str">
        <f>VLOOKUP(B17,'User Stories'!A:L,12,FALSE)</f>
        <v>Done</v>
      </c>
      <c r="F17" s="4">
        <f>COUNTIFS('Acceptance Criteria'!B:B,B17,'Acceptance Criteria'!F:F,"&lt;&gt;Not Tested")</f>
        <v>4</v>
      </c>
      <c r="G17" s="4">
        <f>COUNTIFS('Acceptance Criteria'!B:B,B17,'Acceptance Criteria'!F:F,"Pass")</f>
        <v>4</v>
      </c>
      <c r="H17" s="4">
        <f>COUNTIFS('Acceptance Criteria'!B:B,B17,'Acceptance Criteria'!F:F,"Fail")</f>
        <v>0</v>
      </c>
      <c r="I17" s="4" t="str">
        <f t="shared" si="0"/>
        <v>Linked</v>
      </c>
      <c r="J17" s="5">
        <f t="shared" si="1"/>
        <v>1</v>
      </c>
    </row>
    <row r="18" spans="1:10">
      <c r="A18" s="4" t="s">
        <v>191</v>
      </c>
      <c r="B18" s="4" t="s">
        <v>230</v>
      </c>
      <c r="C18" s="4">
        <v>4</v>
      </c>
      <c r="D18" s="4">
        <f>COUNTIF('Acceptance Criteria'!B:B,B18)</f>
        <v>4</v>
      </c>
      <c r="E18" s="4" t="str">
        <f>VLOOKUP(B18,'User Stories'!A:L,12,FALSE)</f>
        <v>Done</v>
      </c>
      <c r="F18" s="4">
        <f>COUNTIFS('Acceptance Criteria'!B:B,B18,'Acceptance Criteria'!F:F,"&lt;&gt;Not Tested")</f>
        <v>4</v>
      </c>
      <c r="G18" s="4">
        <f>COUNTIFS('Acceptance Criteria'!B:B,B18,'Acceptance Criteria'!F:F,"Pass")</f>
        <v>4</v>
      </c>
      <c r="H18" s="4">
        <f>COUNTIFS('Acceptance Criteria'!B:B,B18,'Acceptance Criteria'!F:F,"Fail")</f>
        <v>0</v>
      </c>
      <c r="I18" s="4" t="str">
        <f t="shared" si="0"/>
        <v>Linked</v>
      </c>
      <c r="J18" s="5">
        <f t="shared" si="1"/>
        <v>1</v>
      </c>
    </row>
    <row r="19" spans="1:10">
      <c r="A19" s="4" t="s">
        <v>191</v>
      </c>
      <c r="B19" s="4" t="s">
        <v>243</v>
      </c>
      <c r="C19" s="4">
        <v>4</v>
      </c>
      <c r="D19" s="4">
        <f>COUNTIF('Acceptance Criteria'!B:B,B19)</f>
        <v>4</v>
      </c>
      <c r="E19" s="4" t="str">
        <f>VLOOKUP(B19,'User Stories'!A:L,12,FALSE)</f>
        <v>Done</v>
      </c>
      <c r="F19" s="4">
        <f>COUNTIFS('Acceptance Criteria'!B:B,B19,'Acceptance Criteria'!F:F,"&lt;&gt;Not Tested")</f>
        <v>4</v>
      </c>
      <c r="G19" s="4">
        <f>COUNTIFS('Acceptance Criteria'!B:B,B19,'Acceptance Criteria'!F:F,"Pass")</f>
        <v>4</v>
      </c>
      <c r="H19" s="4">
        <f>COUNTIFS('Acceptance Criteria'!B:B,B19,'Acceptance Criteria'!F:F,"Fail")</f>
        <v>0</v>
      </c>
      <c r="I19" s="4" t="str">
        <f t="shared" si="0"/>
        <v>Linked</v>
      </c>
      <c r="J19" s="5">
        <f t="shared" si="1"/>
        <v>1</v>
      </c>
    </row>
    <row r="20" spans="1:10">
      <c r="A20" s="4" t="s">
        <v>191</v>
      </c>
      <c r="B20" s="4" t="s">
        <v>256</v>
      </c>
      <c r="C20" s="4">
        <v>4</v>
      </c>
      <c r="D20" s="4">
        <f>COUNTIF('Acceptance Criteria'!B:B,B20)</f>
        <v>4</v>
      </c>
      <c r="E20" s="4" t="str">
        <f>VLOOKUP(B20,'User Stories'!A:L,12,FALSE)</f>
        <v>Done</v>
      </c>
      <c r="F20" s="4">
        <f>COUNTIFS('Acceptance Criteria'!B:B,B20,'Acceptance Criteria'!F:F,"&lt;&gt;Not Tested")</f>
        <v>4</v>
      </c>
      <c r="G20" s="4">
        <f>COUNTIFS('Acceptance Criteria'!B:B,B20,'Acceptance Criteria'!F:F,"Pass")</f>
        <v>4</v>
      </c>
      <c r="H20" s="4">
        <f>COUNTIFS('Acceptance Criteria'!B:B,B20,'Acceptance Criteria'!F:F,"Fail")</f>
        <v>0</v>
      </c>
      <c r="I20" s="4" t="str">
        <f t="shared" si="0"/>
        <v>Linked</v>
      </c>
      <c r="J20" s="5">
        <f t="shared" si="1"/>
        <v>1</v>
      </c>
    </row>
    <row r="21" spans="1:10">
      <c r="A21" s="4" t="s">
        <v>191</v>
      </c>
      <c r="B21" s="4" t="s">
        <v>269</v>
      </c>
      <c r="C21" s="4">
        <v>4</v>
      </c>
      <c r="D21" s="4">
        <f>COUNTIF('Acceptance Criteria'!B:B,B21)</f>
        <v>4</v>
      </c>
      <c r="E21" s="4" t="str">
        <f>VLOOKUP(B21,'User Stories'!A:L,12,FALSE)</f>
        <v>Done</v>
      </c>
      <c r="F21" s="4">
        <f>COUNTIFS('Acceptance Criteria'!B:B,B21,'Acceptance Criteria'!F:F,"&lt;&gt;Not Tested")</f>
        <v>4</v>
      </c>
      <c r="G21" s="4">
        <f>COUNTIFS('Acceptance Criteria'!B:B,B21,'Acceptance Criteria'!F:F,"Pass")</f>
        <v>4</v>
      </c>
      <c r="H21" s="4">
        <f>COUNTIFS('Acceptance Criteria'!B:B,B21,'Acceptance Criteria'!F:F,"Fail")</f>
        <v>0</v>
      </c>
      <c r="I21" s="4" t="str">
        <f t="shared" si="0"/>
        <v>Linked</v>
      </c>
      <c r="J21" s="5">
        <f t="shared" si="1"/>
        <v>1</v>
      </c>
    </row>
    <row r="22" spans="1:10">
      <c r="A22" s="4" t="s">
        <v>191</v>
      </c>
      <c r="B22" s="4" t="s">
        <v>284</v>
      </c>
      <c r="C22" s="4">
        <v>4</v>
      </c>
      <c r="D22" s="4">
        <f>COUNTIF('Acceptance Criteria'!B:B,B22)</f>
        <v>4</v>
      </c>
      <c r="E22" s="4" t="str">
        <f>VLOOKUP(B22,'User Stories'!A:L,12,FALSE)</f>
        <v>Done</v>
      </c>
      <c r="F22" s="4">
        <f>COUNTIFS('Acceptance Criteria'!B:B,B22,'Acceptance Criteria'!F:F,"&lt;&gt;Not Tested")</f>
        <v>4</v>
      </c>
      <c r="G22" s="4">
        <f>COUNTIFS('Acceptance Criteria'!B:B,B22,'Acceptance Criteria'!F:F,"Pass")</f>
        <v>4</v>
      </c>
      <c r="H22" s="4">
        <f>COUNTIFS('Acceptance Criteria'!B:B,B22,'Acceptance Criteria'!F:F,"Fail")</f>
        <v>0</v>
      </c>
      <c r="I22" s="4" t="str">
        <f t="shared" si="0"/>
        <v>Linked</v>
      </c>
      <c r="J22" s="5">
        <f t="shared" si="1"/>
        <v>1</v>
      </c>
    </row>
    <row r="23" spans="1:10">
      <c r="A23" s="4" t="s">
        <v>299</v>
      </c>
      <c r="B23" s="4" t="s">
        <v>298</v>
      </c>
      <c r="C23" s="4">
        <v>4</v>
      </c>
      <c r="D23" s="4">
        <f>COUNTIF('Acceptance Criteria'!B:B,B23)</f>
        <v>4</v>
      </c>
      <c r="E23" s="4" t="str">
        <f>VLOOKUP(B23,'User Stories'!A:L,12,FALSE)</f>
        <v>Done</v>
      </c>
      <c r="F23" s="4">
        <f>COUNTIFS('Acceptance Criteria'!B:B,B23,'Acceptance Criteria'!F:F,"&lt;&gt;Not Tested")</f>
        <v>4</v>
      </c>
      <c r="G23" s="4">
        <f>COUNTIFS('Acceptance Criteria'!B:B,B23,'Acceptance Criteria'!F:F,"Pass")</f>
        <v>4</v>
      </c>
      <c r="H23" s="4">
        <f>COUNTIFS('Acceptance Criteria'!B:B,B23,'Acceptance Criteria'!F:F,"Fail")</f>
        <v>0</v>
      </c>
      <c r="I23" s="4" t="str">
        <f t="shared" si="0"/>
        <v>Linked</v>
      </c>
      <c r="J23" s="5">
        <f t="shared" si="1"/>
        <v>1</v>
      </c>
    </row>
    <row r="24" spans="1:10">
      <c r="A24" s="4" t="s">
        <v>299</v>
      </c>
      <c r="B24" s="4" t="s">
        <v>312</v>
      </c>
      <c r="C24" s="4">
        <v>4</v>
      </c>
      <c r="D24" s="4">
        <f>COUNTIF('Acceptance Criteria'!B:B,B24)</f>
        <v>4</v>
      </c>
      <c r="E24" s="4" t="str">
        <f>VLOOKUP(B24,'User Stories'!A:L,12,FALSE)</f>
        <v>Done</v>
      </c>
      <c r="F24" s="4">
        <f>COUNTIFS('Acceptance Criteria'!B:B,B24,'Acceptance Criteria'!F:F,"&lt;&gt;Not Tested")</f>
        <v>4</v>
      </c>
      <c r="G24" s="4">
        <f>COUNTIFS('Acceptance Criteria'!B:B,B24,'Acceptance Criteria'!F:F,"Pass")</f>
        <v>4</v>
      </c>
      <c r="H24" s="4">
        <f>COUNTIFS('Acceptance Criteria'!B:B,B24,'Acceptance Criteria'!F:F,"Fail")</f>
        <v>0</v>
      </c>
      <c r="I24" s="4" t="str">
        <f t="shared" si="0"/>
        <v>Linked</v>
      </c>
      <c r="J24" s="5">
        <f t="shared" si="1"/>
        <v>1</v>
      </c>
    </row>
    <row r="25" spans="1:10">
      <c r="A25" s="4" t="s">
        <v>299</v>
      </c>
      <c r="B25" s="4" t="s">
        <v>325</v>
      </c>
      <c r="C25" s="4">
        <v>4</v>
      </c>
      <c r="D25" s="4">
        <f>COUNTIF('Acceptance Criteria'!B:B,B25)</f>
        <v>4</v>
      </c>
      <c r="E25" s="4" t="str">
        <f>VLOOKUP(B25,'User Stories'!A:L,12,FALSE)</f>
        <v>Done</v>
      </c>
      <c r="F25" s="4">
        <f>COUNTIFS('Acceptance Criteria'!B:B,B25,'Acceptance Criteria'!F:F,"&lt;&gt;Not Tested")</f>
        <v>4</v>
      </c>
      <c r="G25" s="4">
        <f>COUNTIFS('Acceptance Criteria'!B:B,B25,'Acceptance Criteria'!F:F,"Pass")</f>
        <v>4</v>
      </c>
      <c r="H25" s="4">
        <f>COUNTIFS('Acceptance Criteria'!B:B,B25,'Acceptance Criteria'!F:F,"Fail")</f>
        <v>0</v>
      </c>
      <c r="I25" s="4" t="str">
        <f t="shared" si="0"/>
        <v>Linked</v>
      </c>
      <c r="J25" s="5">
        <f t="shared" si="1"/>
        <v>1</v>
      </c>
    </row>
    <row r="26" spans="1:10">
      <c r="A26" s="4" t="s">
        <v>299</v>
      </c>
      <c r="B26" s="4" t="s">
        <v>338</v>
      </c>
      <c r="C26" s="4">
        <v>4</v>
      </c>
      <c r="D26" s="4">
        <f>COUNTIF('Acceptance Criteria'!B:B,B26)</f>
        <v>4</v>
      </c>
      <c r="E26" s="4" t="str">
        <f>VLOOKUP(B26,'User Stories'!A:L,12,FALSE)</f>
        <v>Done</v>
      </c>
      <c r="F26" s="4">
        <f>COUNTIFS('Acceptance Criteria'!B:B,B26,'Acceptance Criteria'!F:F,"&lt;&gt;Not Tested")</f>
        <v>4</v>
      </c>
      <c r="G26" s="4">
        <f>COUNTIFS('Acceptance Criteria'!B:B,B26,'Acceptance Criteria'!F:F,"Pass")</f>
        <v>4</v>
      </c>
      <c r="H26" s="4">
        <f>COUNTIFS('Acceptance Criteria'!B:B,B26,'Acceptance Criteria'!F:F,"Fail")</f>
        <v>0</v>
      </c>
      <c r="I26" s="4" t="str">
        <f t="shared" si="0"/>
        <v>Linked</v>
      </c>
      <c r="J26" s="5">
        <f t="shared" si="1"/>
        <v>1</v>
      </c>
    </row>
    <row r="27" spans="1:10">
      <c r="A27" s="4" t="s">
        <v>299</v>
      </c>
      <c r="B27" s="4" t="s">
        <v>351</v>
      </c>
      <c r="C27" s="4">
        <v>4</v>
      </c>
      <c r="D27" s="4">
        <f>COUNTIF('Acceptance Criteria'!B:B,B27)</f>
        <v>4</v>
      </c>
      <c r="E27" s="4" t="str">
        <f>VLOOKUP(B27,'User Stories'!A:L,12,FALSE)</f>
        <v>Done</v>
      </c>
      <c r="F27" s="4">
        <f>COUNTIFS('Acceptance Criteria'!B:B,B27,'Acceptance Criteria'!F:F,"&lt;&gt;Not Tested")</f>
        <v>4</v>
      </c>
      <c r="G27" s="4">
        <f>COUNTIFS('Acceptance Criteria'!B:B,B27,'Acceptance Criteria'!F:F,"Pass")</f>
        <v>4</v>
      </c>
      <c r="H27" s="4">
        <f>COUNTIFS('Acceptance Criteria'!B:B,B27,'Acceptance Criteria'!F:F,"Fail")</f>
        <v>0</v>
      </c>
      <c r="I27" s="4" t="str">
        <f t="shared" si="0"/>
        <v>Linked</v>
      </c>
      <c r="J27" s="5">
        <f t="shared" si="1"/>
        <v>1</v>
      </c>
    </row>
    <row r="28" spans="1:10">
      <c r="A28" s="4" t="s">
        <v>299</v>
      </c>
      <c r="B28" s="4" t="s">
        <v>365</v>
      </c>
      <c r="C28" s="4">
        <v>4</v>
      </c>
      <c r="D28" s="4">
        <f>COUNTIF('Acceptance Criteria'!B:B,B28)</f>
        <v>4</v>
      </c>
      <c r="E28" s="4" t="str">
        <f>VLOOKUP(B28,'User Stories'!A:L,12,FALSE)</f>
        <v>Done</v>
      </c>
      <c r="F28" s="4">
        <f>COUNTIFS('Acceptance Criteria'!B:B,B28,'Acceptance Criteria'!F:F,"&lt;&gt;Not Tested")</f>
        <v>4</v>
      </c>
      <c r="G28" s="4">
        <f>COUNTIFS('Acceptance Criteria'!B:B,B28,'Acceptance Criteria'!F:F,"Pass")</f>
        <v>4</v>
      </c>
      <c r="H28" s="4">
        <f>COUNTIFS('Acceptance Criteria'!B:B,B28,'Acceptance Criteria'!F:F,"Fail")</f>
        <v>0</v>
      </c>
      <c r="I28" s="4" t="str">
        <f t="shared" si="0"/>
        <v>Linked</v>
      </c>
      <c r="J28" s="5">
        <f t="shared" si="1"/>
        <v>1</v>
      </c>
    </row>
    <row r="29" spans="1:10">
      <c r="A29" s="4" t="s">
        <v>380</v>
      </c>
      <c r="B29" s="4" t="s">
        <v>379</v>
      </c>
      <c r="C29" s="4">
        <v>4</v>
      </c>
      <c r="D29" s="4">
        <f>COUNTIF('Acceptance Criteria'!B:B,B29)</f>
        <v>4</v>
      </c>
      <c r="E29" s="4" t="str">
        <f>VLOOKUP(B29,'User Stories'!A:L,12,FALSE)</f>
        <v>Done</v>
      </c>
      <c r="F29" s="4">
        <f>COUNTIFS('Acceptance Criteria'!B:B,B29,'Acceptance Criteria'!F:F,"&lt;&gt;Not Tested")</f>
        <v>4</v>
      </c>
      <c r="G29" s="4">
        <f>COUNTIFS('Acceptance Criteria'!B:B,B29,'Acceptance Criteria'!F:F,"Pass")</f>
        <v>4</v>
      </c>
      <c r="H29" s="4">
        <f>COUNTIFS('Acceptance Criteria'!B:B,B29,'Acceptance Criteria'!F:F,"Fail")</f>
        <v>0</v>
      </c>
      <c r="I29" s="4" t="str">
        <f t="shared" si="0"/>
        <v>Linked</v>
      </c>
      <c r="J29" s="5">
        <f t="shared" si="1"/>
        <v>1</v>
      </c>
    </row>
    <row r="30" spans="1:10">
      <c r="A30" s="4" t="s">
        <v>380</v>
      </c>
      <c r="B30" s="4" t="s">
        <v>392</v>
      </c>
      <c r="C30" s="4">
        <v>4</v>
      </c>
      <c r="D30" s="4">
        <f>COUNTIF('Acceptance Criteria'!B:B,B30)</f>
        <v>4</v>
      </c>
      <c r="E30" s="4" t="str">
        <f>VLOOKUP(B30,'User Stories'!A:L,12,FALSE)</f>
        <v>Done</v>
      </c>
      <c r="F30" s="4">
        <f>COUNTIFS('Acceptance Criteria'!B:B,B30,'Acceptance Criteria'!F:F,"&lt;&gt;Not Tested")</f>
        <v>4</v>
      </c>
      <c r="G30" s="4">
        <f>COUNTIFS('Acceptance Criteria'!B:B,B30,'Acceptance Criteria'!F:F,"Pass")</f>
        <v>4</v>
      </c>
      <c r="H30" s="4">
        <f>COUNTIFS('Acceptance Criteria'!B:B,B30,'Acceptance Criteria'!F:F,"Fail")</f>
        <v>0</v>
      </c>
      <c r="I30" s="4" t="str">
        <f t="shared" si="0"/>
        <v>Linked</v>
      </c>
      <c r="J30" s="5">
        <f t="shared" si="1"/>
        <v>1</v>
      </c>
    </row>
    <row r="31" spans="1:10">
      <c r="A31" s="4" t="s">
        <v>380</v>
      </c>
      <c r="B31" s="4" t="s">
        <v>405</v>
      </c>
      <c r="C31" s="4">
        <v>4</v>
      </c>
      <c r="D31" s="4">
        <f>COUNTIF('Acceptance Criteria'!B:B,B31)</f>
        <v>4</v>
      </c>
      <c r="E31" s="4" t="str">
        <f>VLOOKUP(B31,'User Stories'!A:L,12,FALSE)</f>
        <v>Done</v>
      </c>
      <c r="F31" s="4">
        <f>COUNTIFS('Acceptance Criteria'!B:B,B31,'Acceptance Criteria'!F:F,"&lt;&gt;Not Tested")</f>
        <v>4</v>
      </c>
      <c r="G31" s="4">
        <f>COUNTIFS('Acceptance Criteria'!B:B,B31,'Acceptance Criteria'!F:F,"Pass")</f>
        <v>4</v>
      </c>
      <c r="H31" s="4">
        <f>COUNTIFS('Acceptance Criteria'!B:B,B31,'Acceptance Criteria'!F:F,"Fail")</f>
        <v>0</v>
      </c>
      <c r="I31" s="4" t="str">
        <f t="shared" si="0"/>
        <v>Linked</v>
      </c>
      <c r="J31" s="5">
        <f t="shared" si="1"/>
        <v>1</v>
      </c>
    </row>
    <row r="32" spans="1:10">
      <c r="A32" s="4" t="s">
        <v>380</v>
      </c>
      <c r="B32" s="4" t="s">
        <v>418</v>
      </c>
      <c r="C32" s="4">
        <v>4</v>
      </c>
      <c r="D32" s="4">
        <f>COUNTIF('Acceptance Criteria'!B:B,B32)</f>
        <v>4</v>
      </c>
      <c r="E32" s="4" t="str">
        <f>VLOOKUP(B32,'User Stories'!A:L,12,FALSE)</f>
        <v>Done</v>
      </c>
      <c r="F32" s="4">
        <f>COUNTIFS('Acceptance Criteria'!B:B,B32,'Acceptance Criteria'!F:F,"&lt;&gt;Not Tested")</f>
        <v>4</v>
      </c>
      <c r="G32" s="4">
        <f>COUNTIFS('Acceptance Criteria'!B:B,B32,'Acceptance Criteria'!F:F,"Pass")</f>
        <v>4</v>
      </c>
      <c r="H32" s="4">
        <f>COUNTIFS('Acceptance Criteria'!B:B,B32,'Acceptance Criteria'!F:F,"Fail")</f>
        <v>0</v>
      </c>
      <c r="I32" s="4" t="str">
        <f t="shared" si="0"/>
        <v>Linked</v>
      </c>
      <c r="J32" s="5">
        <f t="shared" si="1"/>
        <v>1</v>
      </c>
    </row>
    <row r="33" spans="1:10">
      <c r="A33" s="4" t="s">
        <v>380</v>
      </c>
      <c r="B33" s="4" t="s">
        <v>431</v>
      </c>
      <c r="C33" s="4">
        <v>4</v>
      </c>
      <c r="D33" s="4">
        <f>COUNTIF('Acceptance Criteria'!B:B,B33)</f>
        <v>4</v>
      </c>
      <c r="E33" s="4" t="str">
        <f>VLOOKUP(B33,'User Stories'!A:L,12,FALSE)</f>
        <v>Done</v>
      </c>
      <c r="F33" s="4">
        <f>COUNTIFS('Acceptance Criteria'!B:B,B33,'Acceptance Criteria'!F:F,"&lt;&gt;Not Tested")</f>
        <v>4</v>
      </c>
      <c r="G33" s="4">
        <f>COUNTIFS('Acceptance Criteria'!B:B,B33,'Acceptance Criteria'!F:F,"Pass")</f>
        <v>4</v>
      </c>
      <c r="H33" s="4">
        <f>COUNTIFS('Acceptance Criteria'!B:B,B33,'Acceptance Criteria'!F:F,"Fail")</f>
        <v>0</v>
      </c>
      <c r="I33" s="4" t="str">
        <f t="shared" si="0"/>
        <v>Linked</v>
      </c>
      <c r="J33" s="5">
        <f t="shared" si="1"/>
        <v>1</v>
      </c>
    </row>
    <row r="34" spans="1:10">
      <c r="A34" s="4" t="s">
        <v>380</v>
      </c>
      <c r="B34" s="4" t="s">
        <v>445</v>
      </c>
      <c r="C34" s="4">
        <v>4</v>
      </c>
      <c r="D34" s="4">
        <f>COUNTIF('Acceptance Criteria'!B:B,B34)</f>
        <v>4</v>
      </c>
      <c r="E34" s="4" t="str">
        <f>VLOOKUP(B34,'User Stories'!A:L,12,FALSE)</f>
        <v>Done</v>
      </c>
      <c r="F34" s="4">
        <f>COUNTIFS('Acceptance Criteria'!B:B,B34,'Acceptance Criteria'!F:F,"&lt;&gt;Not Tested")</f>
        <v>4</v>
      </c>
      <c r="G34" s="4">
        <f>COUNTIFS('Acceptance Criteria'!B:B,B34,'Acceptance Criteria'!F:F,"Pass")</f>
        <v>4</v>
      </c>
      <c r="H34" s="4">
        <f>COUNTIFS('Acceptance Criteria'!B:B,B34,'Acceptance Criteria'!F:F,"Fail")</f>
        <v>0</v>
      </c>
      <c r="I34" s="4" t="str">
        <f t="shared" ref="I34:I65" si="2">IF(C34=D34,"Linked","Mismatch")</f>
        <v>Linked</v>
      </c>
      <c r="J34" s="5">
        <f t="shared" ref="J34:J65" si="3">IF(C34=0,0,G34/C34)</f>
        <v>1</v>
      </c>
    </row>
    <row r="35" spans="1:10">
      <c r="A35" s="4" t="s">
        <v>380</v>
      </c>
      <c r="B35" s="4" t="s">
        <v>459</v>
      </c>
      <c r="C35" s="4">
        <v>4</v>
      </c>
      <c r="D35" s="4">
        <f>COUNTIF('Acceptance Criteria'!B:B,B35)</f>
        <v>4</v>
      </c>
      <c r="E35" s="4" t="str">
        <f>VLOOKUP(B35,'User Stories'!A:L,12,FALSE)</f>
        <v>Done</v>
      </c>
      <c r="F35" s="4">
        <f>COUNTIFS('Acceptance Criteria'!B:B,B35,'Acceptance Criteria'!F:F,"&lt;&gt;Not Tested")</f>
        <v>4</v>
      </c>
      <c r="G35" s="4">
        <f>COUNTIFS('Acceptance Criteria'!B:B,B35,'Acceptance Criteria'!F:F,"Pass")</f>
        <v>4</v>
      </c>
      <c r="H35" s="4">
        <f>COUNTIFS('Acceptance Criteria'!B:B,B35,'Acceptance Criteria'!F:F,"Fail")</f>
        <v>0</v>
      </c>
      <c r="I35" s="4" t="str">
        <f t="shared" si="2"/>
        <v>Linked</v>
      </c>
      <c r="J35" s="5">
        <f t="shared" si="3"/>
        <v>1</v>
      </c>
    </row>
    <row r="36" spans="1:10">
      <c r="A36" s="4" t="s">
        <v>380</v>
      </c>
      <c r="B36" s="4" t="s">
        <v>472</v>
      </c>
      <c r="C36" s="4">
        <v>4</v>
      </c>
      <c r="D36" s="4">
        <f>COUNTIF('Acceptance Criteria'!B:B,B36)</f>
        <v>4</v>
      </c>
      <c r="E36" s="4" t="str">
        <f>VLOOKUP(B36,'User Stories'!A:L,12,FALSE)</f>
        <v>Done</v>
      </c>
      <c r="F36" s="4">
        <f>COUNTIFS('Acceptance Criteria'!B:B,B36,'Acceptance Criteria'!F:F,"&lt;&gt;Not Tested")</f>
        <v>4</v>
      </c>
      <c r="G36" s="4">
        <f>COUNTIFS('Acceptance Criteria'!B:B,B36,'Acceptance Criteria'!F:F,"Pass")</f>
        <v>4</v>
      </c>
      <c r="H36" s="4">
        <f>COUNTIFS('Acceptance Criteria'!B:B,B36,'Acceptance Criteria'!F:F,"Fail")</f>
        <v>0</v>
      </c>
      <c r="I36" s="4" t="str">
        <f t="shared" si="2"/>
        <v>Linked</v>
      </c>
      <c r="J36" s="5">
        <f t="shared" si="3"/>
        <v>1</v>
      </c>
    </row>
    <row r="37" spans="1:10">
      <c r="A37" s="4" t="s">
        <v>488</v>
      </c>
      <c r="B37" s="4" t="s">
        <v>487</v>
      </c>
      <c r="C37" s="4">
        <v>4</v>
      </c>
      <c r="D37" s="4">
        <f>COUNTIF('Acceptance Criteria'!B:B,B37)</f>
        <v>4</v>
      </c>
      <c r="E37" s="4" t="str">
        <f>VLOOKUP(B37,'User Stories'!A:L,12,FALSE)</f>
        <v>Done</v>
      </c>
      <c r="F37" s="4">
        <f>COUNTIFS('Acceptance Criteria'!B:B,B37,'Acceptance Criteria'!F:F,"&lt;&gt;Not Tested")</f>
        <v>4</v>
      </c>
      <c r="G37" s="4">
        <f>COUNTIFS('Acceptance Criteria'!B:B,B37,'Acceptance Criteria'!F:F,"Pass")</f>
        <v>4</v>
      </c>
      <c r="H37" s="4">
        <f>COUNTIFS('Acceptance Criteria'!B:B,B37,'Acceptance Criteria'!F:F,"Fail")</f>
        <v>0</v>
      </c>
      <c r="I37" s="4" t="str">
        <f t="shared" si="2"/>
        <v>Linked</v>
      </c>
      <c r="J37" s="5">
        <f t="shared" si="3"/>
        <v>1</v>
      </c>
    </row>
    <row r="38" spans="1:10">
      <c r="A38" s="4" t="s">
        <v>488</v>
      </c>
      <c r="B38" s="4" t="s">
        <v>501</v>
      </c>
      <c r="C38" s="4">
        <v>4</v>
      </c>
      <c r="D38" s="4">
        <f>COUNTIF('Acceptance Criteria'!B:B,B38)</f>
        <v>4</v>
      </c>
      <c r="E38" s="4" t="str">
        <f>VLOOKUP(B38,'User Stories'!A:L,12,FALSE)</f>
        <v>Done</v>
      </c>
      <c r="F38" s="4">
        <f>COUNTIFS('Acceptance Criteria'!B:B,B38,'Acceptance Criteria'!F:F,"&lt;&gt;Not Tested")</f>
        <v>4</v>
      </c>
      <c r="G38" s="4">
        <f>COUNTIFS('Acceptance Criteria'!B:B,B38,'Acceptance Criteria'!F:F,"Pass")</f>
        <v>4</v>
      </c>
      <c r="H38" s="4">
        <f>COUNTIFS('Acceptance Criteria'!B:B,B38,'Acceptance Criteria'!F:F,"Fail")</f>
        <v>0</v>
      </c>
      <c r="I38" s="4" t="str">
        <f t="shared" si="2"/>
        <v>Linked</v>
      </c>
      <c r="J38" s="5">
        <f t="shared" si="3"/>
        <v>1</v>
      </c>
    </row>
    <row r="39" spans="1:10">
      <c r="A39" s="4" t="s">
        <v>488</v>
      </c>
      <c r="B39" s="4" t="s">
        <v>514</v>
      </c>
      <c r="C39" s="4">
        <v>4</v>
      </c>
      <c r="D39" s="4">
        <f>COUNTIF('Acceptance Criteria'!B:B,B39)</f>
        <v>4</v>
      </c>
      <c r="E39" s="4" t="str">
        <f>VLOOKUP(B39,'User Stories'!A:L,12,FALSE)</f>
        <v>Done</v>
      </c>
      <c r="F39" s="4">
        <f>COUNTIFS('Acceptance Criteria'!B:B,B39,'Acceptance Criteria'!F:F,"&lt;&gt;Not Tested")</f>
        <v>4</v>
      </c>
      <c r="G39" s="4">
        <f>COUNTIFS('Acceptance Criteria'!B:B,B39,'Acceptance Criteria'!F:F,"Pass")</f>
        <v>4</v>
      </c>
      <c r="H39" s="4">
        <f>COUNTIFS('Acceptance Criteria'!B:B,B39,'Acceptance Criteria'!F:F,"Fail")</f>
        <v>0</v>
      </c>
      <c r="I39" s="4" t="str">
        <f t="shared" si="2"/>
        <v>Linked</v>
      </c>
      <c r="J39" s="5">
        <f t="shared" si="3"/>
        <v>1</v>
      </c>
    </row>
    <row r="40" spans="1:10">
      <c r="A40" s="4" t="s">
        <v>488</v>
      </c>
      <c r="B40" s="4" t="s">
        <v>527</v>
      </c>
      <c r="C40" s="4">
        <v>4</v>
      </c>
      <c r="D40" s="4">
        <f>COUNTIF('Acceptance Criteria'!B:B,B40)</f>
        <v>4</v>
      </c>
      <c r="E40" s="4" t="str">
        <f>VLOOKUP(B40,'User Stories'!A:L,12,FALSE)</f>
        <v>Done</v>
      </c>
      <c r="F40" s="4">
        <f>COUNTIFS('Acceptance Criteria'!B:B,B40,'Acceptance Criteria'!F:F,"&lt;&gt;Not Tested")</f>
        <v>4</v>
      </c>
      <c r="G40" s="4">
        <f>COUNTIFS('Acceptance Criteria'!B:B,B40,'Acceptance Criteria'!F:F,"Pass")</f>
        <v>4</v>
      </c>
      <c r="H40" s="4">
        <f>COUNTIFS('Acceptance Criteria'!B:B,B40,'Acceptance Criteria'!F:F,"Fail")</f>
        <v>0</v>
      </c>
      <c r="I40" s="4" t="str">
        <f t="shared" si="2"/>
        <v>Linked</v>
      </c>
      <c r="J40" s="5">
        <f t="shared" si="3"/>
        <v>1</v>
      </c>
    </row>
    <row r="41" spans="1:10">
      <c r="A41" s="4" t="s">
        <v>488</v>
      </c>
      <c r="B41" s="4" t="s">
        <v>540</v>
      </c>
      <c r="C41" s="4">
        <v>4</v>
      </c>
      <c r="D41" s="4">
        <f>COUNTIF('Acceptance Criteria'!B:B,B41)</f>
        <v>4</v>
      </c>
      <c r="E41" s="4" t="str">
        <f>VLOOKUP(B41,'User Stories'!A:L,12,FALSE)</f>
        <v>Done</v>
      </c>
      <c r="F41" s="4">
        <f>COUNTIFS('Acceptance Criteria'!B:B,B41,'Acceptance Criteria'!F:F,"&lt;&gt;Not Tested")</f>
        <v>4</v>
      </c>
      <c r="G41" s="4">
        <f>COUNTIFS('Acceptance Criteria'!B:B,B41,'Acceptance Criteria'!F:F,"Pass")</f>
        <v>4</v>
      </c>
      <c r="H41" s="4">
        <f>COUNTIFS('Acceptance Criteria'!B:B,B41,'Acceptance Criteria'!F:F,"Fail")</f>
        <v>0</v>
      </c>
      <c r="I41" s="4" t="str">
        <f t="shared" si="2"/>
        <v>Linked</v>
      </c>
      <c r="J41" s="5">
        <f t="shared" si="3"/>
        <v>1</v>
      </c>
    </row>
    <row r="42" spans="1:10">
      <c r="A42" s="4" t="s">
        <v>488</v>
      </c>
      <c r="B42" s="4" t="s">
        <v>553</v>
      </c>
      <c r="C42" s="4">
        <v>4</v>
      </c>
      <c r="D42" s="4">
        <f>COUNTIF('Acceptance Criteria'!B:B,B42)</f>
        <v>4</v>
      </c>
      <c r="E42" s="4" t="str">
        <f>VLOOKUP(B42,'User Stories'!A:L,12,FALSE)</f>
        <v>Done</v>
      </c>
      <c r="F42" s="4">
        <f>COUNTIFS('Acceptance Criteria'!B:B,B42,'Acceptance Criteria'!F:F,"&lt;&gt;Not Tested")</f>
        <v>4</v>
      </c>
      <c r="G42" s="4">
        <f>COUNTIFS('Acceptance Criteria'!B:B,B42,'Acceptance Criteria'!F:F,"Pass")</f>
        <v>4</v>
      </c>
      <c r="H42" s="4">
        <f>COUNTIFS('Acceptance Criteria'!B:B,B42,'Acceptance Criteria'!F:F,"Fail")</f>
        <v>0</v>
      </c>
      <c r="I42" s="4" t="str">
        <f t="shared" si="2"/>
        <v>Linked</v>
      </c>
      <c r="J42" s="5">
        <f t="shared" si="3"/>
        <v>1</v>
      </c>
    </row>
    <row r="43" spans="1:10">
      <c r="A43" s="4" t="s">
        <v>488</v>
      </c>
      <c r="B43" s="4" t="s">
        <v>566</v>
      </c>
      <c r="C43" s="4">
        <v>4</v>
      </c>
      <c r="D43" s="4">
        <f>COUNTIF('Acceptance Criteria'!B:B,B43)</f>
        <v>4</v>
      </c>
      <c r="E43" s="4" t="str">
        <f>VLOOKUP(B43,'User Stories'!A:L,12,FALSE)</f>
        <v>Done</v>
      </c>
      <c r="F43" s="4">
        <f>COUNTIFS('Acceptance Criteria'!B:B,B43,'Acceptance Criteria'!F:F,"&lt;&gt;Not Tested")</f>
        <v>4</v>
      </c>
      <c r="G43" s="4">
        <f>COUNTIFS('Acceptance Criteria'!B:B,B43,'Acceptance Criteria'!F:F,"Pass")</f>
        <v>4</v>
      </c>
      <c r="H43" s="4">
        <f>COUNTIFS('Acceptance Criteria'!B:B,B43,'Acceptance Criteria'!F:F,"Fail")</f>
        <v>0</v>
      </c>
      <c r="I43" s="4" t="str">
        <f t="shared" si="2"/>
        <v>Linked</v>
      </c>
      <c r="J43" s="5">
        <f t="shared" si="3"/>
        <v>1</v>
      </c>
    </row>
    <row r="44" spans="1:10">
      <c r="A44" s="4" t="s">
        <v>488</v>
      </c>
      <c r="B44" s="4" t="s">
        <v>579</v>
      </c>
      <c r="C44" s="4">
        <v>4</v>
      </c>
      <c r="D44" s="4">
        <f>COUNTIF('Acceptance Criteria'!B:B,B44)</f>
        <v>4</v>
      </c>
      <c r="E44" s="4" t="str">
        <f>VLOOKUP(B44,'User Stories'!A:L,12,FALSE)</f>
        <v>Done</v>
      </c>
      <c r="F44" s="4">
        <f>COUNTIFS('Acceptance Criteria'!B:B,B44,'Acceptance Criteria'!F:F,"&lt;&gt;Not Tested")</f>
        <v>4</v>
      </c>
      <c r="G44" s="4">
        <f>COUNTIFS('Acceptance Criteria'!B:B,B44,'Acceptance Criteria'!F:F,"Pass")</f>
        <v>4</v>
      </c>
      <c r="H44" s="4">
        <f>COUNTIFS('Acceptance Criteria'!B:B,B44,'Acceptance Criteria'!F:F,"Fail")</f>
        <v>0</v>
      </c>
      <c r="I44" s="4" t="str">
        <f t="shared" si="2"/>
        <v>Linked</v>
      </c>
      <c r="J44" s="5">
        <f t="shared" si="3"/>
        <v>1</v>
      </c>
    </row>
    <row r="45" spans="1:10">
      <c r="A45" s="4" t="s">
        <v>488</v>
      </c>
      <c r="B45" s="4" t="s">
        <v>592</v>
      </c>
      <c r="C45" s="4">
        <v>4</v>
      </c>
      <c r="D45" s="4">
        <f>COUNTIF('Acceptance Criteria'!B:B,B45)</f>
        <v>4</v>
      </c>
      <c r="E45" s="4" t="str">
        <f>VLOOKUP(B45,'User Stories'!A:L,12,FALSE)</f>
        <v>Done</v>
      </c>
      <c r="F45" s="4">
        <f>COUNTIFS('Acceptance Criteria'!B:B,B45,'Acceptance Criteria'!F:F,"&lt;&gt;Not Tested")</f>
        <v>4</v>
      </c>
      <c r="G45" s="4">
        <f>COUNTIFS('Acceptance Criteria'!B:B,B45,'Acceptance Criteria'!F:F,"Pass")</f>
        <v>4</v>
      </c>
      <c r="H45" s="4">
        <f>COUNTIFS('Acceptance Criteria'!B:B,B45,'Acceptance Criteria'!F:F,"Fail")</f>
        <v>0</v>
      </c>
      <c r="I45" s="4" t="str">
        <f t="shared" si="2"/>
        <v>Linked</v>
      </c>
      <c r="J45" s="5">
        <f t="shared" si="3"/>
        <v>1</v>
      </c>
    </row>
    <row r="46" spans="1:10">
      <c r="A46" s="4" t="s">
        <v>488</v>
      </c>
      <c r="B46" s="4" t="s">
        <v>605</v>
      </c>
      <c r="C46" s="4">
        <v>4</v>
      </c>
      <c r="D46" s="4">
        <f>COUNTIF('Acceptance Criteria'!B:B,B46)</f>
        <v>4</v>
      </c>
      <c r="E46" s="4" t="str">
        <f>VLOOKUP(B46,'User Stories'!A:L,12,FALSE)</f>
        <v>Done</v>
      </c>
      <c r="F46" s="4">
        <f>COUNTIFS('Acceptance Criteria'!B:B,B46,'Acceptance Criteria'!F:F,"&lt;&gt;Not Tested")</f>
        <v>4</v>
      </c>
      <c r="G46" s="4">
        <f>COUNTIFS('Acceptance Criteria'!B:B,B46,'Acceptance Criteria'!F:F,"Pass")</f>
        <v>4</v>
      </c>
      <c r="H46" s="4">
        <f>COUNTIFS('Acceptance Criteria'!B:B,B46,'Acceptance Criteria'!F:F,"Fail")</f>
        <v>0</v>
      </c>
      <c r="I46" s="4" t="str">
        <f t="shared" si="2"/>
        <v>Linked</v>
      </c>
      <c r="J46" s="5">
        <f t="shared" si="3"/>
        <v>1</v>
      </c>
    </row>
    <row r="47" spans="1:10">
      <c r="A47" s="4" t="s">
        <v>619</v>
      </c>
      <c r="B47" s="4" t="s">
        <v>618</v>
      </c>
      <c r="C47" s="4">
        <v>4</v>
      </c>
      <c r="D47" s="4">
        <f>COUNTIF('Acceptance Criteria'!B:B,B47)</f>
        <v>4</v>
      </c>
      <c r="E47" s="4" t="str">
        <f>VLOOKUP(B47,'User Stories'!A:L,12,FALSE)</f>
        <v>Done</v>
      </c>
      <c r="F47" s="4">
        <f>COUNTIFS('Acceptance Criteria'!B:B,B47,'Acceptance Criteria'!F:F,"&lt;&gt;Not Tested")</f>
        <v>4</v>
      </c>
      <c r="G47" s="4">
        <f>COUNTIFS('Acceptance Criteria'!B:B,B47,'Acceptance Criteria'!F:F,"Pass")</f>
        <v>4</v>
      </c>
      <c r="H47" s="4">
        <f>COUNTIFS('Acceptance Criteria'!B:B,B47,'Acceptance Criteria'!F:F,"Fail")</f>
        <v>0</v>
      </c>
      <c r="I47" s="4" t="str">
        <f t="shared" si="2"/>
        <v>Linked</v>
      </c>
      <c r="J47" s="5">
        <f t="shared" si="3"/>
        <v>1</v>
      </c>
    </row>
    <row r="48" spans="1:10">
      <c r="A48" s="4" t="s">
        <v>619</v>
      </c>
      <c r="B48" s="4" t="s">
        <v>632</v>
      </c>
      <c r="C48" s="4">
        <v>4</v>
      </c>
      <c r="D48" s="4">
        <f>COUNTIF('Acceptance Criteria'!B:B,B48)</f>
        <v>4</v>
      </c>
      <c r="E48" s="4" t="str">
        <f>VLOOKUP(B48,'User Stories'!A:L,12,FALSE)</f>
        <v>Done</v>
      </c>
      <c r="F48" s="4">
        <f>COUNTIFS('Acceptance Criteria'!B:B,B48,'Acceptance Criteria'!F:F,"&lt;&gt;Not Tested")</f>
        <v>4</v>
      </c>
      <c r="G48" s="4">
        <f>COUNTIFS('Acceptance Criteria'!B:B,B48,'Acceptance Criteria'!F:F,"Pass")</f>
        <v>4</v>
      </c>
      <c r="H48" s="4">
        <f>COUNTIFS('Acceptance Criteria'!B:B,B48,'Acceptance Criteria'!F:F,"Fail")</f>
        <v>0</v>
      </c>
      <c r="I48" s="4" t="str">
        <f t="shared" si="2"/>
        <v>Linked</v>
      </c>
      <c r="J48" s="5">
        <f t="shared" si="3"/>
        <v>1</v>
      </c>
    </row>
    <row r="49" spans="1:10">
      <c r="A49" s="4" t="s">
        <v>619</v>
      </c>
      <c r="B49" s="4" t="s">
        <v>645</v>
      </c>
      <c r="C49" s="4">
        <v>4</v>
      </c>
      <c r="D49" s="4">
        <f>COUNTIF('Acceptance Criteria'!B:B,B49)</f>
        <v>4</v>
      </c>
      <c r="E49" s="4" t="str">
        <f>VLOOKUP(B49,'User Stories'!A:L,12,FALSE)</f>
        <v>Done</v>
      </c>
      <c r="F49" s="4">
        <f>COUNTIFS('Acceptance Criteria'!B:B,B49,'Acceptance Criteria'!F:F,"&lt;&gt;Not Tested")</f>
        <v>4</v>
      </c>
      <c r="G49" s="4">
        <f>COUNTIFS('Acceptance Criteria'!B:B,B49,'Acceptance Criteria'!F:F,"Pass")</f>
        <v>4</v>
      </c>
      <c r="H49" s="4">
        <f>COUNTIFS('Acceptance Criteria'!B:B,B49,'Acceptance Criteria'!F:F,"Fail")</f>
        <v>0</v>
      </c>
      <c r="I49" s="4" t="str">
        <f t="shared" si="2"/>
        <v>Linked</v>
      </c>
      <c r="J49" s="5">
        <f t="shared" si="3"/>
        <v>1</v>
      </c>
    </row>
    <row r="50" spans="1:10">
      <c r="A50" s="4" t="s">
        <v>619</v>
      </c>
      <c r="B50" s="4" t="s">
        <v>658</v>
      </c>
      <c r="C50" s="4">
        <v>4</v>
      </c>
      <c r="D50" s="4">
        <f>COUNTIF('Acceptance Criteria'!B:B,B50)</f>
        <v>4</v>
      </c>
      <c r="E50" s="4" t="str">
        <f>VLOOKUP(B50,'User Stories'!A:L,12,FALSE)</f>
        <v>Done</v>
      </c>
      <c r="F50" s="4">
        <f>COUNTIFS('Acceptance Criteria'!B:B,B50,'Acceptance Criteria'!F:F,"&lt;&gt;Not Tested")</f>
        <v>4</v>
      </c>
      <c r="G50" s="4">
        <f>COUNTIFS('Acceptance Criteria'!B:B,B50,'Acceptance Criteria'!F:F,"Pass")</f>
        <v>4</v>
      </c>
      <c r="H50" s="4">
        <f>COUNTIFS('Acceptance Criteria'!B:B,B50,'Acceptance Criteria'!F:F,"Fail")</f>
        <v>0</v>
      </c>
      <c r="I50" s="4" t="str">
        <f t="shared" si="2"/>
        <v>Linked</v>
      </c>
      <c r="J50" s="5">
        <f t="shared" si="3"/>
        <v>1</v>
      </c>
    </row>
    <row r="51" spans="1:10">
      <c r="A51" s="4" t="s">
        <v>619</v>
      </c>
      <c r="B51" s="4" t="s">
        <v>671</v>
      </c>
      <c r="C51" s="4">
        <v>4</v>
      </c>
      <c r="D51" s="4">
        <f>COUNTIF('Acceptance Criteria'!B:B,B51)</f>
        <v>4</v>
      </c>
      <c r="E51" s="4" t="str">
        <f>VLOOKUP(B51,'User Stories'!A:L,12,FALSE)</f>
        <v>Done</v>
      </c>
      <c r="F51" s="4">
        <f>COUNTIFS('Acceptance Criteria'!B:B,B51,'Acceptance Criteria'!F:F,"&lt;&gt;Not Tested")</f>
        <v>4</v>
      </c>
      <c r="G51" s="4">
        <f>COUNTIFS('Acceptance Criteria'!B:B,B51,'Acceptance Criteria'!F:F,"Pass")</f>
        <v>4</v>
      </c>
      <c r="H51" s="4">
        <f>COUNTIFS('Acceptance Criteria'!B:B,B51,'Acceptance Criteria'!F:F,"Fail")</f>
        <v>0</v>
      </c>
      <c r="I51" s="4" t="str">
        <f t="shared" si="2"/>
        <v>Linked</v>
      </c>
      <c r="J51" s="5">
        <f t="shared" si="3"/>
        <v>1</v>
      </c>
    </row>
    <row r="52" spans="1:10">
      <c r="A52" s="4" t="s">
        <v>685</v>
      </c>
      <c r="B52" s="4" t="s">
        <v>684</v>
      </c>
      <c r="C52" s="4">
        <v>4</v>
      </c>
      <c r="D52" s="4">
        <f>COUNTIF('Acceptance Criteria'!B:B,B52)</f>
        <v>4</v>
      </c>
      <c r="E52" s="4" t="str">
        <f>VLOOKUP(B52,'User Stories'!A:L,12,FALSE)</f>
        <v>Done</v>
      </c>
      <c r="F52" s="4">
        <f>COUNTIFS('Acceptance Criteria'!B:B,B52,'Acceptance Criteria'!F:F,"&lt;&gt;Not Tested")</f>
        <v>4</v>
      </c>
      <c r="G52" s="4">
        <f>COUNTIFS('Acceptance Criteria'!B:B,B52,'Acceptance Criteria'!F:F,"Pass")</f>
        <v>4</v>
      </c>
      <c r="H52" s="4">
        <f>COUNTIFS('Acceptance Criteria'!B:B,B52,'Acceptance Criteria'!F:F,"Fail")</f>
        <v>0</v>
      </c>
      <c r="I52" s="4" t="str">
        <f t="shared" si="2"/>
        <v>Linked</v>
      </c>
      <c r="J52" s="5">
        <f t="shared" si="3"/>
        <v>1</v>
      </c>
    </row>
    <row r="53" spans="1:10">
      <c r="A53" s="4" t="s">
        <v>685</v>
      </c>
      <c r="B53" s="4" t="s">
        <v>698</v>
      </c>
      <c r="C53" s="4">
        <v>4</v>
      </c>
      <c r="D53" s="4">
        <f>COUNTIF('Acceptance Criteria'!B:B,B53)</f>
        <v>4</v>
      </c>
      <c r="E53" s="4" t="str">
        <f>VLOOKUP(B53,'User Stories'!A:L,12,FALSE)</f>
        <v>Done</v>
      </c>
      <c r="F53" s="4">
        <f>COUNTIFS('Acceptance Criteria'!B:B,B53,'Acceptance Criteria'!F:F,"&lt;&gt;Not Tested")</f>
        <v>4</v>
      </c>
      <c r="G53" s="4">
        <f>COUNTIFS('Acceptance Criteria'!B:B,B53,'Acceptance Criteria'!F:F,"Pass")</f>
        <v>4</v>
      </c>
      <c r="H53" s="4">
        <f>COUNTIFS('Acceptance Criteria'!B:B,B53,'Acceptance Criteria'!F:F,"Fail")</f>
        <v>0</v>
      </c>
      <c r="I53" s="4" t="str">
        <f t="shared" si="2"/>
        <v>Linked</v>
      </c>
      <c r="J53" s="5">
        <f t="shared" si="3"/>
        <v>1</v>
      </c>
    </row>
    <row r="54" spans="1:10">
      <c r="A54" s="4" t="s">
        <v>685</v>
      </c>
      <c r="B54" s="4" t="s">
        <v>712</v>
      </c>
      <c r="C54" s="4">
        <v>4</v>
      </c>
      <c r="D54" s="4">
        <f>COUNTIF('Acceptance Criteria'!B:B,B54)</f>
        <v>4</v>
      </c>
      <c r="E54" s="4" t="str">
        <f>VLOOKUP(B54,'User Stories'!A:L,12,FALSE)</f>
        <v>Done</v>
      </c>
      <c r="F54" s="4">
        <f>COUNTIFS('Acceptance Criteria'!B:B,B54,'Acceptance Criteria'!F:F,"&lt;&gt;Not Tested")</f>
        <v>4</v>
      </c>
      <c r="G54" s="4">
        <f>COUNTIFS('Acceptance Criteria'!B:B,B54,'Acceptance Criteria'!F:F,"Pass")</f>
        <v>4</v>
      </c>
      <c r="H54" s="4">
        <f>COUNTIFS('Acceptance Criteria'!B:B,B54,'Acceptance Criteria'!F:F,"Fail")</f>
        <v>0</v>
      </c>
      <c r="I54" s="4" t="str">
        <f t="shared" si="2"/>
        <v>Linked</v>
      </c>
      <c r="J54" s="5">
        <f t="shared" si="3"/>
        <v>1</v>
      </c>
    </row>
    <row r="55" spans="1:10">
      <c r="A55" s="4" t="s">
        <v>685</v>
      </c>
      <c r="B55" s="4" t="s">
        <v>726</v>
      </c>
      <c r="C55" s="4">
        <v>4</v>
      </c>
      <c r="D55" s="4">
        <f>COUNTIF('Acceptance Criteria'!B:B,B55)</f>
        <v>4</v>
      </c>
      <c r="E55" s="4" t="str">
        <f>VLOOKUP(B55,'User Stories'!A:L,12,FALSE)</f>
        <v>Done</v>
      </c>
      <c r="F55" s="4">
        <f>COUNTIFS('Acceptance Criteria'!B:B,B55,'Acceptance Criteria'!F:F,"&lt;&gt;Not Tested")</f>
        <v>4</v>
      </c>
      <c r="G55" s="4">
        <f>COUNTIFS('Acceptance Criteria'!B:B,B55,'Acceptance Criteria'!F:F,"Pass")</f>
        <v>4</v>
      </c>
      <c r="H55" s="4">
        <f>COUNTIFS('Acceptance Criteria'!B:B,B55,'Acceptance Criteria'!F:F,"Fail")</f>
        <v>0</v>
      </c>
      <c r="I55" s="4" t="str">
        <f t="shared" si="2"/>
        <v>Linked</v>
      </c>
      <c r="J55" s="5">
        <f t="shared" si="3"/>
        <v>1</v>
      </c>
    </row>
    <row r="56" spans="1:10">
      <c r="A56" s="4" t="s">
        <v>685</v>
      </c>
      <c r="B56" s="4" t="s">
        <v>739</v>
      </c>
      <c r="C56" s="4">
        <v>4</v>
      </c>
      <c r="D56" s="4">
        <f>COUNTIF('Acceptance Criteria'!B:B,B56)</f>
        <v>4</v>
      </c>
      <c r="E56" s="4" t="str">
        <f>VLOOKUP(B56,'User Stories'!A:L,12,FALSE)</f>
        <v>Done</v>
      </c>
      <c r="F56" s="4">
        <f>COUNTIFS('Acceptance Criteria'!B:B,B56,'Acceptance Criteria'!F:F,"&lt;&gt;Not Tested")</f>
        <v>4</v>
      </c>
      <c r="G56" s="4">
        <f>COUNTIFS('Acceptance Criteria'!B:B,B56,'Acceptance Criteria'!F:F,"Pass")</f>
        <v>4</v>
      </c>
      <c r="H56" s="4">
        <f>COUNTIFS('Acceptance Criteria'!B:B,B56,'Acceptance Criteria'!F:F,"Fail")</f>
        <v>0</v>
      </c>
      <c r="I56" s="4" t="str">
        <f t="shared" si="2"/>
        <v>Linked</v>
      </c>
      <c r="J56" s="5">
        <f t="shared" si="3"/>
        <v>1</v>
      </c>
    </row>
    <row r="57" spans="1:10">
      <c r="A57" s="4" t="s">
        <v>754</v>
      </c>
      <c r="B57" s="4" t="s">
        <v>753</v>
      </c>
      <c r="C57" s="4">
        <v>4</v>
      </c>
      <c r="D57" s="4">
        <f>COUNTIF('Acceptance Criteria'!B:B,B57)</f>
        <v>4</v>
      </c>
      <c r="E57" s="4" t="str">
        <f>VLOOKUP(B57,'User Stories'!A:L,12,FALSE)</f>
        <v>Done</v>
      </c>
      <c r="F57" s="4">
        <f>COUNTIFS('Acceptance Criteria'!B:B,B57,'Acceptance Criteria'!F:F,"&lt;&gt;Not Tested")</f>
        <v>4</v>
      </c>
      <c r="G57" s="4">
        <f>COUNTIFS('Acceptance Criteria'!B:B,B57,'Acceptance Criteria'!F:F,"Pass")</f>
        <v>4</v>
      </c>
      <c r="H57" s="4">
        <f>COUNTIFS('Acceptance Criteria'!B:B,B57,'Acceptance Criteria'!F:F,"Fail")</f>
        <v>0</v>
      </c>
      <c r="I57" s="4" t="str">
        <f t="shared" si="2"/>
        <v>Linked</v>
      </c>
      <c r="J57" s="5">
        <f t="shared" si="3"/>
        <v>1</v>
      </c>
    </row>
    <row r="58" spans="1:10">
      <c r="A58" s="4" t="s">
        <v>754</v>
      </c>
      <c r="B58" s="4" t="s">
        <v>767</v>
      </c>
      <c r="C58" s="4">
        <v>4</v>
      </c>
      <c r="D58" s="4">
        <f>COUNTIF('Acceptance Criteria'!B:B,B58)</f>
        <v>4</v>
      </c>
      <c r="E58" s="4" t="str">
        <f>VLOOKUP(B58,'User Stories'!A:L,12,FALSE)</f>
        <v>Done</v>
      </c>
      <c r="F58" s="4">
        <f>COUNTIFS('Acceptance Criteria'!B:B,B58,'Acceptance Criteria'!F:F,"&lt;&gt;Not Tested")</f>
        <v>4</v>
      </c>
      <c r="G58" s="4">
        <f>COUNTIFS('Acceptance Criteria'!B:B,B58,'Acceptance Criteria'!F:F,"Pass")</f>
        <v>4</v>
      </c>
      <c r="H58" s="4">
        <f>COUNTIFS('Acceptance Criteria'!B:B,B58,'Acceptance Criteria'!F:F,"Fail")</f>
        <v>0</v>
      </c>
      <c r="I58" s="4" t="str">
        <f t="shared" si="2"/>
        <v>Linked</v>
      </c>
      <c r="J58" s="5">
        <f t="shared" si="3"/>
        <v>1</v>
      </c>
    </row>
    <row r="59" spans="1:10">
      <c r="A59" s="4" t="s">
        <v>754</v>
      </c>
      <c r="B59" s="4" t="s">
        <v>781</v>
      </c>
      <c r="C59" s="4">
        <v>4</v>
      </c>
      <c r="D59" s="4">
        <f>COUNTIF('Acceptance Criteria'!B:B,B59)</f>
        <v>4</v>
      </c>
      <c r="E59" s="4" t="str">
        <f>VLOOKUP(B59,'User Stories'!A:L,12,FALSE)</f>
        <v>Done</v>
      </c>
      <c r="F59" s="4">
        <f>COUNTIFS('Acceptance Criteria'!B:B,B59,'Acceptance Criteria'!F:F,"&lt;&gt;Not Tested")</f>
        <v>4</v>
      </c>
      <c r="G59" s="4">
        <f>COUNTIFS('Acceptance Criteria'!B:B,B59,'Acceptance Criteria'!F:F,"Pass")</f>
        <v>4</v>
      </c>
      <c r="H59" s="4">
        <f>COUNTIFS('Acceptance Criteria'!B:B,B59,'Acceptance Criteria'!F:F,"Fail")</f>
        <v>0</v>
      </c>
      <c r="I59" s="4" t="str">
        <f t="shared" si="2"/>
        <v>Linked</v>
      </c>
      <c r="J59" s="5">
        <f t="shared" si="3"/>
        <v>1</v>
      </c>
    </row>
    <row r="60" spans="1:10">
      <c r="A60" s="4" t="s">
        <v>754</v>
      </c>
      <c r="B60" s="4" t="s">
        <v>796</v>
      </c>
      <c r="C60" s="4">
        <v>4</v>
      </c>
      <c r="D60" s="4">
        <f>COUNTIF('Acceptance Criteria'!B:B,B60)</f>
        <v>4</v>
      </c>
      <c r="E60" s="4" t="str">
        <f>VLOOKUP(B60,'User Stories'!A:L,12,FALSE)</f>
        <v>Done</v>
      </c>
      <c r="F60" s="4">
        <f>COUNTIFS('Acceptance Criteria'!B:B,B60,'Acceptance Criteria'!F:F,"&lt;&gt;Not Tested")</f>
        <v>4</v>
      </c>
      <c r="G60" s="4">
        <f>COUNTIFS('Acceptance Criteria'!B:B,B60,'Acceptance Criteria'!F:F,"Pass")</f>
        <v>4</v>
      </c>
      <c r="H60" s="4">
        <f>COUNTIFS('Acceptance Criteria'!B:B,B60,'Acceptance Criteria'!F:F,"Fail")</f>
        <v>0</v>
      </c>
      <c r="I60" s="4" t="str">
        <f t="shared" si="2"/>
        <v>Linked</v>
      </c>
      <c r="J60" s="5">
        <f t="shared" si="3"/>
        <v>1</v>
      </c>
    </row>
    <row r="61" spans="1:10">
      <c r="A61" s="4" t="s">
        <v>754</v>
      </c>
      <c r="B61" s="4" t="s">
        <v>809</v>
      </c>
      <c r="C61" s="4">
        <v>4</v>
      </c>
      <c r="D61" s="4">
        <f>COUNTIF('Acceptance Criteria'!B:B,B61)</f>
        <v>4</v>
      </c>
      <c r="E61" s="4" t="str">
        <f>VLOOKUP(B61,'User Stories'!A:L,12,FALSE)</f>
        <v>Done</v>
      </c>
      <c r="F61" s="4">
        <f>COUNTIFS('Acceptance Criteria'!B:B,B61,'Acceptance Criteria'!F:F,"&lt;&gt;Not Tested")</f>
        <v>4</v>
      </c>
      <c r="G61" s="4">
        <f>COUNTIFS('Acceptance Criteria'!B:B,B61,'Acceptance Criteria'!F:F,"Pass")</f>
        <v>4</v>
      </c>
      <c r="H61" s="4">
        <f>COUNTIFS('Acceptance Criteria'!B:B,B61,'Acceptance Criteria'!F:F,"Fail")</f>
        <v>0</v>
      </c>
      <c r="I61" s="4" t="str">
        <f t="shared" si="2"/>
        <v>Linked</v>
      </c>
      <c r="J61" s="5">
        <f t="shared" si="3"/>
        <v>1</v>
      </c>
    </row>
    <row r="62" spans="1:10">
      <c r="A62" s="4" t="s">
        <v>823</v>
      </c>
      <c r="B62" s="4" t="s">
        <v>822</v>
      </c>
      <c r="C62" s="4">
        <v>4</v>
      </c>
      <c r="D62" s="4">
        <f>COUNTIF('Acceptance Criteria'!B:B,B62)</f>
        <v>4</v>
      </c>
      <c r="E62" s="4" t="str">
        <f>VLOOKUP(B62,'User Stories'!A:L,12,FALSE)</f>
        <v>Done</v>
      </c>
      <c r="F62" s="4">
        <f>COUNTIFS('Acceptance Criteria'!B:B,B62,'Acceptance Criteria'!F:F,"&lt;&gt;Not Tested")</f>
        <v>4</v>
      </c>
      <c r="G62" s="4">
        <f>COUNTIFS('Acceptance Criteria'!B:B,B62,'Acceptance Criteria'!F:F,"Pass")</f>
        <v>4</v>
      </c>
      <c r="H62" s="4">
        <f>COUNTIFS('Acceptance Criteria'!B:B,B62,'Acceptance Criteria'!F:F,"Fail")</f>
        <v>0</v>
      </c>
      <c r="I62" s="4" t="str">
        <f t="shared" si="2"/>
        <v>Linked</v>
      </c>
      <c r="J62" s="5">
        <f t="shared" si="3"/>
        <v>1</v>
      </c>
    </row>
    <row r="63" spans="1:10">
      <c r="A63" s="4" t="s">
        <v>823</v>
      </c>
      <c r="B63" s="4" t="s">
        <v>836</v>
      </c>
      <c r="C63" s="4">
        <v>4</v>
      </c>
      <c r="D63" s="4">
        <f>COUNTIF('Acceptance Criteria'!B:B,B63)</f>
        <v>4</v>
      </c>
      <c r="E63" s="4" t="str">
        <f>VLOOKUP(B63,'User Stories'!A:L,12,FALSE)</f>
        <v>Done</v>
      </c>
      <c r="F63" s="4">
        <f>COUNTIFS('Acceptance Criteria'!B:B,B63,'Acceptance Criteria'!F:F,"&lt;&gt;Not Tested")</f>
        <v>4</v>
      </c>
      <c r="G63" s="4">
        <f>COUNTIFS('Acceptance Criteria'!B:B,B63,'Acceptance Criteria'!F:F,"Pass")</f>
        <v>4</v>
      </c>
      <c r="H63" s="4">
        <f>COUNTIFS('Acceptance Criteria'!B:B,B63,'Acceptance Criteria'!F:F,"Fail")</f>
        <v>0</v>
      </c>
      <c r="I63" s="4" t="str">
        <f t="shared" si="2"/>
        <v>Linked</v>
      </c>
      <c r="J63" s="5">
        <f t="shared" si="3"/>
        <v>1</v>
      </c>
    </row>
    <row r="64" spans="1:10">
      <c r="A64" s="4" t="s">
        <v>823</v>
      </c>
      <c r="B64" s="4" t="s">
        <v>849</v>
      </c>
      <c r="C64" s="4">
        <v>4</v>
      </c>
      <c r="D64" s="4">
        <f>COUNTIF('Acceptance Criteria'!B:B,B64)</f>
        <v>4</v>
      </c>
      <c r="E64" s="4" t="str">
        <f>VLOOKUP(B64,'User Stories'!A:L,12,FALSE)</f>
        <v>Done</v>
      </c>
      <c r="F64" s="4">
        <f>COUNTIFS('Acceptance Criteria'!B:B,B64,'Acceptance Criteria'!F:F,"&lt;&gt;Not Tested")</f>
        <v>4</v>
      </c>
      <c r="G64" s="4">
        <f>COUNTIFS('Acceptance Criteria'!B:B,B64,'Acceptance Criteria'!F:F,"Pass")</f>
        <v>4</v>
      </c>
      <c r="H64" s="4">
        <f>COUNTIFS('Acceptance Criteria'!B:B,B64,'Acceptance Criteria'!F:F,"Fail")</f>
        <v>0</v>
      </c>
      <c r="I64" s="4" t="str">
        <f t="shared" si="2"/>
        <v>Linked</v>
      </c>
      <c r="J64" s="5">
        <f t="shared" si="3"/>
        <v>1</v>
      </c>
    </row>
    <row r="65" spans="1:10">
      <c r="A65" s="4" t="s">
        <v>823</v>
      </c>
      <c r="B65" s="4" t="s">
        <v>862</v>
      </c>
      <c r="C65" s="4">
        <v>4</v>
      </c>
      <c r="D65" s="4">
        <f>COUNTIF('Acceptance Criteria'!B:B,B65)</f>
        <v>4</v>
      </c>
      <c r="E65" s="4" t="str">
        <f>VLOOKUP(B65,'User Stories'!A:L,12,FALSE)</f>
        <v>Done</v>
      </c>
      <c r="F65" s="4">
        <f>COUNTIFS('Acceptance Criteria'!B:B,B65,'Acceptance Criteria'!F:F,"&lt;&gt;Not Tested")</f>
        <v>4</v>
      </c>
      <c r="G65" s="4">
        <f>COUNTIFS('Acceptance Criteria'!B:B,B65,'Acceptance Criteria'!F:F,"Pass")</f>
        <v>4</v>
      </c>
      <c r="H65" s="4">
        <f>COUNTIFS('Acceptance Criteria'!B:B,B65,'Acceptance Criteria'!F:F,"Fail")</f>
        <v>0</v>
      </c>
      <c r="I65" s="4" t="str">
        <f t="shared" si="2"/>
        <v>Linked</v>
      </c>
      <c r="J65" s="5">
        <f t="shared" si="3"/>
        <v>1</v>
      </c>
    </row>
    <row r="66" spans="1:10">
      <c r="A66" s="4" t="s">
        <v>823</v>
      </c>
      <c r="B66" s="4" t="s">
        <v>876</v>
      </c>
      <c r="C66" s="4">
        <v>4</v>
      </c>
      <c r="D66" s="4">
        <f>COUNTIF('Acceptance Criteria'!B:B,B66)</f>
        <v>4</v>
      </c>
      <c r="E66" s="4" t="str">
        <f>VLOOKUP(B66,'User Stories'!A:L,12,FALSE)</f>
        <v>Done</v>
      </c>
      <c r="F66" s="4">
        <f>COUNTIFS('Acceptance Criteria'!B:B,B66,'Acceptance Criteria'!F:F,"&lt;&gt;Not Tested")</f>
        <v>4</v>
      </c>
      <c r="G66" s="4">
        <f>COUNTIFS('Acceptance Criteria'!B:B,B66,'Acceptance Criteria'!F:F,"Pass")</f>
        <v>4</v>
      </c>
      <c r="H66" s="4">
        <f>COUNTIFS('Acceptance Criteria'!B:B,B66,'Acceptance Criteria'!F:F,"Fail")</f>
        <v>0</v>
      </c>
      <c r="I66" s="4" t="str">
        <f t="shared" ref="I66:I76" si="4">IF(C66=D66,"Linked","Mismatch")</f>
        <v>Linked</v>
      </c>
      <c r="J66" s="5">
        <f t="shared" ref="J66:J76" si="5">IF(C66=0,0,G66/C66)</f>
        <v>1</v>
      </c>
    </row>
    <row r="67" spans="1:10">
      <c r="A67" s="4" t="s">
        <v>891</v>
      </c>
      <c r="B67" s="4" t="s">
        <v>890</v>
      </c>
      <c r="C67" s="4">
        <v>4</v>
      </c>
      <c r="D67" s="4">
        <f>COUNTIF('Acceptance Criteria'!B:B,B67)</f>
        <v>4</v>
      </c>
      <c r="E67" s="4" t="str">
        <f>VLOOKUP(B67,'User Stories'!A:L,12,FALSE)</f>
        <v>Done</v>
      </c>
      <c r="F67" s="4">
        <f>COUNTIFS('Acceptance Criteria'!B:B,B67,'Acceptance Criteria'!F:F,"&lt;&gt;Not Tested")</f>
        <v>4</v>
      </c>
      <c r="G67" s="4">
        <f>COUNTIFS('Acceptance Criteria'!B:B,B67,'Acceptance Criteria'!F:F,"Pass")</f>
        <v>4</v>
      </c>
      <c r="H67" s="4">
        <f>COUNTIFS('Acceptance Criteria'!B:B,B67,'Acceptance Criteria'!F:F,"Fail")</f>
        <v>0</v>
      </c>
      <c r="I67" s="4" t="str">
        <f t="shared" si="4"/>
        <v>Linked</v>
      </c>
      <c r="J67" s="5">
        <f t="shared" si="5"/>
        <v>1</v>
      </c>
    </row>
    <row r="68" spans="1:10">
      <c r="A68" s="4" t="s">
        <v>891</v>
      </c>
      <c r="B68" s="4" t="s">
        <v>904</v>
      </c>
      <c r="C68" s="4">
        <v>4</v>
      </c>
      <c r="D68" s="4">
        <f>COUNTIF('Acceptance Criteria'!B:B,B68)</f>
        <v>4</v>
      </c>
      <c r="E68" s="4" t="str">
        <f>VLOOKUP(B68,'User Stories'!A:L,12,FALSE)</f>
        <v>Done</v>
      </c>
      <c r="F68" s="4">
        <f>COUNTIFS('Acceptance Criteria'!B:B,B68,'Acceptance Criteria'!F:F,"&lt;&gt;Not Tested")</f>
        <v>4</v>
      </c>
      <c r="G68" s="4">
        <f>COUNTIFS('Acceptance Criteria'!B:B,B68,'Acceptance Criteria'!F:F,"Pass")</f>
        <v>4</v>
      </c>
      <c r="H68" s="4">
        <f>COUNTIFS('Acceptance Criteria'!B:B,B68,'Acceptance Criteria'!F:F,"Fail")</f>
        <v>0</v>
      </c>
      <c r="I68" s="4" t="str">
        <f t="shared" si="4"/>
        <v>Linked</v>
      </c>
      <c r="J68" s="5">
        <f t="shared" si="5"/>
        <v>1</v>
      </c>
    </row>
    <row r="69" spans="1:10">
      <c r="A69" s="4" t="s">
        <v>891</v>
      </c>
      <c r="B69" s="4" t="s">
        <v>918</v>
      </c>
      <c r="C69" s="4">
        <v>4</v>
      </c>
      <c r="D69" s="4">
        <f>COUNTIF('Acceptance Criteria'!B:B,B69)</f>
        <v>4</v>
      </c>
      <c r="E69" s="4" t="str">
        <f>VLOOKUP(B69,'User Stories'!A:L,12,FALSE)</f>
        <v>Done</v>
      </c>
      <c r="F69" s="4">
        <f>COUNTIFS('Acceptance Criteria'!B:B,B69,'Acceptance Criteria'!F:F,"&lt;&gt;Not Tested")</f>
        <v>4</v>
      </c>
      <c r="G69" s="4">
        <f>COUNTIFS('Acceptance Criteria'!B:B,B69,'Acceptance Criteria'!F:F,"Pass")</f>
        <v>4</v>
      </c>
      <c r="H69" s="4">
        <f>COUNTIFS('Acceptance Criteria'!B:B,B69,'Acceptance Criteria'!F:F,"Fail")</f>
        <v>0</v>
      </c>
      <c r="I69" s="4" t="str">
        <f t="shared" si="4"/>
        <v>Linked</v>
      </c>
      <c r="J69" s="5">
        <f t="shared" si="5"/>
        <v>1</v>
      </c>
    </row>
    <row r="70" spans="1:10">
      <c r="A70" s="4" t="s">
        <v>891</v>
      </c>
      <c r="B70" s="4" t="s">
        <v>931</v>
      </c>
      <c r="C70" s="4">
        <v>4</v>
      </c>
      <c r="D70" s="4">
        <f>COUNTIF('Acceptance Criteria'!B:B,B70)</f>
        <v>4</v>
      </c>
      <c r="E70" s="4" t="str">
        <f>VLOOKUP(B70,'User Stories'!A:L,12,FALSE)</f>
        <v>Done</v>
      </c>
      <c r="F70" s="4">
        <f>COUNTIFS('Acceptance Criteria'!B:B,B70,'Acceptance Criteria'!F:F,"&lt;&gt;Not Tested")</f>
        <v>4</v>
      </c>
      <c r="G70" s="4">
        <f>COUNTIFS('Acceptance Criteria'!B:B,B70,'Acceptance Criteria'!F:F,"Pass")</f>
        <v>4</v>
      </c>
      <c r="H70" s="4">
        <f>COUNTIFS('Acceptance Criteria'!B:B,B70,'Acceptance Criteria'!F:F,"Fail")</f>
        <v>0</v>
      </c>
      <c r="I70" s="4" t="str">
        <f t="shared" si="4"/>
        <v>Linked</v>
      </c>
      <c r="J70" s="5">
        <f t="shared" si="5"/>
        <v>1</v>
      </c>
    </row>
    <row r="71" spans="1:10">
      <c r="A71" s="4" t="s">
        <v>945</v>
      </c>
      <c r="B71" s="4" t="s">
        <v>944</v>
      </c>
      <c r="C71" s="4">
        <v>4</v>
      </c>
      <c r="D71" s="4">
        <f>COUNTIF('Acceptance Criteria'!B:B,B71)</f>
        <v>4</v>
      </c>
      <c r="E71" s="4" t="str">
        <f>VLOOKUP(B71,'User Stories'!A:L,12,FALSE)</f>
        <v>Done</v>
      </c>
      <c r="F71" s="4">
        <f>COUNTIFS('Acceptance Criteria'!B:B,B71,'Acceptance Criteria'!F:F,"&lt;&gt;Not Tested")</f>
        <v>4</v>
      </c>
      <c r="G71" s="4">
        <f>COUNTIFS('Acceptance Criteria'!B:B,B71,'Acceptance Criteria'!F:F,"Pass")</f>
        <v>4</v>
      </c>
      <c r="H71" s="4">
        <f>COUNTIFS('Acceptance Criteria'!B:B,B71,'Acceptance Criteria'!F:F,"Fail")</f>
        <v>0</v>
      </c>
      <c r="I71" s="4" t="str">
        <f t="shared" si="4"/>
        <v>Linked</v>
      </c>
      <c r="J71" s="5">
        <f t="shared" si="5"/>
        <v>1</v>
      </c>
    </row>
    <row r="72" spans="1:10">
      <c r="A72" s="4" t="s">
        <v>945</v>
      </c>
      <c r="B72" s="4" t="s">
        <v>958</v>
      </c>
      <c r="C72" s="4">
        <v>4</v>
      </c>
      <c r="D72" s="4">
        <f>COUNTIF('Acceptance Criteria'!B:B,B72)</f>
        <v>4</v>
      </c>
      <c r="E72" s="4" t="str">
        <f>VLOOKUP(B72,'User Stories'!A:L,12,FALSE)</f>
        <v>Done</v>
      </c>
      <c r="F72" s="4">
        <f>COUNTIFS('Acceptance Criteria'!B:B,B72,'Acceptance Criteria'!F:F,"&lt;&gt;Not Tested")</f>
        <v>4</v>
      </c>
      <c r="G72" s="4">
        <f>COUNTIFS('Acceptance Criteria'!B:B,B72,'Acceptance Criteria'!F:F,"Pass")</f>
        <v>4</v>
      </c>
      <c r="H72" s="4">
        <f>COUNTIFS('Acceptance Criteria'!B:B,B72,'Acceptance Criteria'!F:F,"Fail")</f>
        <v>0</v>
      </c>
      <c r="I72" s="4" t="str">
        <f t="shared" si="4"/>
        <v>Linked</v>
      </c>
      <c r="J72" s="5">
        <f t="shared" si="5"/>
        <v>1</v>
      </c>
    </row>
    <row r="73" spans="1:10">
      <c r="A73" s="4" t="s">
        <v>945</v>
      </c>
      <c r="B73" s="4" t="s">
        <v>971</v>
      </c>
      <c r="C73" s="4">
        <v>4</v>
      </c>
      <c r="D73" s="4">
        <f>COUNTIF('Acceptance Criteria'!B:B,B73)</f>
        <v>4</v>
      </c>
      <c r="E73" s="4" t="str">
        <f>VLOOKUP(B73,'User Stories'!A:L,12,FALSE)</f>
        <v>Done</v>
      </c>
      <c r="F73" s="4">
        <f>COUNTIFS('Acceptance Criteria'!B:B,B73,'Acceptance Criteria'!F:F,"&lt;&gt;Not Tested")</f>
        <v>4</v>
      </c>
      <c r="G73" s="4">
        <f>COUNTIFS('Acceptance Criteria'!B:B,B73,'Acceptance Criteria'!F:F,"Pass")</f>
        <v>4</v>
      </c>
      <c r="H73" s="4">
        <f>COUNTIFS('Acceptance Criteria'!B:B,B73,'Acceptance Criteria'!F:F,"Fail")</f>
        <v>0</v>
      </c>
      <c r="I73" s="4" t="str">
        <f t="shared" si="4"/>
        <v>Linked</v>
      </c>
      <c r="J73" s="5">
        <f t="shared" si="5"/>
        <v>1</v>
      </c>
    </row>
    <row r="74" spans="1:10">
      <c r="A74" s="4" t="s">
        <v>945</v>
      </c>
      <c r="B74" s="4" t="s">
        <v>984</v>
      </c>
      <c r="C74" s="4">
        <v>4</v>
      </c>
      <c r="D74" s="4">
        <f>COUNTIF('Acceptance Criteria'!B:B,B74)</f>
        <v>4</v>
      </c>
      <c r="E74" s="4" t="str">
        <f>VLOOKUP(B74,'User Stories'!A:L,12,FALSE)</f>
        <v>Done</v>
      </c>
      <c r="F74" s="4">
        <f>COUNTIFS('Acceptance Criteria'!B:B,B74,'Acceptance Criteria'!F:F,"&lt;&gt;Not Tested")</f>
        <v>4</v>
      </c>
      <c r="G74" s="4">
        <f>COUNTIFS('Acceptance Criteria'!B:B,B74,'Acceptance Criteria'!F:F,"Pass")</f>
        <v>4</v>
      </c>
      <c r="H74" s="4">
        <f>COUNTIFS('Acceptance Criteria'!B:B,B74,'Acceptance Criteria'!F:F,"Fail")</f>
        <v>0</v>
      </c>
      <c r="I74" s="4" t="str">
        <f t="shared" si="4"/>
        <v>Linked</v>
      </c>
      <c r="J74" s="5">
        <f t="shared" si="5"/>
        <v>1</v>
      </c>
    </row>
    <row r="75" spans="1:10">
      <c r="A75" s="4" t="s">
        <v>945</v>
      </c>
      <c r="B75" s="4" t="s">
        <v>997</v>
      </c>
      <c r="C75" s="4">
        <v>4</v>
      </c>
      <c r="D75" s="4">
        <f>COUNTIF('Acceptance Criteria'!B:B,B75)</f>
        <v>4</v>
      </c>
      <c r="E75" s="4" t="str">
        <f>VLOOKUP(B75,'User Stories'!A:L,12,FALSE)</f>
        <v>Done</v>
      </c>
      <c r="F75" s="4">
        <f>COUNTIFS('Acceptance Criteria'!B:B,B75,'Acceptance Criteria'!F:F,"&lt;&gt;Not Tested")</f>
        <v>4</v>
      </c>
      <c r="G75" s="4">
        <f>COUNTIFS('Acceptance Criteria'!B:B,B75,'Acceptance Criteria'!F:F,"Pass")</f>
        <v>4</v>
      </c>
      <c r="H75" s="4">
        <f>COUNTIFS('Acceptance Criteria'!B:B,B75,'Acceptance Criteria'!F:F,"Fail")</f>
        <v>0</v>
      </c>
      <c r="I75" s="4" t="str">
        <f t="shared" si="4"/>
        <v>Linked</v>
      </c>
      <c r="J75" s="5">
        <f t="shared" si="5"/>
        <v>1</v>
      </c>
    </row>
    <row r="76" spans="1:10">
      <c r="A76" s="4" t="s">
        <v>945</v>
      </c>
      <c r="B76" s="4" t="s">
        <v>1010</v>
      </c>
      <c r="C76" s="4">
        <v>4</v>
      </c>
      <c r="D76" s="4">
        <f>COUNTIF('Acceptance Criteria'!B:B,B76)</f>
        <v>4</v>
      </c>
      <c r="E76" s="4" t="str">
        <f>VLOOKUP(B76,'User Stories'!A:L,12,FALSE)</f>
        <v>Done</v>
      </c>
      <c r="F76" s="4">
        <f>COUNTIFS('Acceptance Criteria'!B:B,B76,'Acceptance Criteria'!F:F,"&lt;&gt;Not Tested")</f>
        <v>4</v>
      </c>
      <c r="G76" s="4">
        <f>COUNTIFS('Acceptance Criteria'!B:B,B76,'Acceptance Criteria'!F:F,"Pass")</f>
        <v>4</v>
      </c>
      <c r="H76" s="4">
        <f>COUNTIFS('Acceptance Criteria'!B:B,B76,'Acceptance Criteria'!F:F,"Fail")</f>
        <v>0</v>
      </c>
      <c r="I76" s="4" t="str">
        <f t="shared" si="4"/>
        <v>Linked</v>
      </c>
      <c r="J76" s="5">
        <f t="shared" si="5"/>
        <v>1</v>
      </c>
    </row>
  </sheetData>
  <conditionalFormatting sqref="I2:I76">
    <cfRule type="expression" dxfId="1" priority="1">
      <formula>I2="Linked"</formula>
    </cfRule>
    <cfRule type="expression" dxfId="0" priority="2">
      <formula>I2="Mismatch"</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
  <sheetViews>
    <sheetView workbookViewId="0"/>
  </sheetViews>
  <sheetFormatPr defaultRowHeight="13.8"/>
  <cols>
    <col min="1" max="1" width="14" customWidth="1"/>
    <col min="2" max="2" width="34" customWidth="1"/>
    <col min="3" max="4" width="14" customWidth="1"/>
    <col min="5" max="5" width="62" customWidth="1"/>
    <col min="6" max="7" width="16" customWidth="1"/>
    <col min="8" max="8" width="32" customWidth="1"/>
    <col min="9" max="9" width="28" customWidth="1"/>
  </cols>
  <sheetData>
    <row r="1" spans="1:9" ht="24" customHeight="1">
      <c r="A1" s="2" t="s">
        <v>1560</v>
      </c>
      <c r="B1" s="2" t="s">
        <v>1561</v>
      </c>
      <c r="C1" s="2" t="s">
        <v>1562</v>
      </c>
      <c r="D1" s="2" t="s">
        <v>1563</v>
      </c>
      <c r="E1" s="2" t="s">
        <v>1564</v>
      </c>
      <c r="F1" s="2" t="s">
        <v>1051</v>
      </c>
      <c r="G1" s="2" t="s">
        <v>1052</v>
      </c>
      <c r="H1" s="2" t="s">
        <v>1565</v>
      </c>
      <c r="I1" s="2" t="s">
        <v>1055</v>
      </c>
    </row>
    <row r="2" spans="1:9" ht="82.8" customHeight="1">
      <c r="A2" s="4" t="s">
        <v>1566</v>
      </c>
      <c r="B2" s="4" t="s">
        <v>1567</v>
      </c>
      <c r="C2" s="4" t="s">
        <v>1568</v>
      </c>
      <c r="D2" s="4" t="s">
        <v>1569</v>
      </c>
      <c r="E2" s="4" t="s">
        <v>1570</v>
      </c>
      <c r="F2" s="4" t="s">
        <v>1058</v>
      </c>
      <c r="G2" s="4" t="s">
        <v>1035</v>
      </c>
      <c r="H2" s="4"/>
      <c r="I2" s="4" t="s">
        <v>1571</v>
      </c>
    </row>
    <row r="3" spans="1:9" ht="138" customHeight="1">
      <c r="A3" s="4" t="s">
        <v>1572</v>
      </c>
      <c r="B3" s="4" t="s">
        <v>1573</v>
      </c>
      <c r="C3" s="4" t="s">
        <v>1569</v>
      </c>
      <c r="D3" s="4" t="s">
        <v>1568</v>
      </c>
      <c r="E3" s="4" t="s">
        <v>1574</v>
      </c>
      <c r="F3" s="4" t="s">
        <v>1058</v>
      </c>
      <c r="G3" s="4" t="s">
        <v>1035</v>
      </c>
      <c r="H3" s="4"/>
      <c r="I3" s="4" t="s">
        <v>1575</v>
      </c>
    </row>
    <row r="4" spans="1:9" ht="55.2" customHeight="1">
      <c r="A4" s="4" t="s">
        <v>1576</v>
      </c>
      <c r="B4" s="4" t="s">
        <v>1577</v>
      </c>
      <c r="C4" s="4" t="s">
        <v>1568</v>
      </c>
      <c r="D4" s="4" t="s">
        <v>1569</v>
      </c>
      <c r="E4" s="4" t="s">
        <v>1578</v>
      </c>
      <c r="F4" s="4" t="s">
        <v>1058</v>
      </c>
      <c r="G4" s="4" t="s">
        <v>1035</v>
      </c>
      <c r="H4" s="4"/>
      <c r="I4" s="4" t="s">
        <v>1579</v>
      </c>
    </row>
    <row r="5" spans="1:9" ht="27.6" customHeight="1">
      <c r="A5" s="4" t="s">
        <v>1580</v>
      </c>
      <c r="B5" s="4" t="s">
        <v>1581</v>
      </c>
      <c r="C5" s="4" t="s">
        <v>1568</v>
      </c>
      <c r="D5" s="4" t="s">
        <v>1569</v>
      </c>
      <c r="E5" s="4" t="s">
        <v>1582</v>
      </c>
      <c r="F5" s="4" t="s">
        <v>1058</v>
      </c>
      <c r="G5" s="4" t="s">
        <v>1035</v>
      </c>
      <c r="H5" s="4"/>
      <c r="I5" s="4" t="s">
        <v>1583</v>
      </c>
    </row>
    <row r="6" spans="1:9" ht="69" customHeight="1">
      <c r="A6" s="4" t="s">
        <v>1584</v>
      </c>
      <c r="B6" s="4" t="s">
        <v>1585</v>
      </c>
      <c r="C6" s="4" t="s">
        <v>1568</v>
      </c>
      <c r="D6" s="4" t="s">
        <v>1586</v>
      </c>
      <c r="E6" s="4" t="s">
        <v>1587</v>
      </c>
      <c r="F6" s="4" t="s">
        <v>1058</v>
      </c>
      <c r="G6" s="4" t="s">
        <v>1035</v>
      </c>
      <c r="H6" s="4"/>
      <c r="I6" s="4" t="s">
        <v>1588</v>
      </c>
    </row>
    <row r="7" spans="1:9" ht="27.6" customHeight="1">
      <c r="A7" s="4" t="s">
        <v>1589</v>
      </c>
      <c r="B7" s="4" t="s">
        <v>1590</v>
      </c>
      <c r="C7" s="4" t="s">
        <v>1568</v>
      </c>
      <c r="D7" s="4" t="s">
        <v>1586</v>
      </c>
      <c r="E7" s="4" t="s">
        <v>1591</v>
      </c>
      <c r="F7" s="4" t="s">
        <v>1058</v>
      </c>
      <c r="G7" s="4" t="s">
        <v>1035</v>
      </c>
      <c r="H7" s="4"/>
      <c r="I7" s="4" t="s">
        <v>1592</v>
      </c>
    </row>
    <row r="8" spans="1:9">
      <c r="A8" t="s">
        <v>1593</v>
      </c>
      <c r="B8" t="s">
        <v>1594</v>
      </c>
      <c r="C8" t="s">
        <v>1586</v>
      </c>
      <c r="D8" t="s">
        <v>1569</v>
      </c>
      <c r="E8" t="s">
        <v>1595</v>
      </c>
      <c r="F8" t="s">
        <v>1058</v>
      </c>
      <c r="G8" t="s">
        <v>1035</v>
      </c>
      <c r="I8" t="s">
        <v>1596</v>
      </c>
    </row>
    <row r="9" spans="1:9">
      <c r="A9" t="s">
        <v>1597</v>
      </c>
      <c r="B9" t="s">
        <v>1598</v>
      </c>
      <c r="C9" t="s">
        <v>1568</v>
      </c>
      <c r="D9" t="s">
        <v>1586</v>
      </c>
      <c r="E9" t="s">
        <v>1599</v>
      </c>
      <c r="F9" t="s">
        <v>1058</v>
      </c>
      <c r="G9" t="s">
        <v>1044</v>
      </c>
      <c r="I9" t="s">
        <v>1600</v>
      </c>
    </row>
    <row r="10" spans="1:9">
      <c r="A10" t="s">
        <v>1601</v>
      </c>
      <c r="B10" t="s">
        <v>1602</v>
      </c>
      <c r="C10" t="s">
        <v>1568</v>
      </c>
      <c r="D10" t="s">
        <v>1568</v>
      </c>
      <c r="E10" t="s">
        <v>1603</v>
      </c>
      <c r="F10" t="s">
        <v>1058</v>
      </c>
      <c r="G10" t="s">
        <v>1044</v>
      </c>
      <c r="H10" t="s">
        <v>1604</v>
      </c>
      <c r="I10" t="s">
        <v>1605</v>
      </c>
    </row>
    <row r="11" spans="1:9">
      <c r="A11" t="s">
        <v>1606</v>
      </c>
      <c r="B11" t="s">
        <v>1607</v>
      </c>
      <c r="C11" t="s">
        <v>1569</v>
      </c>
      <c r="D11" t="s">
        <v>1568</v>
      </c>
      <c r="E11" t="s">
        <v>1608</v>
      </c>
      <c r="F11" t="s">
        <v>1058</v>
      </c>
      <c r="G11" t="s">
        <v>1044</v>
      </c>
      <c r="H11" t="s">
        <v>1609</v>
      </c>
      <c r="I11" t="s">
        <v>1610</v>
      </c>
    </row>
    <row r="12" spans="1:9">
      <c r="A12" t="s">
        <v>1611</v>
      </c>
      <c r="B12" t="s">
        <v>1612</v>
      </c>
      <c r="C12" t="s">
        <v>1586</v>
      </c>
      <c r="D12" t="s">
        <v>1586</v>
      </c>
      <c r="E12" t="s">
        <v>1613</v>
      </c>
      <c r="F12" t="s">
        <v>1058</v>
      </c>
      <c r="G12" t="s">
        <v>1044</v>
      </c>
      <c r="I12" t="s">
        <v>1614</v>
      </c>
    </row>
    <row r="13" spans="1:9">
      <c r="A13" t="s">
        <v>1615</v>
      </c>
      <c r="B13" t="s">
        <v>1616</v>
      </c>
      <c r="C13" t="s">
        <v>1569</v>
      </c>
      <c r="D13" t="s">
        <v>1569</v>
      </c>
      <c r="E13" t="s">
        <v>1617</v>
      </c>
      <c r="F13" t="s">
        <v>1058</v>
      </c>
      <c r="G13" t="s">
        <v>1044</v>
      </c>
      <c r="H13" t="s">
        <v>1618</v>
      </c>
      <c r="I13" t="s">
        <v>1619</v>
      </c>
    </row>
    <row r="14" spans="1:9">
      <c r="A14" t="s">
        <v>1620</v>
      </c>
      <c r="B14" t="s">
        <v>1621</v>
      </c>
      <c r="C14" t="s">
        <v>1586</v>
      </c>
      <c r="D14" t="s">
        <v>1569</v>
      </c>
      <c r="E14" t="s">
        <v>1622</v>
      </c>
      <c r="F14" t="s">
        <v>1058</v>
      </c>
      <c r="G14" t="s">
        <v>1044</v>
      </c>
      <c r="I14" t="s">
        <v>1623</v>
      </c>
    </row>
    <row r="15" spans="1:9">
      <c r="A15" t="s">
        <v>1624</v>
      </c>
      <c r="B15" t="s">
        <v>1625</v>
      </c>
      <c r="C15" t="s">
        <v>1568</v>
      </c>
      <c r="D15" t="s">
        <v>1586</v>
      </c>
      <c r="E15" t="s">
        <v>1626</v>
      </c>
      <c r="F15" t="s">
        <v>1058</v>
      </c>
      <c r="G15" t="s">
        <v>1044</v>
      </c>
      <c r="H15" t="s">
        <v>1627</v>
      </c>
      <c r="I15" t="s">
        <v>1628</v>
      </c>
    </row>
    <row r="16" spans="1:9">
      <c r="A16" t="s">
        <v>1629</v>
      </c>
      <c r="B16" t="s">
        <v>1630</v>
      </c>
      <c r="C16" t="s">
        <v>1569</v>
      </c>
      <c r="D16" t="s">
        <v>1586</v>
      </c>
      <c r="E16" t="s">
        <v>1631</v>
      </c>
      <c r="F16" t="s">
        <v>1058</v>
      </c>
      <c r="G16" t="s">
        <v>1044</v>
      </c>
      <c r="H16" t="s">
        <v>1632</v>
      </c>
      <c r="I16" t="s">
        <v>1633</v>
      </c>
    </row>
    <row r="17" spans="1:9">
      <c r="A17" t="s">
        <v>1634</v>
      </c>
      <c r="B17" t="s">
        <v>1635</v>
      </c>
      <c r="C17" t="s">
        <v>1586</v>
      </c>
      <c r="D17" t="s">
        <v>1569</v>
      </c>
      <c r="E17" t="s">
        <v>1636</v>
      </c>
      <c r="F17" t="s">
        <v>1058</v>
      </c>
      <c r="G17" t="s">
        <v>1044</v>
      </c>
      <c r="H17" t="s">
        <v>1637</v>
      </c>
      <c r="I17" t="s">
        <v>1638</v>
      </c>
    </row>
    <row r="18" spans="1:9">
      <c r="A18" t="s">
        <v>1639</v>
      </c>
      <c r="B18" t="s">
        <v>1640</v>
      </c>
      <c r="C18" t="s">
        <v>1569</v>
      </c>
      <c r="D18" t="s">
        <v>1568</v>
      </c>
      <c r="E18" t="s">
        <v>1641</v>
      </c>
      <c r="F18" t="s">
        <v>1058</v>
      </c>
      <c r="G18" t="s">
        <v>1044</v>
      </c>
      <c r="H18" t="s">
        <v>1642</v>
      </c>
      <c r="I18" t="s">
        <v>1643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
  <sheetViews>
    <sheetView workbookViewId="0"/>
  </sheetViews>
  <sheetFormatPr defaultRowHeight="13.8"/>
  <cols>
    <col min="1" max="1" width="12" customWidth="1"/>
    <col min="2" max="2" width="38" customWidth="1"/>
    <col min="3" max="3" width="52" customWidth="1"/>
    <col min="4" max="4" width="46" customWidth="1"/>
    <col min="5" max="5" width="52" customWidth="1"/>
    <col min="6" max="6" width="16" customWidth="1"/>
  </cols>
  <sheetData>
    <row r="1" spans="1:6" ht="24" customHeight="1">
      <c r="A1" s="2" t="s">
        <v>1024</v>
      </c>
      <c r="B1" s="2" t="s">
        <v>1644</v>
      </c>
      <c r="C1" s="2" t="s">
        <v>1645</v>
      </c>
      <c r="D1" s="2" t="s">
        <v>1646</v>
      </c>
      <c r="E1" s="2" t="s">
        <v>1647</v>
      </c>
      <c r="F1" s="2" t="s">
        <v>1052</v>
      </c>
    </row>
    <row r="2" spans="1:6" ht="27.6" customHeight="1">
      <c r="A2" s="4" t="s">
        <v>1029</v>
      </c>
      <c r="B2" s="4" t="s">
        <v>1648</v>
      </c>
      <c r="C2" s="4" t="s">
        <v>1649</v>
      </c>
      <c r="D2" s="4" t="s">
        <v>1650</v>
      </c>
      <c r="E2" s="4" t="s">
        <v>1651</v>
      </c>
      <c r="F2" s="4" t="s">
        <v>1032</v>
      </c>
    </row>
    <row r="3" spans="1:6" ht="27.6" customHeight="1">
      <c r="A3" s="4" t="s">
        <v>1034</v>
      </c>
      <c r="B3" s="4" t="s">
        <v>1652</v>
      </c>
      <c r="C3" s="4" t="s">
        <v>1653</v>
      </c>
      <c r="D3" s="4" t="s">
        <v>1654</v>
      </c>
      <c r="E3" s="4" t="s">
        <v>1655</v>
      </c>
      <c r="F3" s="4" t="s">
        <v>1027</v>
      </c>
    </row>
    <row r="4" spans="1:6" ht="27.6" customHeight="1">
      <c r="A4" s="4" t="s">
        <v>1039</v>
      </c>
      <c r="B4" s="4" t="s">
        <v>1656</v>
      </c>
      <c r="C4" s="4" t="s">
        <v>1657</v>
      </c>
      <c r="D4" s="4" t="s">
        <v>1658</v>
      </c>
      <c r="E4" s="4" t="s">
        <v>1659</v>
      </c>
      <c r="F4" s="4" t="s">
        <v>1660</v>
      </c>
    </row>
  </sheetData>
  <dataValidations count="1">
    <dataValidation type="list" sqref="F2:F4" xr:uid="{00000000-0002-0000-0900-000000000000}">
      <formula1>"Planned,In Progress,Ready,Released"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heetViews>
  <sheetFormatPr defaultRowHeight="13.8"/>
  <cols>
    <col min="1" max="1" width="26" customWidth="1"/>
    <col min="2" max="2" width="15" customWidth="1"/>
    <col min="4" max="4" width="20" customWidth="1"/>
    <col min="5" max="5" width="12" customWidth="1"/>
    <col min="7" max="7" width="14" customWidth="1"/>
    <col min="8" max="8" width="12" customWidth="1"/>
  </cols>
  <sheetData>
    <row r="1" spans="1:8" ht="21" customHeight="1">
      <c r="A1" s="7" t="s">
        <v>1661</v>
      </c>
      <c r="B1" s="8"/>
      <c r="C1" s="8"/>
      <c r="D1" s="8"/>
      <c r="E1" s="8"/>
      <c r="F1" s="8"/>
      <c r="G1" s="8"/>
      <c r="H1" s="8"/>
    </row>
    <row r="3" spans="1:8" ht="24" customHeight="1">
      <c r="A3" s="2" t="s">
        <v>1662</v>
      </c>
      <c r="B3" s="2" t="s">
        <v>1663</v>
      </c>
      <c r="D3" s="2" t="s">
        <v>1022</v>
      </c>
      <c r="E3" s="2" t="s">
        <v>1664</v>
      </c>
      <c r="G3" s="2" t="s">
        <v>1024</v>
      </c>
      <c r="H3" s="2" t="s">
        <v>1665</v>
      </c>
    </row>
    <row r="4" spans="1:8">
      <c r="A4" s="4" t="s">
        <v>1666</v>
      </c>
      <c r="B4" s="4">
        <v>12</v>
      </c>
      <c r="D4" s="4" t="s">
        <v>1027</v>
      </c>
      <c r="E4" s="4">
        <f>COUNTIF('User Stories'!L:L,"Not Started")</f>
        <v>0</v>
      </c>
      <c r="G4" s="4" t="s">
        <v>1029</v>
      </c>
      <c r="H4" s="4">
        <f>COUNTIF('User Stories'!J:J,"MVP")</f>
        <v>71</v>
      </c>
    </row>
    <row r="5" spans="1:8">
      <c r="A5" s="4" t="s">
        <v>1667</v>
      </c>
      <c r="B5" s="4">
        <v>75</v>
      </c>
      <c r="D5" s="4" t="s">
        <v>1032</v>
      </c>
      <c r="E5" s="4">
        <f>COUNTIF('User Stories'!L:L,"In Progress")</f>
        <v>0</v>
      </c>
      <c r="G5" s="4" t="s">
        <v>1034</v>
      </c>
      <c r="H5" s="4">
        <f>COUNTIF('User Stories'!J:J,"R1")</f>
        <v>4</v>
      </c>
    </row>
    <row r="6" spans="1:8">
      <c r="A6" s="4" t="s">
        <v>1668</v>
      </c>
      <c r="B6" s="4">
        <v>300</v>
      </c>
      <c r="D6" s="4" t="s">
        <v>1043</v>
      </c>
      <c r="E6" s="4">
        <f>COUNTIF('User Stories'!L:L,"In Review")</f>
        <v>0</v>
      </c>
      <c r="G6" s="4" t="s">
        <v>1039</v>
      </c>
      <c r="H6" s="4">
        <f>COUNTIF('User Stories'!J:J,"Later")</f>
        <v>0</v>
      </c>
    </row>
    <row r="7" spans="1:8">
      <c r="A7" s="4" t="s">
        <v>1669</v>
      </c>
      <c r="B7" s="4">
        <v>16</v>
      </c>
      <c r="D7" s="4" t="s">
        <v>1037</v>
      </c>
      <c r="E7" s="4">
        <f>COUNTIF('User Stories'!L:L,"Blocked")</f>
        <v>0</v>
      </c>
    </row>
    <row r="8" spans="1:8">
      <c r="A8" s="4" t="s">
        <v>1670</v>
      </c>
      <c r="B8" s="4">
        <v>14</v>
      </c>
      <c r="D8" s="4" t="s">
        <v>1045</v>
      </c>
      <c r="E8" s="4">
        <f>COUNTIF('User Stories'!L:L,"Done")</f>
        <v>75</v>
      </c>
    </row>
    <row r="9" spans="1:8">
      <c r="A9" s="4" t="s">
        <v>1671</v>
      </c>
      <c r="B9" s="4">
        <v>20</v>
      </c>
      <c r="D9" s="4" t="s">
        <v>1047</v>
      </c>
      <c r="E9" s="4">
        <f>COUNTIF('User Stories'!L:L,"Deferred")</f>
        <v>0</v>
      </c>
    </row>
    <row r="12" spans="1:8" ht="24" customHeight="1">
      <c r="A12" s="2" t="s">
        <v>1672</v>
      </c>
      <c r="B12" s="2" t="s">
        <v>1663</v>
      </c>
    </row>
    <row r="13" spans="1:8">
      <c r="A13" s="4" t="s">
        <v>1673</v>
      </c>
      <c r="B13" s="6">
        <f>IFERROR(COUNTIF('User Stories'!L:L,"Done")/(COUNTA('User Stories'!A:A)-1),0)</f>
        <v>1</v>
      </c>
    </row>
    <row r="14" spans="1:8">
      <c r="A14" s="4" t="s">
        <v>1674</v>
      </c>
      <c r="B14" s="6">
        <f>IFERROR(COUNTIF('Acceptance Criteria'!F:F,"Pass")/(COUNTA('Acceptance Criteria'!A:A)-1),0)</f>
        <v>1</v>
      </c>
    </row>
    <row r="15" spans="1:8">
      <c r="A15" s="4" t="s">
        <v>1557</v>
      </c>
      <c r="B15" s="4">
        <f>COUNTIF('Acceptance Criteria'!F:F,"Fail")</f>
        <v>0</v>
      </c>
    </row>
    <row r="16" spans="1:8">
      <c r="A16" s="4" t="s">
        <v>1675</v>
      </c>
      <c r="B16" s="4">
        <f>COUNTIF('User Stories'!L:L,"Blocked")</f>
        <v>0</v>
      </c>
    </row>
    <row r="17" spans="1:2">
      <c r="A17" s="4" t="s">
        <v>1676</v>
      </c>
      <c r="B17" s="6">
        <f>IFERROR(COUNTIF(Traceability!I:I,"Linked")/(COUNTA(Traceability!B:B)-1),0)</f>
        <v>1</v>
      </c>
    </row>
    <row r="18" spans="1:2">
      <c r="A18" s="4" t="s">
        <v>1677</v>
      </c>
      <c r="B18" s="4">
        <f>COUNTIF('Risks &amp; Decisions'!G:G,"Open")</f>
        <v>0</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Lists</vt:lpstr>
      <vt:lpstr>Epics</vt:lpstr>
      <vt:lpstr>User Stories</vt:lpstr>
      <vt:lpstr>Acceptance Criteria</vt:lpstr>
      <vt:lpstr>NFR &amp; Business Rules</vt:lpstr>
      <vt:lpstr>Technology Stack</vt:lpstr>
      <vt:lpstr>Screen Catalogue</vt:lpstr>
      <vt:lpstr>Traceability</vt:lpstr>
      <vt:lpstr>Risks &amp; Decisions</vt:lpstr>
      <vt:lpstr>Release Plan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AMAAN FAIZ</cp:lastModifiedBy>
  <dcterms:created xsi:type="dcterms:W3CDTF">2026-09-07T16:47:18Z</dcterms:created>
  <dcterms:modified xsi:type="dcterms:W3CDTF">2026-09-12T23:03:54Z</dcterms:modified>
</cp:coreProperties>
</file>