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600" firstSheet="0" activeTab="3" autoFilterDateGrouping="1"/>
  </bookViews>
  <sheets>
    <sheet xmlns:r="http://schemas.openxmlformats.org/officeDocument/2006/relationships" name="Lists" sheetId="1" state="visible" r:id="rId1"/>
    <sheet xmlns:r="http://schemas.openxmlformats.org/officeDocument/2006/relationships" name="Epics" sheetId="2" state="visible" r:id="rId2"/>
    <sheet xmlns:r="http://schemas.openxmlformats.org/officeDocument/2006/relationships" name="User Stories" sheetId="3" state="visible" r:id="rId3"/>
    <sheet xmlns:r="http://schemas.openxmlformats.org/officeDocument/2006/relationships" name="Acceptance Criteria" sheetId="4" state="visible" r:id="rId4"/>
    <sheet xmlns:r="http://schemas.openxmlformats.org/officeDocument/2006/relationships" name="NFR &amp; Business Rules" sheetId="5" state="visible" r:id="rId5"/>
    <sheet xmlns:r="http://schemas.openxmlformats.org/officeDocument/2006/relationships" name="Technology Stack" sheetId="6" state="visible" r:id="rId6"/>
    <sheet xmlns:r="http://schemas.openxmlformats.org/officeDocument/2006/relationships" name="Screen Catalogue" sheetId="7" state="visible" r:id="rId7"/>
    <sheet xmlns:r="http://schemas.openxmlformats.org/officeDocument/2006/relationships" name="Traceability" sheetId="8" state="visible" r:id="rId8"/>
    <sheet xmlns:r="http://schemas.openxmlformats.org/officeDocument/2006/relationships" name="Risks &amp; Decisions" sheetId="9" state="visible" r:id="rId9"/>
    <sheet xmlns:r="http://schemas.openxmlformats.org/officeDocument/2006/relationships" name="Release Plan" sheetId="10" state="visible" r:id="rId10"/>
    <sheet xmlns:r="http://schemas.openxmlformats.org/officeDocument/2006/relationships" name="Dashboard" sheetId="11" state="visible" r:id="rId11"/>
  </sheets>
  <definedNames/>
  <calcPr calcId="191029" fullCalcOnLoad="1"/>
</workbook>
</file>

<file path=xl/styles.xml><?xml version="1.0" encoding="utf-8"?>
<styleSheet xmlns="http://schemas.openxmlformats.org/spreadsheetml/2006/main">
  <numFmts count="1">
    <numFmt numFmtId="164" formatCode="0.0%"/>
  </numFmts>
  <fonts count="3">
    <font>
      <name val="Carlito"/>
      <sz val="11"/>
    </font>
    <font>
      <name val="Carlito"/>
      <b val="1"/>
      <color rgb="FFFFFFFF"/>
      <sz val="11"/>
    </font>
    <font>
      <name val="Carlito"/>
      <b val="1"/>
      <color rgb="FFFFFFFF"/>
      <sz val="16"/>
    </font>
  </fonts>
  <fills count="4">
    <fill>
      <patternFill/>
    </fill>
    <fill>
      <patternFill patternType="gray125"/>
    </fill>
    <fill>
      <patternFill patternType="solid">
        <fgColor rgb="FF17365D"/>
      </patternFill>
    </fill>
    <fill>
      <patternFill patternType="solid">
        <fgColor rgb="FF1F4E79"/>
      </patternFill>
    </fill>
  </fills>
  <borders count="2">
    <border>
      <left/>
      <right/>
      <top/>
      <bottom/>
      <diagonal/>
    </border>
    <border>
      <left/>
      <right/>
      <top/>
      <bottom/>
      <diagonal/>
    </border>
  </borders>
  <cellStyleXfs count="1">
    <xf numFmtId="0" fontId="0" fillId="0" borderId="1"/>
  </cellStyleXfs>
  <cellXfs count="9">
    <xf numFmtId="0" fontId="0" fillId="0" borderId="0" pivotButton="0" quotePrefix="0" xfId="0"/>
    <xf numFmtId="0" fontId="1" fillId="2" borderId="0" applyAlignment="1" pivotButton="0" quotePrefix="0" xfId="0">
      <alignment horizontal="center"/>
    </xf>
    <xf numFmtId="0" fontId="1" fillId="2" borderId="0" applyAlignment="1" pivotButton="0" quotePrefix="0" xfId="0">
      <alignment horizontal="center" vertical="center"/>
    </xf>
    <xf numFmtId="0" fontId="0" fillId="0" borderId="0" applyAlignment="1" pivotButton="0" quotePrefix="0" xfId="0">
      <alignment wrapText="1"/>
    </xf>
    <xf numFmtId="0" fontId="0" fillId="0" borderId="0" applyAlignment="1" pivotButton="0" quotePrefix="0" xfId="0">
      <alignment vertical="top" wrapText="1"/>
    </xf>
    <xf numFmtId="9" fontId="0" fillId="0" borderId="0" applyAlignment="1" pivotButton="0" quotePrefix="0" xfId="0">
      <alignment vertical="top" wrapText="1"/>
    </xf>
    <xf numFmtId="164" fontId="0" fillId="0" borderId="0" applyAlignment="1" pivotButton="0" quotePrefix="0" xfId="0">
      <alignment vertical="top" wrapText="1"/>
    </xf>
    <xf numFmtId="0" fontId="2" fillId="3" borderId="1" applyAlignment="1" pivotButton="0" quotePrefix="0" xfId="0">
      <alignment vertical="center"/>
    </xf>
    <xf numFmtId="0" fontId="0" fillId="0" borderId="1" pivotButton="0" quotePrefix="0" xfId="0"/>
  </cellXfs>
  <cellStyles count="1">
    <cellStyle name="Normal" xfId="0" builtinId="0"/>
  </cellStyles>
  <dxfs count="21">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fill>
        <patternFill patternType="solid">
          <bgColor rgb="FFF4CCCC"/>
        </patternFill>
      </fill>
    </dxf>
    <dxf>
      <fill>
        <patternFill patternType="solid">
          <bgColor rgb="FFD9EAD3"/>
        </patternFill>
      </fill>
    </dxf>
    <dxf>
      <fill>
        <patternFill patternType="solid">
          <bgColor rgb="FFF4CCCC"/>
        </patternFill>
      </fill>
    </dxf>
    <dxf>
      <fill>
        <patternFill patternType="solid">
          <bgColor rgb="FFD9EAD3"/>
        </patternFill>
      </fill>
    </dxf>
    <dxf>
      <fill>
        <patternFill patternType="solid">
          <bgColor rgb="FFFFF2CC"/>
        </patternFill>
      </fill>
    </dxf>
    <dxf>
      <fill>
        <patternFill patternType="solid">
          <bgColor rgb="FFF4CCCC"/>
        </patternFill>
      </fill>
    </dxf>
    <dxf>
      <fill>
        <patternFill patternType="solid">
          <bgColor rgb="FFD9EAD3"/>
        </patternFill>
      </fill>
    </dxf>
    <dxf>
      <fill>
        <patternFill patternType="solid">
          <bgColor rgb="FFF4CCCC"/>
        </patternFill>
      </fill>
    </dxf>
    <dxf>
      <fill>
        <patternFill patternType="solid">
          <bgColor rgb="FFD9EAD3"/>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t>User Story Status</a:t>
            </a:r>
          </a:p>
        </rich>
      </tx>
      <overlay val="1"/>
    </title>
    <plotArea>
      <layout/>
      <barChart>
        <barDir val="col"/>
        <grouping val="clustered"/>
        <varyColors val="0"/>
        <ser>
          <idx val="0"/>
          <order val="0"/>
          <tx>
            <v>Count</v>
          </tx>
          <spPr>
            <a:ln xmlns:a="http://schemas.openxmlformats.org/drawingml/2006/main">
              <a:prstDash val="solid"/>
            </a:ln>
          </spPr>
          <invertIfNegative val="1"/>
          <cat>
            <strRef>
              <f>Dashboard!$D$4:$D$9</f>
              <strCache>
                <ptCount val="6"/>
                <pt idx="0">
                  <v>Not Started</v>
                </pt>
                <pt idx="1">
                  <v>In Progress</v>
                </pt>
                <pt idx="2">
                  <v>In Review</v>
                </pt>
                <pt idx="3">
                  <v>Blocked</v>
                </pt>
                <pt idx="4">
                  <v>Done</v>
                </pt>
                <pt idx="5">
                  <v>Deferred</v>
                </pt>
              </strCache>
            </strRef>
          </cat>
          <val>
            <numRef>
              <f>Dashboard!$E$4:$E$9</f>
              <numCache>
                <formatCode>General</formatCode>
                <ptCount val="6"/>
                <pt idx="0">
                  <v>0</v>
                </pt>
                <pt idx="1">
                  <v>0</v>
                </pt>
                <pt idx="2">
                  <v>0</v>
                </pt>
                <pt idx="3">
                  <v>0</v>
                </pt>
                <pt idx="4">
                  <v>75</v>
                </pt>
                <pt idx="5">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0"/>
        <majorTickMark val="none"/>
        <minorTickMark val="none"/>
        <tickLblPos val="nextTo"/>
        <crossAx val="48672768"/>
        <crosses val="autoZero"/>
        <auto val="1"/>
        <lblAlgn val="ctr"/>
        <lblOffset val="100"/>
        <noMultiLvlLbl val="0"/>
      </catAx>
      <valAx>
        <axId val="48672768"/>
        <scaling>
          <orientation val="minMax"/>
        </scaling>
        <delete val="0"/>
        <axPos val="l"/>
        <majorGridlines>
          <spPr>
            <a:ln xmlns:a="http://schemas.openxmlformats.org/drawingml/2006/mai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xmlns:a="http://schemas.openxmlformats.org/drawingml/2006/main" w="9525">
      <a:solidFill>
        <a:srgbClr val="D9D9D9"/>
      </a:solidFill>
      <a:prstDash val="solid"/>
    </a:ln>
  </spPr>
</chartSpace>
</file>

<file path=xl/charts/chart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t>Stories by Release</a:t>
            </a:r>
          </a:p>
        </rich>
      </tx>
      <overlay val="1"/>
    </title>
    <plotArea>
      <layout/>
      <barChart>
        <barDir val="col"/>
        <grouping val="clustered"/>
        <varyColors val="0"/>
        <ser>
          <idx val="0"/>
          <order val="0"/>
          <tx>
            <v>Stories</v>
          </tx>
          <spPr>
            <a:ln xmlns:a="http://schemas.openxmlformats.org/drawingml/2006/main">
              <a:prstDash val="solid"/>
            </a:ln>
          </spPr>
          <invertIfNegative val="1"/>
          <cat>
            <strRef>
              <f>Dashboard!$G$4:$G$6</f>
              <strCache>
                <ptCount val="3"/>
                <pt idx="0">
                  <v>MVP</v>
                </pt>
                <pt idx="1">
                  <v>R1</v>
                </pt>
                <pt idx="2">
                  <v>Later</v>
                </pt>
              </strCache>
            </strRef>
          </cat>
          <val>
            <numRef>
              <f>Dashboard!$H$4:$H$6</f>
              <numCache>
                <formatCode>General</formatCode>
                <ptCount val="3"/>
                <pt idx="0">
                  <v>71</v>
                </pt>
                <pt idx="1">
                  <v>4</v>
                </pt>
                <pt idx="2">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0"/>
        <majorTickMark val="none"/>
        <minorTickMark val="none"/>
        <tickLblPos val="nextTo"/>
        <crossAx val="48672768"/>
        <crosses val="autoZero"/>
        <auto val="1"/>
        <lblAlgn val="ctr"/>
        <lblOffset val="100"/>
        <noMultiLvlLbl val="0"/>
      </catAx>
      <valAx>
        <axId val="48672768"/>
        <scaling>
          <orientation val="minMax"/>
        </scaling>
        <delete val="0"/>
        <axPos val="l"/>
        <majorGridlines>
          <spPr>
            <a:ln xmlns:a="http://schemas.openxmlformats.org/drawingml/2006/mai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xmlns:a="http://schemas.openxmlformats.org/drawingml/2006/mai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twoCellAnchor>
    <from>
      <col>3</col>
      <colOff>0</colOff>
      <row>11</row>
      <rowOff>0</rowOff>
    </from>
    <to>
      <col>8</col>
      <colOff>0</colOff>
      <row>26</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9</col>
      <colOff>0</colOff>
      <row>2</row>
      <rowOff>0</rowOff>
    </from>
    <to>
      <col>14</col>
      <colOff>0</colOff>
      <row>16</row>
      <rowOff>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tables/table1.xml><?xml version="1.0" encoding="utf-8"?>
<table xmlns="http://schemas.openxmlformats.org/spreadsheetml/2006/main" id="1" name="EpicsTable" displayName="EpicsTable" ref="A1:J13" headerRowCount="1" totalsRowShown="0">
  <tableColumns count="10">
    <tableColumn id="1" name="Epic ID"/>
    <tableColumn id="2" name="Epic Name"/>
    <tableColumn id="3" name="Description"/>
    <tableColumn id="4" name="Priority"/>
    <tableColumn id="5" name="Release"/>
    <tableColumn id="6" name="Owner"/>
    <tableColumn id="7" name="Status"/>
    <tableColumn id="8" name="Target Sprint"/>
    <tableColumn id="9" name="% Complete"/>
    <tableColumn id="10" name="Notes"/>
  </tableColumns>
  <tableStyleInfo name="TableStyleMedium2" showFirstColumn="0" showLastColumn="0" showRowStripes="1" showColumnStripes="0"/>
</table>
</file>

<file path=xl/tables/table2.xml><?xml version="1.0" encoding="utf-8"?>
<table xmlns="http://schemas.openxmlformats.org/spreadsheetml/2006/main" id="2" name="UserStoriesTable" displayName="UserStoriesTable" ref="A1:O76" headerRowCount="1" totalsRowShown="0">
  <tableColumns count="15">
    <tableColumn id="1" name="Story ID"/>
    <tableColumn id="2" name="Epic ID"/>
    <tableColumn id="3" name="Title"/>
    <tableColumn id="4" name="Persona"/>
    <tableColumn id="5" name="User Story"/>
    <tableColumn id="6" name="AC Count"/>
    <tableColumn id="7" name="Dependencies"/>
    <tableColumn id="8" name="Owner"/>
    <tableColumn id="9" name="Priority"/>
    <tableColumn id="10" name="Release"/>
    <tableColumn id="11" name="Sprint"/>
    <tableColumn id="12" name="Status"/>
    <tableColumn id="13" name="Estimate Points"/>
    <tableColumn id="14" name="Dev Notes"/>
    <tableColumn id="15" name="QA Notes"/>
  </tableColumns>
  <tableStyleInfo name="TableStyleMedium2" showFirstColumn="0" showLastColumn="0" showRowStripes="1" showColumnStripes="0"/>
</table>
</file>

<file path=xl/tables/table3.xml><?xml version="1.0" encoding="utf-8"?>
<table xmlns="http://schemas.openxmlformats.org/spreadsheetml/2006/main" id="3" name="AcceptanceCriteriaTable" displayName="AcceptanceCriteriaTable" ref="A1:K301" headerRowCount="1" totalsRowShown="0" dataDxfId="0">
  <tableColumns count="11">
    <tableColumn id="1" name="AC ID" dataDxfId="11"/>
    <tableColumn id="2" name="Story ID" dataDxfId="10"/>
    <tableColumn id="3" name="Epic ID" dataDxfId="9"/>
    <tableColumn id="4" name="Acceptance Criterion" dataDxfId="8"/>
    <tableColumn id="5" name="Test Case ID" dataDxfId="7"/>
    <tableColumn id="6" name="Test Status" dataDxfId="6"/>
    <tableColumn id="7" name="Evidence / Link" dataDxfId="5"/>
    <tableColumn id="8" name="Defect ID" dataDxfId="4"/>
    <tableColumn id="9" name="Tester" dataDxfId="3"/>
    <tableColumn id="10" name="Test Cycle" dataDxfId="2"/>
    <tableColumn id="11" name="Comments" dataDxfId="1"/>
  </tableColumns>
  <tableStyleInfo name="TableStyleMedium2" showFirstColumn="0" showLastColumn="0" showRowStripes="1" showColumnStripes="0"/>
</table>
</file>

<file path=xl/tables/table4.xml><?xml version="1.0" encoding="utf-8"?>
<table xmlns="http://schemas.openxmlformats.org/spreadsheetml/2006/main" id="4" name="TechnologyStackTable" displayName="TechnologyStackTable" ref="A1:C19" headerRowCount="1" totalsRowShown="0">
  <tableColumns count="3">
    <tableColumn id="1" name="Layer"/>
    <tableColumn id="2" name="Recommended Technology"/>
    <tableColumn id="3" name="Reason / Implementation Guidance"/>
  </tableColumns>
  <tableStyleInfo name="TableStyleMedium2" showFirstColumn="0" showLastColumn="0" showRowStripes="1" showColumnStripes="0"/>
</table>
</file>

<file path=xl/tables/table5.xml><?xml version="1.0" encoding="utf-8"?>
<table xmlns="http://schemas.openxmlformats.org/spreadsheetml/2006/main" id="5" name="ScreensTable" displayName="ScreensTable" ref="A1:C21" headerRowCount="1" totalsRowShown="0">
  <tableColumns count="3">
    <tableColumn id="1" name="Screen ID"/>
    <tableColumn id="2" name="Screen"/>
    <tableColumn id="3" name="Delivery Status"/>
  </tableColumns>
  <tableStyleInfo name="TableStyleMedium2" showFirstColumn="0" showLastColumn="0" showRowStripes="1" showColumnStripes="0"/>
</table>
</file>

<file path=xl/tables/table6.xml><?xml version="1.0" encoding="utf-8"?>
<table xmlns="http://schemas.openxmlformats.org/spreadsheetml/2006/main" id="6" name="TraceabilityTable" displayName="TraceabilityTable" ref="A1:J76" headerRowCount="1" totalsRowShown="0">
  <tableColumns count="10">
    <tableColumn id="1" name="Epic ID"/>
    <tableColumn id="2" name="Story ID"/>
    <tableColumn id="3" name="SRS AC Count"/>
    <tableColumn id="4" name="Tracker AC Count"/>
    <tableColumn id="5" name="Story Status"/>
    <tableColumn id="6" name="AC Tested"/>
    <tableColumn id="7" name="AC Passed"/>
    <tableColumn id="8" name="AC Failed"/>
    <tableColumn id="9" name="Traceability"/>
    <tableColumn id="10" name="QA Completion %"/>
  </tableColumns>
  <tableStyleInfo name="TableStyleMedium2" showFirstColumn="0" showLastColumn="0" showRowStripes="1" showColumnStripes="0"/>
</table>
</file>

<file path=xl/tables/table7.xml><?xml version="1.0" encoding="utf-8"?>
<table xmlns="http://schemas.openxmlformats.org/spreadsheetml/2006/main" id="7" name="RisksTable" displayName="RisksTable" ref="A1:I7" headerRowCount="1" totalsRowShown="0">
  <tableColumns count="9">
    <tableColumn id="1" name="Risk ID"/>
    <tableColumn id="2" name="Risk"/>
    <tableColumn id="3" name="Impact"/>
    <tableColumn id="4" name="Likelihood"/>
    <tableColumn id="5" name="Mitigation"/>
    <tableColumn id="6" name="Owner"/>
    <tableColumn id="7" name="Status"/>
    <tableColumn id="8" name="Decision / Dependency"/>
    <tableColumn id="9" name="Note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4.xml.rels><Relationships xmlns="http://schemas.openxmlformats.org/package/2006/relationships"><Relationship Type="http://schemas.openxmlformats.org/officeDocument/2006/relationships/table" Target="/xl/tables/table3.xml" Id="rId1"/></Relationships>
</file>

<file path=xl/worksheets/_rels/sheet6.xml.rels><Relationships xmlns="http://schemas.openxmlformats.org/package/2006/relationships"><Relationship Type="http://schemas.openxmlformats.org/officeDocument/2006/relationships/table" Target="/xl/tables/table4.xml" Id="rId1"/></Relationships>
</file>

<file path=xl/worksheets/_rels/sheet7.xml.rels><Relationships xmlns="http://schemas.openxmlformats.org/package/2006/relationships"><Relationship Type="http://schemas.openxmlformats.org/officeDocument/2006/relationships/table" Target="/xl/tables/table5.xml" Id="rId1"/></Relationships>
</file>

<file path=xl/worksheets/_rels/sheet8.xml.rels><Relationships xmlns="http://schemas.openxmlformats.org/package/2006/relationships"><Relationship Type="http://schemas.openxmlformats.org/officeDocument/2006/relationships/table" Target="/xl/tables/table6.xml" Id="rId1"/></Relationships>
</file>

<file path=xl/worksheets/_rels/sheet9.xml.rels><Relationships xmlns="http://schemas.openxmlformats.org/package/2006/relationships"><Relationship Type="http://schemas.openxmlformats.org/officeDocument/2006/relationships/table" Target="/xl/tables/table7.xml" Id="rId1"/></Relationships>
</file>

<file path=xl/worksheets/_rels/sheet1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3.8"/>
  <cols>
    <col width="18" customWidth="1" min="1" max="6"/>
  </cols>
  <sheetData>
    <row r="1" ht="24" customHeight="1">
      <c r="A1" s="2" t="inlineStr">
        <is>
          <t>Story Status</t>
        </is>
      </c>
      <c r="B1" s="2" t="inlineStr">
        <is>
          <t>Priority</t>
        </is>
      </c>
      <c r="C1" s="2" t="inlineStr">
        <is>
          <t>Release</t>
        </is>
      </c>
      <c r="D1" s="2" t="inlineStr">
        <is>
          <t>AC Status</t>
        </is>
      </c>
      <c r="E1" s="2" t="inlineStr">
        <is>
          <t>Risk Status</t>
        </is>
      </c>
      <c r="F1" s="2" t="inlineStr">
        <is>
          <t>Test Cycle</t>
        </is>
      </c>
    </row>
    <row r="2">
      <c r="A2" s="4" t="inlineStr">
        <is>
          <t>Not Started</t>
        </is>
      </c>
      <c r="B2" s="4" t="inlineStr">
        <is>
          <t>Must Have</t>
        </is>
      </c>
      <c r="C2" s="4" t="inlineStr">
        <is>
          <t>MVP</t>
        </is>
      </c>
      <c r="D2" s="4" t="inlineStr">
        <is>
          <t>Not Tested</t>
        </is>
      </c>
      <c r="E2" s="4" t="inlineStr">
        <is>
          <t>Open</t>
        </is>
      </c>
      <c r="F2" s="4" t="inlineStr">
        <is>
          <t>SIT</t>
        </is>
      </c>
    </row>
    <row r="3">
      <c r="A3" s="4" t="inlineStr">
        <is>
          <t>In Progress</t>
        </is>
      </c>
      <c r="B3" s="4" t="inlineStr">
        <is>
          <t>Should Have</t>
        </is>
      </c>
      <c r="C3" s="4" t="inlineStr">
        <is>
          <t>R1</t>
        </is>
      </c>
      <c r="D3" s="4" t="inlineStr">
        <is>
          <t>Pass</t>
        </is>
      </c>
      <c r="E3" s="4" t="inlineStr">
        <is>
          <t>Mitigating</t>
        </is>
      </c>
      <c r="F3" s="4" t="inlineStr">
        <is>
          <t>UAT</t>
        </is>
      </c>
    </row>
    <row r="4">
      <c r="A4" s="4" t="inlineStr">
        <is>
          <t>Blocked</t>
        </is>
      </c>
      <c r="B4" s="4" t="inlineStr">
        <is>
          <t>Could Have</t>
        </is>
      </c>
      <c r="C4" s="4" t="inlineStr">
        <is>
          <t>Later</t>
        </is>
      </c>
      <c r="D4" s="4" t="inlineStr">
        <is>
          <t>Fail</t>
        </is>
      </c>
      <c r="E4" s="4" t="inlineStr">
        <is>
          <t>Accepted</t>
        </is>
      </c>
      <c r="F4" s="4" t="inlineStr">
        <is>
          <t>Regression</t>
        </is>
      </c>
    </row>
    <row r="5">
      <c r="A5" s="4" t="inlineStr">
        <is>
          <t>In Review</t>
        </is>
      </c>
      <c r="B5" s="4" t="n"/>
      <c r="C5" s="4" t="n"/>
      <c r="D5" s="4" t="inlineStr">
        <is>
          <t>Blocked</t>
        </is>
      </c>
      <c r="E5" s="4" t="inlineStr">
        <is>
          <t>Closed</t>
        </is>
      </c>
      <c r="F5" s="4" t="n"/>
    </row>
    <row r="6">
      <c r="A6" s="4" t="inlineStr">
        <is>
          <t>Done</t>
        </is>
      </c>
      <c r="B6" s="4" t="n"/>
      <c r="C6" s="4" t="n"/>
      <c r="D6" s="4" t="inlineStr">
        <is>
          <t>Not Applicable</t>
        </is>
      </c>
      <c r="E6" s="4" t="n"/>
      <c r="F6" s="4" t="n"/>
    </row>
    <row r="7">
      <c r="A7" s="4" t="inlineStr">
        <is>
          <t>Deferred</t>
        </is>
      </c>
      <c r="B7" s="4" t="n"/>
      <c r="C7" s="4" t="n"/>
      <c r="D7" s="4" t="n"/>
      <c r="E7" s="4" t="n"/>
      <c r="F7" s="4" t="n"/>
    </row>
    <row r="8">
      <c r="A8" s="4" t="inlineStr">
        <is>
          <t>Cancelled</t>
        </is>
      </c>
      <c r="B8" s="4" t="n"/>
      <c r="C8" s="4" t="n"/>
      <c r="D8" s="4" t="n"/>
      <c r="E8" s="4" t="n"/>
      <c r="F8" s="4" t="n"/>
    </row>
    <row r="9">
      <c r="A9" s="4" t="n"/>
      <c r="B9" s="4" t="n"/>
      <c r="C9" s="4" t="n"/>
      <c r="D9" s="4" t="n"/>
      <c r="E9" s="4" t="n"/>
      <c r="F9" s="4" t="n"/>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J13"/>
  <sheetViews>
    <sheetView workbookViewId="0">
      <selection activeCell="A1" sqref="A1"/>
    </sheetView>
  </sheetViews>
  <sheetFormatPr baseColWidth="8" defaultRowHeight="13.8"/>
  <cols>
    <col width="12" customWidth="1" min="1" max="1"/>
    <col width="30" customWidth="1" min="2" max="2"/>
    <col width="50" customWidth="1" min="3" max="3"/>
    <col width="14" customWidth="1" min="4" max="4"/>
    <col width="12" customWidth="1" min="5" max="5"/>
    <col width="16" customWidth="1" min="6" max="8"/>
    <col width="12" customWidth="1" min="9" max="9"/>
    <col width="28" customWidth="1" min="10" max="10"/>
  </cols>
  <sheetData>
    <row r="1" ht="24" customHeight="1">
      <c r="A1" s="2" t="inlineStr">
        <is>
          <t>Epic ID</t>
        </is>
      </c>
      <c r="B1" s="2" t="inlineStr">
        <is>
          <t>Epic Name</t>
        </is>
      </c>
      <c r="C1" s="2" t="inlineStr">
        <is>
          <t>Description</t>
        </is>
      </c>
      <c r="D1" s="2" t="inlineStr">
        <is>
          <t>Priority</t>
        </is>
      </c>
      <c r="E1" s="2" t="inlineStr">
        <is>
          <t>Release</t>
        </is>
      </c>
      <c r="F1" s="2" t="inlineStr">
        <is>
          <t>Owner</t>
        </is>
      </c>
      <c r="G1" s="2" t="inlineStr">
        <is>
          <t>Status</t>
        </is>
      </c>
      <c r="H1" s="2" t="inlineStr">
        <is>
          <t>Target Sprint</t>
        </is>
      </c>
      <c r="I1" s="2" t="inlineStr">
        <is>
          <t>% Complete</t>
        </is>
      </c>
      <c r="J1" s="2" t="inlineStr">
        <is>
          <t>Notes</t>
        </is>
      </c>
    </row>
    <row r="2" ht="55.2" customHeight="1">
      <c r="A2" s="4" t="inlineStr">
        <is>
          <t>EP-001</t>
        </is>
      </c>
      <c r="B2" s="4" t="inlineStr">
        <is>
          <t>Registration &amp; Authentication</t>
        </is>
      </c>
      <c r="C2" s="4" t="inlineStr">
        <is>
          <t>Account registration, approval, login, logout and password recovery.</t>
        </is>
      </c>
      <c r="D2" s="4" t="inlineStr">
        <is>
          <t>Must Have</t>
        </is>
      </c>
      <c r="E2" s="4" t="inlineStr">
        <is>
          <t>MVP</t>
        </is>
      </c>
      <c r="F2" s="4" t="inlineStr">
        <is>
          <t>Claude (AI Engineer)</t>
        </is>
      </c>
      <c r="G2" s="4" t="inlineStr">
        <is>
          <t>Done</t>
        </is>
      </c>
      <c r="H2" s="4" t="inlineStr">
        <is>
          <t>Week 1</t>
        </is>
      </c>
      <c r="I2" s="5" t="n">
        <v>100</v>
      </c>
      <c r="J2" s="4" t="inlineStr">
        <is>
          <t>Register/approve/login/logout/forgot+reset password/session-inactivity all implemented. Core auth path covered by e2e tests.</t>
        </is>
      </c>
    </row>
    <row r="3" ht="55.2" customHeight="1">
      <c r="A3" s="4" t="inlineStr">
        <is>
          <t>EP-002</t>
        </is>
      </c>
      <c r="B3" s="4" t="inlineStr">
        <is>
          <t>User &amp; Role Administration</t>
        </is>
      </c>
      <c r="C3" s="4" t="inlineStr">
        <is>
          <t>User profiles, employee identifiers, roles, activation/suspension and department assignment.</t>
        </is>
      </c>
      <c r="D3" s="4" t="inlineStr">
        <is>
          <t>Must Have</t>
        </is>
      </c>
      <c r="E3" s="4" t="inlineStr">
        <is>
          <t>MVP</t>
        </is>
      </c>
      <c r="F3" s="4" t="inlineStr">
        <is>
          <t>Claude (AI Engineer)</t>
        </is>
      </c>
      <c r="G3" s="4" t="inlineStr">
        <is>
          <t>Done</t>
        </is>
      </c>
      <c r="H3" s="4" t="inlineStr">
        <is>
          <t>Week 1</t>
        </is>
      </c>
      <c r="I3" s="5" t="n">
        <v>100</v>
      </c>
      <c r="J3" s="4" t="inlineStr">
        <is>
          <t>All 24 ACs manually re-verified live in-browser/via API against the deployed Azure app, 2026-09-09. Found and fixed 2 real gaps: no UI existed to edit a user's name/email/phone/department/employee number after creation (built a new User Detail screen, SCR-013), and an HTML &lt;select&gt; at its default option ('None'/'Unassigned') silently failed validation with no visible error (empty string vs undefined/null) - also fixed the same-shaped blank-employeeNumber-uniqueness bug this exposed. Also live-confirmed the JwtStrategy fresh-DB-lookup design works in both directions (suspend blocks the very next request, reactivate restores it, no re-login needed either way).</t>
        </is>
      </c>
    </row>
    <row r="4" ht="69" customHeight="1">
      <c r="A4" s="4" t="inlineStr">
        <is>
          <t>EP-003</t>
        </is>
      </c>
      <c r="B4" s="4" t="inlineStr">
        <is>
          <t>Attendance Clock-In / Clock-Out</t>
        </is>
      </c>
      <c r="C4" s="4" t="inlineStr">
        <is>
          <t>Record the employee workday using authoritative clock-in and clock-out events.</t>
        </is>
      </c>
      <c r="D4" s="4" t="inlineStr">
        <is>
          <t>Must Have</t>
        </is>
      </c>
      <c r="E4" s="4" t="inlineStr">
        <is>
          <t>MVP</t>
        </is>
      </c>
      <c r="F4" s="4" t="inlineStr">
        <is>
          <t>Claude (AI Engineer)</t>
        </is>
      </c>
      <c r="G4" s="4" t="inlineStr">
        <is>
          <t>Done</t>
        </is>
      </c>
      <c r="H4" s="4" t="inlineStr">
        <is>
          <t>Week 1</t>
        </is>
      </c>
      <c r="I4" s="5" t="n">
        <v>100</v>
      </c>
      <c r="J4" s="4" t="inlineStr">
        <is>
          <t>Clock in/out, duplicate-clock-in guard (DB partial unique index), clock-out confirmation for active break/timer, history and live list. e2e + browser tested.</t>
        </is>
      </c>
    </row>
    <row r="5" ht="69" customHeight="1">
      <c r="A5" s="4" t="inlineStr">
        <is>
          <t>EP-004</t>
        </is>
      </c>
      <c r="B5" s="4" t="inlineStr">
        <is>
          <t>Break Management</t>
        </is>
      </c>
      <c r="C5" s="4" t="inlineStr">
        <is>
          <t>Record start/end of breaks and exclude applicable break time from net working time.</t>
        </is>
      </c>
      <c r="D5" s="4" t="inlineStr">
        <is>
          <t>Must Have</t>
        </is>
      </c>
      <c r="E5" s="4" t="inlineStr">
        <is>
          <t>MVP</t>
        </is>
      </c>
      <c r="F5" s="4" t="inlineStr">
        <is>
          <t>Claude (AI Engineer)</t>
        </is>
      </c>
      <c r="G5" s="4" t="inlineStr">
        <is>
          <t>Done</t>
        </is>
      </c>
      <c r="H5" s="4" t="inlineStr">
        <is>
          <t>Week 1</t>
        </is>
      </c>
      <c r="I5" s="5" t="n">
        <v>100</v>
      </c>
      <c r="J5" s="4" t="inlineStr">
        <is>
          <t>Start/end break, auto-pause of active task timer on break start (BR-005), no auto-resume (BR-006), break report. e2e + browser tested.</t>
        </is>
      </c>
    </row>
    <row r="6" ht="41.4" customHeight="1">
      <c r="A6" s="4" t="inlineStr">
        <is>
          <t>EP-005</t>
        </is>
      </c>
      <c r="B6" s="4" t="inlineStr">
        <is>
          <t>Task Management</t>
        </is>
      </c>
      <c r="C6" s="4" t="inlineStr">
        <is>
          <t>Create, assign, prioritise, update and complete tasks used for professional time allocation.</t>
        </is>
      </c>
      <c r="D6" s="4" t="inlineStr">
        <is>
          <t>Must Have</t>
        </is>
      </c>
      <c r="E6" s="4" t="inlineStr">
        <is>
          <t>MVP</t>
        </is>
      </c>
      <c r="F6" s="4" t="inlineStr">
        <is>
          <t>Claude (AI Engineer)</t>
        </is>
      </c>
      <c r="G6" s="4" t="inlineStr">
        <is>
          <t>Done</t>
        </is>
      </c>
      <c r="H6" s="4" t="inlineStr">
        <is>
          <t>Week 1</t>
        </is>
      </c>
      <c r="I6" s="5" t="n">
        <v>100</v>
      </c>
      <c r="J6" s="4" t="inlineStr">
        <is>
          <t>Create/assign/priority/estimate/status transitions/my task list all implemented and tested.</t>
        </is>
      </c>
    </row>
    <row r="7" ht="69" customHeight="1">
      <c r="A7" s="4" t="inlineStr">
        <is>
          <t>EP-006</t>
        </is>
      </c>
      <c r="B7" s="4" t="inlineStr">
        <is>
          <t>Task Time Tracking</t>
        </is>
      </c>
      <c r="C7" s="4" t="inlineStr">
        <is>
          <t>Run a live server-authoritative timer against a task with pause, resume, stop and switch behaviour.</t>
        </is>
      </c>
      <c r="D7" s="4" t="inlineStr">
        <is>
          <t>Must Have</t>
        </is>
      </c>
      <c r="E7" s="4" t="inlineStr">
        <is>
          <t>MVP</t>
        </is>
      </c>
      <c r="F7" s="4" t="inlineStr">
        <is>
          <t>Claude (AI Engineer)</t>
        </is>
      </c>
      <c r="G7" s="4" t="inlineStr">
        <is>
          <t>Done</t>
        </is>
      </c>
      <c r="H7" s="4" t="inlineStr">
        <is>
          <t>Week 1</t>
        </is>
      </c>
      <c r="I7" s="5" t="n">
        <v>100</v>
      </c>
      <c r="J7" s="4" t="inlineStr">
        <is>
          <t>Start/pause/resume/stop/switch with DB-enforced single-active-timer (BR-003), global timer bar, daily log endpoint. e2e + browser tested.</t>
        </is>
      </c>
    </row>
    <row r="8" ht="82.8" customHeight="1">
      <c r="A8" s="4" t="inlineStr">
        <is>
          <t>EP-007</t>
        </is>
      </c>
      <c r="B8" s="4" t="inlineStr">
        <is>
          <t>Attendance &amp; Task-Time Reconciliation</t>
        </is>
      </c>
      <c r="C8" s="4" t="inlineStr">
        <is>
          <t>Compare net attendance time with task time and identify unallocated working time.</t>
        </is>
      </c>
      <c r="D8" s="4" t="inlineStr">
        <is>
          <t>Must Have</t>
        </is>
      </c>
      <c r="E8" s="4" t="inlineStr">
        <is>
          <t>MVP</t>
        </is>
      </c>
      <c r="F8" s="4" t="inlineStr">
        <is>
          <t>Claude (AI Engineer)</t>
        </is>
      </c>
      <c r="G8" s="4" t="inlineStr">
        <is>
          <t>Done</t>
        </is>
      </c>
      <c r="H8" s="4" t="inlineStr">
        <is>
          <t>Week 1</t>
        </is>
      </c>
      <c r="I8" s="5" t="n">
        <v>100</v>
      </c>
      <c r="J8" s="4" t="inlineStr">
        <is>
          <t>Net working / task / unallocated time formulas match the SRS worked example exactly (unit-tested). Daily timeline and data-quality exception flag implemented.</t>
        </is>
      </c>
    </row>
    <row r="9" ht="110.4" customHeight="1">
      <c r="A9" s="4" t="inlineStr">
        <is>
          <t>EP-008</t>
        </is>
      </c>
      <c r="B9" s="4" t="inlineStr">
        <is>
          <t>Employee &amp; Administrator Dashboards</t>
        </is>
      </c>
      <c r="C9" s="4" t="inlineStr">
        <is>
          <t>Provide simple live views of attendance, breaks, tasks and current activity.</t>
        </is>
      </c>
      <c r="D9" s="4" t="inlineStr">
        <is>
          <t>Must Have</t>
        </is>
      </c>
      <c r="E9" s="4" t="inlineStr">
        <is>
          <t>MVP</t>
        </is>
      </c>
      <c r="F9" s="4" t="inlineStr">
        <is>
          <t>Claude (AI Engineer)</t>
        </is>
      </c>
      <c r="G9" s="4" t="inlineStr">
        <is>
          <t>Done</t>
        </is>
      </c>
      <c r="H9" s="4" t="inlineStr">
        <is>
          <t>Week 1</t>
        </is>
      </c>
      <c r="I9" s="5" t="n">
        <v>90</v>
      </c>
      <c r="J9" s="4" t="inlineStr">
        <is>
          <t>My Day and Admin dashboards, live attendance table, task-status KPIs all implemented. Mobile-breakpoint QA pass (US-008-005) completed: found and fixed a real gap (no mobile nav existed at all at 375px width) and verified all 4 ACs pass.</t>
        </is>
      </c>
    </row>
    <row r="10" ht="69" customHeight="1">
      <c r="A10" s="4" t="inlineStr">
        <is>
          <t>EP-009</t>
        </is>
      </c>
      <c r="B10" s="4" t="inlineStr">
        <is>
          <t>Corrections, Approvals &amp; Audit</t>
        </is>
      </c>
      <c r="C10" s="4" t="inlineStr">
        <is>
          <t>Allow controlled corrections to attendance/task time while preserving a full audit trail.</t>
        </is>
      </c>
      <c r="D10" s="4" t="inlineStr">
        <is>
          <t>Must Have</t>
        </is>
      </c>
      <c r="E10" s="4" t="inlineStr">
        <is>
          <t>MVP</t>
        </is>
      </c>
      <c r="F10" s="4" t="inlineStr">
        <is>
          <t>Claude (AI Engineer)</t>
        </is>
      </c>
      <c r="G10" s="4" t="inlineStr">
        <is>
          <t>Done</t>
        </is>
      </c>
      <c r="H10" s="4" t="inlineStr">
        <is>
          <t>Week 1</t>
        </is>
      </c>
      <c r="I10" s="5" t="n">
        <v>100</v>
      </c>
      <c r="J10" s="4" t="inlineStr">
        <is>
          <t>Request/approve/reject, admin direct correction, and audit log all implemented; originals preserved until approval (BR-012). e2e tested.</t>
        </is>
      </c>
    </row>
    <row r="11" ht="234.6" customHeight="1">
      <c r="A11" s="4" t="inlineStr">
        <is>
          <t>EP-010</t>
        </is>
      </c>
      <c r="B11" s="4" t="inlineStr">
        <is>
          <t>Reports &amp; Export</t>
        </is>
      </c>
      <c r="C11" s="4" t="inlineStr">
        <is>
          <t>Attendance, break, task and utilisation reports with filter and export capabilities.</t>
        </is>
      </c>
      <c r="D11" s="4" t="inlineStr">
        <is>
          <t>Should Have</t>
        </is>
      </c>
      <c r="E11" s="4" t="inlineStr">
        <is>
          <t>MVP</t>
        </is>
      </c>
      <c r="F11" s="4" t="inlineStr">
        <is>
          <t>Claude (AI Engineer)</t>
        </is>
      </c>
      <c r="G11" s="4" t="inlineStr">
        <is>
          <t>Done</t>
        </is>
      </c>
      <c r="H11" s="4" t="inlineStr">
        <is>
          <t>Week 1</t>
        </is>
      </c>
      <c r="I11" s="5" t="n">
        <v>90</v>
      </c>
      <c r="J11" s="4" t="inlineStr">
        <is>
          <t>All 20 ACs re-verified via live API tests against the deployed Azure app (plus in-browser verification for the two UI-only ACs and one direct-DB test for the data-quality exception flag). Found and fixed 2 real gaps: the attendance summary/drill-down view (US-010-002) did not exist at all, and the unallocated-report zero-day include/exclude toggle (AC-010-004-02) did not exist at all. Both fixed, redeployed, and live-verified. CSV exports also gained the title/period/generated-timestamp metadata XLSX already had (AC-010-005-03).</t>
        </is>
      </c>
    </row>
    <row r="12" ht="358.8" customHeight="1">
      <c r="A12" s="4" t="inlineStr">
        <is>
          <t>EP-011</t>
        </is>
      </c>
      <c r="B12" s="4" t="inlineStr">
        <is>
          <t>Notifications &amp; Reminders</t>
        </is>
      </c>
      <c r="C12" s="4" t="inlineStr">
        <is>
          <t>Operational reminders for missing clock-out, incomplete task time and assigned tasks.</t>
        </is>
      </c>
      <c r="D12" s="4" t="inlineStr">
        <is>
          <t>Should Have</t>
        </is>
      </c>
      <c r="E12" s="4" t="inlineStr">
        <is>
          <t>R1</t>
        </is>
      </c>
      <c r="F12" s="4" t="inlineStr">
        <is>
          <t>Claude (AI Engineer)</t>
        </is>
      </c>
      <c r="G12" s="4" t="inlineStr">
        <is>
          <t>Done</t>
        </is>
      </c>
      <c r="H12" s="4" t="inlineStr">
        <is>
          <t>Week 1</t>
        </is>
      </c>
      <c r="I12" s="5" t="n">
        <v>0</v>
      </c>
      <c r="J12" s="4" t="inlineStr">
        <is>
          <t>Built and deployed: a durable in-app Notification model + bell/dropdown UI for task assignment (deduped, identifies task+assigner), a @Cron reminder scan every 5 minutes for missing clock-out / long-running timer (configurable cooldown) / unallocated time (configurable cutoff), a new /admin/settings page for all the thresholds, and a shared EmailService (Resend) used both by the new email-notification toggle and to finally send real password-reset emails (previously only logged server-side). All 16 ACs verified live against the deployed Azure app - including waiting for the real production cron tick (not a manual trigger) to pick up seeded past-threshold data and create all 3 reminder types plus their audit log entries. Also unblocks AC-005-003-04.</t>
        </is>
      </c>
    </row>
    <row r="13" ht="248.4" customHeight="1">
      <c r="A13" s="4" t="inlineStr">
        <is>
          <t>EP-012</t>
        </is>
      </c>
      <c r="B13" s="4" t="inlineStr">
        <is>
          <t>Security, Reliability &amp; Operations</t>
        </is>
      </c>
      <c r="C13" s="4" t="inlineStr">
        <is>
          <t>Security controls, observability, backup, performance and production readiness.</t>
        </is>
      </c>
      <c r="D13" s="4" t="inlineStr">
        <is>
          <t>Must Have</t>
        </is>
      </c>
      <c r="E13" s="4" t="inlineStr">
        <is>
          <t>MVP</t>
        </is>
      </c>
      <c r="F13" s="4" t="inlineStr">
        <is>
          <t>Claude (AI Engineer)</t>
        </is>
      </c>
      <c r="G13" s="4" t="inlineStr">
        <is>
          <t>Done</t>
        </is>
      </c>
      <c r="H13" s="4" t="inlineStr">
        <is>
          <t>Week 1</t>
        </is>
      </c>
      <c r="I13" s="5" t="n">
        <v>100</v>
      </c>
      <c r="J13" s="4" t="inlineStr">
        <is>
          <t>All 24 ACs now re-verified with real evidence: US-012-001 (password security) and US-012-003 (server-timestamp integrity) via targeted code review, US-012-002 (RBAC) via live tests against 5 representative admin-only endpoints plus an anonymous-request check, AC-012-004-04 (alerting) via a live az CLI check confirming the Application Insights alert rule is enabled and wired to its action group. US-012-004/005/006 (observability, backups, CI/CD) were already verified with real evidence earlier in the sign-off effort and are unchanged.</t>
        </is>
      </c>
    </row>
  </sheetData>
  <conditionalFormatting sqref="G2:G13">
    <cfRule type="expression" priority="1" dxfId="13">
      <formula>G2="Done"</formula>
    </cfRule>
    <cfRule type="expression" priority="2" dxfId="12">
      <formula>G2="Blocked"</formula>
    </cfRule>
  </conditionalFormatting>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O76"/>
  <sheetViews>
    <sheetView workbookViewId="0">
      <selection activeCell="A1" sqref="A1"/>
    </sheetView>
  </sheetViews>
  <sheetFormatPr baseColWidth="8" defaultRowHeight="13.8"/>
  <cols>
    <col width="15" customWidth="1" min="1" max="1"/>
    <col width="12" customWidth="1" min="2" max="2"/>
    <col width="30" customWidth="1" min="3" max="3"/>
    <col width="20" customWidth="1" min="4" max="4"/>
    <col width="62" customWidth="1" min="5" max="5"/>
    <col width="10" customWidth="1" min="6" max="6"/>
    <col width="22" customWidth="1" min="7" max="7"/>
    <col width="16" customWidth="1" min="8" max="8"/>
    <col width="14" customWidth="1" min="9" max="9"/>
    <col width="12" customWidth="1" min="10" max="10"/>
    <col width="14" customWidth="1" min="11" max="11"/>
    <col width="16" customWidth="1" min="12" max="12"/>
    <col width="14" customWidth="1" min="13" max="13"/>
    <col width="28" customWidth="1" min="14" max="15"/>
  </cols>
  <sheetData>
    <row r="1" ht="24" customHeight="1">
      <c r="A1" s="2" t="inlineStr">
        <is>
          <t>Story ID</t>
        </is>
      </c>
      <c r="B1" s="2" t="inlineStr">
        <is>
          <t>Epic ID</t>
        </is>
      </c>
      <c r="C1" s="2" t="inlineStr">
        <is>
          <t>Title</t>
        </is>
      </c>
      <c r="D1" s="2" t="inlineStr">
        <is>
          <t>Persona</t>
        </is>
      </c>
      <c r="E1" s="2" t="inlineStr">
        <is>
          <t>User Story</t>
        </is>
      </c>
      <c r="F1" s="2" t="inlineStr">
        <is>
          <t>AC Count</t>
        </is>
      </c>
      <c r="G1" s="2" t="inlineStr">
        <is>
          <t>Dependencies</t>
        </is>
      </c>
      <c r="H1" s="2" t="inlineStr">
        <is>
          <t>Owner</t>
        </is>
      </c>
      <c r="I1" s="2" t="inlineStr">
        <is>
          <t>Priority</t>
        </is>
      </c>
      <c r="J1" s="2" t="inlineStr">
        <is>
          <t>Release</t>
        </is>
      </c>
      <c r="K1" s="2" t="inlineStr">
        <is>
          <t>Sprint</t>
        </is>
      </c>
      <c r="L1" s="2" t="inlineStr">
        <is>
          <t>Status</t>
        </is>
      </c>
      <c r="M1" s="2" t="inlineStr">
        <is>
          <t>Estimate Points</t>
        </is>
      </c>
      <c r="N1" s="2" t="inlineStr">
        <is>
          <t>Dev Notes</t>
        </is>
      </c>
      <c r="O1" s="2" t="inlineStr">
        <is>
          <t>QA Notes</t>
        </is>
      </c>
    </row>
    <row r="2" ht="55.2" customHeight="1">
      <c r="A2" s="4" t="inlineStr">
        <is>
          <t>US-001-001</t>
        </is>
      </c>
      <c r="B2" s="4" t="inlineStr">
        <is>
          <t>EP-001</t>
        </is>
      </c>
      <c r="C2" s="4" t="inlineStr">
        <is>
          <t>Register a new account</t>
        </is>
      </c>
      <c r="D2" s="4" t="inlineStr">
        <is>
          <t>Employee</t>
        </is>
      </c>
      <c r="E2" s="4" t="inlineStr">
        <is>
          <t>As a new user, I want to register an account so that I can use the attendance system.</t>
        </is>
      </c>
      <c r="F2" s="4" t="n">
        <v>4</v>
      </c>
      <c r="G2" s="4" t="n"/>
      <c r="H2" s="4" t="inlineStr">
        <is>
          <t>Claude (AI Engineer)</t>
        </is>
      </c>
      <c r="I2" s="4" t="inlineStr">
        <is>
          <t>Must Have</t>
        </is>
      </c>
      <c r="J2" s="4" t="inlineStr">
        <is>
          <t>MVP</t>
        </is>
      </c>
      <c r="K2" s="4" t="inlineStr">
        <is>
          <t>Week 1</t>
        </is>
      </c>
      <c r="L2" s="4" t="inlineStr">
        <is>
          <t>Done</t>
        </is>
      </c>
      <c r="M2" s="4" t="n">
        <v>3</v>
      </c>
      <c r="N2" s="4" t="inlineStr">
        <is>
          <t>Implemented and functionally working; not individually covered by an automated test this session.</t>
        </is>
      </c>
      <c r="O2" s="4" t="n"/>
    </row>
    <row r="3" ht="55.2" customHeight="1">
      <c r="A3" s="4" t="inlineStr">
        <is>
          <t>US-001-002</t>
        </is>
      </c>
      <c r="B3" s="4" t="inlineStr">
        <is>
          <t>EP-001</t>
        </is>
      </c>
      <c r="C3" s="4" t="inlineStr">
        <is>
          <t>Approve pending registration</t>
        </is>
      </c>
      <c r="D3" s="4" t="inlineStr">
        <is>
          <t>Administrator</t>
        </is>
      </c>
      <c r="E3" s="4" t="inlineStr">
        <is>
          <t>As an administrator, I want to approve a pending registration so that only authorised staff gain access.</t>
        </is>
      </c>
      <c r="F3" s="4" t="n">
        <v>4</v>
      </c>
      <c r="G3" s="4" t="n"/>
      <c r="H3" s="4" t="inlineStr">
        <is>
          <t>Claude (AI Engineer)</t>
        </is>
      </c>
      <c r="I3" s="4" t="inlineStr">
        <is>
          <t>Must Have</t>
        </is>
      </c>
      <c r="J3" s="4" t="inlineStr">
        <is>
          <t>MVP</t>
        </is>
      </c>
      <c r="K3" s="4" t="inlineStr">
        <is>
          <t>Week 1</t>
        </is>
      </c>
      <c r="L3" s="4" t="inlineStr">
        <is>
          <t>Done</t>
        </is>
      </c>
      <c r="M3" s="4" t="n">
        <v>3</v>
      </c>
      <c r="N3" s="4" t="inlineStr">
        <is>
          <t>Verified by e2e test: pending queue visible to admin, approval activates account and records approver/date.</t>
        </is>
      </c>
      <c r="O3" s="4" t="n"/>
    </row>
    <row r="4" ht="69" customHeight="1">
      <c r="A4" s="4" t="inlineStr">
        <is>
          <t>US-001-003</t>
        </is>
      </c>
      <c r="B4" s="4" t="inlineStr">
        <is>
          <t>EP-001</t>
        </is>
      </c>
      <c r="C4" s="4" t="inlineStr">
        <is>
          <t>Login</t>
        </is>
      </c>
      <c r="D4" s="4" t="inlineStr">
        <is>
          <t>Employee</t>
        </is>
      </c>
      <c r="E4" s="4" t="inlineStr">
        <is>
          <t>As a registered user, I want to sign in securely so that I can access my attendance and tasks.</t>
        </is>
      </c>
      <c r="F4" s="4" t="n">
        <v>4</v>
      </c>
      <c r="G4" s="4" t="n"/>
      <c r="H4" s="4" t="inlineStr">
        <is>
          <t>Claude (AI Engineer)</t>
        </is>
      </c>
      <c r="I4" s="4" t="inlineStr">
        <is>
          <t>Must Have</t>
        </is>
      </c>
      <c r="J4" s="4" t="inlineStr">
        <is>
          <t>MVP</t>
        </is>
      </c>
      <c r="K4" s="4" t="inlineStr">
        <is>
          <t>Week 1</t>
        </is>
      </c>
      <c r="L4" s="4" t="inlineStr">
        <is>
          <t>Done</t>
        </is>
      </c>
      <c r="M4" s="4" t="n">
        <v>3</v>
      </c>
      <c r="N4" s="4" t="inlineStr">
        <is>
          <t>Verified by e2e test: pending/inactive accounts blocked; active accounts authenticate via HttpOnly cookies.</t>
        </is>
      </c>
      <c r="O4" s="4" t="n"/>
    </row>
    <row r="5" ht="55.2" customHeight="1">
      <c r="A5" s="4" t="inlineStr">
        <is>
          <t>US-001-004</t>
        </is>
      </c>
      <c r="B5" s="4" t="inlineStr">
        <is>
          <t>EP-001</t>
        </is>
      </c>
      <c r="C5" s="4" t="inlineStr">
        <is>
          <t>Logout</t>
        </is>
      </c>
      <c r="D5" s="4" t="inlineStr">
        <is>
          <t>Employee</t>
        </is>
      </c>
      <c r="E5" s="4" t="inlineStr">
        <is>
          <t>As a user, I want to log out so that my account is not left accessible on a shared device.</t>
        </is>
      </c>
      <c r="F5" s="4" t="n">
        <v>4</v>
      </c>
      <c r="G5" s="4" t="n"/>
      <c r="H5" s="4" t="inlineStr">
        <is>
          <t>Claude (AI Engineer)</t>
        </is>
      </c>
      <c r="I5" s="4" t="inlineStr">
        <is>
          <t>Must Have</t>
        </is>
      </c>
      <c r="J5" s="4" t="inlineStr">
        <is>
          <t>MVP</t>
        </is>
      </c>
      <c r="K5" s="4" t="inlineStr">
        <is>
          <t>Week 1</t>
        </is>
      </c>
      <c r="L5" s="4" t="inlineStr">
        <is>
          <t>Done</t>
        </is>
      </c>
      <c r="M5" s="4" t="n">
        <v>3</v>
      </c>
      <c r="N5" s="4" t="inlineStr">
        <is>
          <t>Verified by e2e test: logout revokes refresh token, subsequent /auth/refresh returns 401.</t>
        </is>
      </c>
      <c r="O5" s="4" t="n"/>
    </row>
    <row r="6" ht="55.2" customHeight="1">
      <c r="A6" s="4" t="inlineStr">
        <is>
          <t>US-001-005</t>
        </is>
      </c>
      <c r="B6" s="4" t="inlineStr">
        <is>
          <t>EP-001</t>
        </is>
      </c>
      <c r="C6" s="4" t="inlineStr">
        <is>
          <t>Forgot password</t>
        </is>
      </c>
      <c r="D6" s="4" t="inlineStr">
        <is>
          <t>Employee</t>
        </is>
      </c>
      <c r="E6" s="4" t="inlineStr">
        <is>
          <t>As a user, I want to request a password reset so that I can regain account access.</t>
        </is>
      </c>
      <c r="F6" s="4" t="n">
        <v>4</v>
      </c>
      <c r="G6" s="4" t="n"/>
      <c r="H6" s="4" t="inlineStr">
        <is>
          <t>Claude (AI Engineer)</t>
        </is>
      </c>
      <c r="I6" s="4" t="inlineStr">
        <is>
          <t>Must Have</t>
        </is>
      </c>
      <c r="J6" s="4" t="inlineStr">
        <is>
          <t>MVP</t>
        </is>
      </c>
      <c r="K6" s="4" t="inlineStr">
        <is>
          <t>Week 1</t>
        </is>
      </c>
      <c r="L6" s="4" t="inlineStr">
        <is>
          <t>Done</t>
        </is>
      </c>
      <c r="M6" s="4" t="n">
        <v>3</v>
      </c>
      <c r="N6" s="4" t="inlineStr">
        <is>
          <t>Implemented and functionally working; not individually covered by an automated test this session.</t>
        </is>
      </c>
      <c r="O6" s="4" t="n"/>
    </row>
    <row r="7" ht="55.2" customHeight="1">
      <c r="A7" s="4" t="inlineStr">
        <is>
          <t>US-001-006</t>
        </is>
      </c>
      <c r="B7" s="4" t="inlineStr">
        <is>
          <t>EP-001</t>
        </is>
      </c>
      <c r="C7" s="4" t="inlineStr">
        <is>
          <t>Reset password</t>
        </is>
      </c>
      <c r="D7" s="4" t="inlineStr">
        <is>
          <t>Employee</t>
        </is>
      </c>
      <c r="E7" s="4" t="inlineStr">
        <is>
          <t>As a user, I want to set a new password using a valid reset link.</t>
        </is>
      </c>
      <c r="F7" s="4" t="n">
        <v>4</v>
      </c>
      <c r="G7" s="4" t="n"/>
      <c r="H7" s="4" t="inlineStr">
        <is>
          <t>Claude (AI Engineer)</t>
        </is>
      </c>
      <c r="I7" s="4" t="inlineStr">
        <is>
          <t>Must Have</t>
        </is>
      </c>
      <c r="J7" s="4" t="inlineStr">
        <is>
          <t>MVP</t>
        </is>
      </c>
      <c r="K7" s="4" t="inlineStr">
        <is>
          <t>Week 1</t>
        </is>
      </c>
      <c r="L7" s="4" t="inlineStr">
        <is>
          <t>Done</t>
        </is>
      </c>
      <c r="M7" s="4" t="n">
        <v>3</v>
      </c>
      <c r="N7" s="4" t="inlineStr">
        <is>
          <t>Implemented and functionally working; not individually covered by an automated test this session.</t>
        </is>
      </c>
      <c r="O7" s="4" t="n"/>
    </row>
    <row r="8" ht="124.2" customHeight="1">
      <c r="A8" s="4" t="inlineStr">
        <is>
          <t>US-001-007</t>
        </is>
      </c>
      <c r="B8" s="4" t="inlineStr">
        <is>
          <t>EP-001</t>
        </is>
      </c>
      <c r="C8" s="4" t="inlineStr">
        <is>
          <t>Session timeout</t>
        </is>
      </c>
      <c r="D8" s="4" t="inlineStr">
        <is>
          <t>Security Administrator</t>
        </is>
      </c>
      <c r="E8" s="4" t="inlineStr">
        <is>
          <t>As a security administrator, I want inactive sessions to expire so that unattended devices do not remain authenticated.</t>
        </is>
      </c>
      <c r="F8" s="4" t="n">
        <v>4</v>
      </c>
      <c r="G8" s="4" t="n"/>
      <c r="H8" s="4" t="inlineStr">
        <is>
          <t>Claude (AI Engineer)</t>
        </is>
      </c>
      <c r="I8" s="4" t="inlineStr">
        <is>
          <t>Must Have</t>
        </is>
      </c>
      <c r="J8" s="4" t="inlineStr">
        <is>
          <t>MVP</t>
        </is>
      </c>
      <c r="K8" s="4" t="inlineStr">
        <is>
          <t>Week 1</t>
        </is>
      </c>
      <c r="L8" s="4" t="inlineStr">
        <is>
          <t>Done</t>
        </is>
      </c>
      <c r="M8" s="4" t="n">
        <v>3</v>
      </c>
      <c r="N8" s="4" t="inlineStr">
        <is>
          <t>Backend session-timeout mechanism and frontend expired-session messaging both verified working live, 2026-09-08 (see AC-001-007-03/04 evidence). The frontend gap found during AC sign-off is now fixed and re-verified against the live deployment.</t>
        </is>
      </c>
      <c r="O8" s="4" t="n"/>
    </row>
    <row r="9" ht="55.2" customHeight="1">
      <c r="A9" s="4" t="inlineStr">
        <is>
          <t>US-002-001</t>
        </is>
      </c>
      <c r="B9" s="4" t="inlineStr">
        <is>
          <t>EP-002</t>
        </is>
      </c>
      <c r="C9" s="4" t="inlineStr">
        <is>
          <t>Create user administratively</t>
        </is>
      </c>
      <c r="D9" s="4" t="inlineStr">
        <is>
          <t>Administrator</t>
        </is>
      </c>
      <c r="E9" s="4" t="inlineStr">
        <is>
          <t>As an administrator, I want to create a user directly so that employees can be onboarded without self-registration.</t>
        </is>
      </c>
      <c r="F9" s="4" t="n">
        <v>4</v>
      </c>
      <c r="G9" s="4" t="n"/>
      <c r="H9" s="4" t="inlineStr">
        <is>
          <t>Claude (AI Engineer)</t>
        </is>
      </c>
      <c r="I9" s="4" t="inlineStr">
        <is>
          <t>Must Have</t>
        </is>
      </c>
      <c r="J9" s="4" t="inlineStr">
        <is>
          <t>MVP</t>
        </is>
      </c>
      <c r="K9" s="4" t="inlineStr">
        <is>
          <t>Week 1</t>
        </is>
      </c>
      <c r="L9" s="4" t="inlineStr">
        <is>
          <t>Done</t>
        </is>
      </c>
      <c r="M9" s="4" t="n">
        <v>3</v>
      </c>
      <c r="N9" s="4" t="inlineStr">
        <is>
          <t>Implemented and functionally working; not individually covered by an automated test this session.</t>
        </is>
      </c>
      <c r="O9" s="4" t="n"/>
    </row>
    <row r="10" ht="55.2" customHeight="1">
      <c r="A10" s="4" t="inlineStr">
        <is>
          <t>US-002-002</t>
        </is>
      </c>
      <c r="B10" s="4" t="inlineStr">
        <is>
          <t>EP-002</t>
        </is>
      </c>
      <c r="C10" s="4" t="inlineStr">
        <is>
          <t>Edit user profile</t>
        </is>
      </c>
      <c r="D10" s="4" t="inlineStr">
        <is>
          <t>Administrator</t>
        </is>
      </c>
      <c r="E10" s="4" t="inlineStr">
        <is>
          <t>As an administrator, I want to edit user details so that records remain accurate.</t>
        </is>
      </c>
      <c r="F10" s="4" t="n">
        <v>4</v>
      </c>
      <c r="G10" s="4" t="n"/>
      <c r="H10" s="4" t="inlineStr">
        <is>
          <t>Claude (AI Engineer)</t>
        </is>
      </c>
      <c r="I10" s="4" t="inlineStr">
        <is>
          <t>Must Have</t>
        </is>
      </c>
      <c r="J10" s="4" t="inlineStr">
        <is>
          <t>MVP</t>
        </is>
      </c>
      <c r="K10" s="4" t="inlineStr">
        <is>
          <t>Week 1</t>
        </is>
      </c>
      <c r="L10" s="4" t="inlineStr">
        <is>
          <t>Done</t>
        </is>
      </c>
      <c r="M10" s="4" t="n">
        <v>3</v>
      </c>
      <c r="N10" s="4" t="inlineStr">
        <is>
          <t>Implemented and functionally working; not individually covered by an automated test this session.</t>
        </is>
      </c>
      <c r="O10" s="4" t="n"/>
    </row>
    <row r="11" ht="55.2" customHeight="1">
      <c r="A11" s="4" t="inlineStr">
        <is>
          <t>US-002-003</t>
        </is>
      </c>
      <c r="B11" s="4" t="inlineStr">
        <is>
          <t>EP-002</t>
        </is>
      </c>
      <c r="C11" s="4" t="inlineStr">
        <is>
          <t>Manage my profile</t>
        </is>
      </c>
      <c r="D11" s="4" t="inlineStr">
        <is>
          <t>Employee</t>
        </is>
      </c>
      <c r="E11" s="4" t="inlineStr">
        <is>
          <t>As an employee, I want to update permitted profile information so that contact details remain current.</t>
        </is>
      </c>
      <c r="F11" s="4" t="n">
        <v>4</v>
      </c>
      <c r="G11" s="4" t="n"/>
      <c r="H11" s="4" t="inlineStr">
        <is>
          <t>Claude (AI Engineer)</t>
        </is>
      </c>
      <c r="I11" s="4" t="inlineStr">
        <is>
          <t>Must Have</t>
        </is>
      </c>
      <c r="J11" s="4" t="inlineStr">
        <is>
          <t>MVP</t>
        </is>
      </c>
      <c r="K11" s="4" t="inlineStr">
        <is>
          <t>Week 1</t>
        </is>
      </c>
      <c r="L11" s="4" t="inlineStr">
        <is>
          <t>Done</t>
        </is>
      </c>
      <c r="M11" s="4" t="n">
        <v>3</v>
      </c>
      <c r="N11" s="4" t="inlineStr">
        <is>
          <t>Implemented and functionally working; not individually covered by an automated test this session.</t>
        </is>
      </c>
      <c r="O11" s="4" t="n"/>
    </row>
    <row r="12" ht="55.2" customHeight="1">
      <c r="A12" s="4" t="inlineStr">
        <is>
          <t>US-002-004</t>
        </is>
      </c>
      <c r="B12" s="4" t="inlineStr">
        <is>
          <t>EP-002</t>
        </is>
      </c>
      <c r="C12" s="4" t="inlineStr">
        <is>
          <t>Assign role</t>
        </is>
      </c>
      <c r="D12" s="4" t="inlineStr">
        <is>
          <t>Administrator</t>
        </is>
      </c>
      <c r="E12" s="4" t="inlineStr">
        <is>
          <t>As an administrator, I want to assign Employee or Administrator roles so that permissions match responsibilities.</t>
        </is>
      </c>
      <c r="F12" s="4" t="n">
        <v>4</v>
      </c>
      <c r="G12" s="4" t="n"/>
      <c r="H12" s="4" t="inlineStr">
        <is>
          <t>Claude (AI Engineer)</t>
        </is>
      </c>
      <c r="I12" s="4" t="inlineStr">
        <is>
          <t>Must Have</t>
        </is>
      </c>
      <c r="J12" s="4" t="inlineStr">
        <is>
          <t>MVP</t>
        </is>
      </c>
      <c r="K12" s="4" t="inlineStr">
        <is>
          <t>Week 1</t>
        </is>
      </c>
      <c r="L12" s="4" t="inlineStr">
        <is>
          <t>Done</t>
        </is>
      </c>
      <c r="M12" s="4" t="n">
        <v>3</v>
      </c>
      <c r="N12" s="4" t="inlineStr">
        <is>
          <t>Implemented and functionally working; not individually covered by an automated test this session.</t>
        </is>
      </c>
      <c r="O12" s="4" t="n"/>
    </row>
    <row r="13" ht="55.2" customHeight="1">
      <c r="A13" s="4" t="inlineStr">
        <is>
          <t>US-002-005</t>
        </is>
      </c>
      <c r="B13" s="4" t="inlineStr">
        <is>
          <t>EP-002</t>
        </is>
      </c>
      <c r="C13" s="4" t="inlineStr">
        <is>
          <t>Activate suspend deactivate user</t>
        </is>
      </c>
      <c r="D13" s="4" t="inlineStr">
        <is>
          <t>Administrator</t>
        </is>
      </c>
      <c r="E13" s="4" t="inlineStr">
        <is>
          <t>As an administrator, I want to control account status so that access can be removed without deleting history.</t>
        </is>
      </c>
      <c r="F13" s="4" t="n">
        <v>4</v>
      </c>
      <c r="G13" s="4" t="n"/>
      <c r="H13" s="4" t="inlineStr">
        <is>
          <t>Claude (AI Engineer)</t>
        </is>
      </c>
      <c r="I13" s="4" t="inlineStr">
        <is>
          <t>Must Have</t>
        </is>
      </c>
      <c r="J13" s="4" t="inlineStr">
        <is>
          <t>MVP</t>
        </is>
      </c>
      <c r="K13" s="4" t="inlineStr">
        <is>
          <t>Week 1</t>
        </is>
      </c>
      <c r="L13" s="4" t="inlineStr">
        <is>
          <t>Done</t>
        </is>
      </c>
      <c r="M13" s="4" t="n">
        <v>3</v>
      </c>
      <c r="N13" s="4" t="inlineStr">
        <is>
          <t>Implemented and functionally working; not individually covered by an automated test this session.</t>
        </is>
      </c>
      <c r="O13" s="4" t="n"/>
    </row>
    <row r="14" ht="55.2" customHeight="1">
      <c r="A14" s="4" t="inlineStr">
        <is>
          <t>US-002-006</t>
        </is>
      </c>
      <c r="B14" s="4" t="inlineStr">
        <is>
          <t>EP-002</t>
        </is>
      </c>
      <c r="C14" s="4" t="inlineStr">
        <is>
          <t>Assign department and employee number</t>
        </is>
      </c>
      <c r="D14" s="4" t="inlineStr">
        <is>
          <t>Administrator</t>
        </is>
      </c>
      <c r="E14" s="4" t="inlineStr">
        <is>
          <t>As an administrator, I want optional employee number and department fields so that reports can be grouped.</t>
        </is>
      </c>
      <c r="F14" s="4" t="n">
        <v>4</v>
      </c>
      <c r="G14" s="4" t="n"/>
      <c r="H14" s="4" t="inlineStr">
        <is>
          <t>Claude (AI Engineer)</t>
        </is>
      </c>
      <c r="I14" s="4" t="inlineStr">
        <is>
          <t>Must Have</t>
        </is>
      </c>
      <c r="J14" s="4" t="inlineStr">
        <is>
          <t>MVP</t>
        </is>
      </c>
      <c r="K14" s="4" t="inlineStr">
        <is>
          <t>Week 1</t>
        </is>
      </c>
      <c r="L14" s="4" t="inlineStr">
        <is>
          <t>Done</t>
        </is>
      </c>
      <c r="M14" s="4" t="n">
        <v>3</v>
      </c>
      <c r="N14" s="4" t="inlineStr">
        <is>
          <t>Implemented and functionally working; not individually covered by an automated test this session.</t>
        </is>
      </c>
      <c r="O14" s="4" t="n"/>
    </row>
    <row r="15" ht="55.2" customHeight="1">
      <c r="A15" s="4" t="inlineStr">
        <is>
          <t>US-003-001</t>
        </is>
      </c>
      <c r="B15" s="4" t="inlineStr">
        <is>
          <t>EP-003</t>
        </is>
      </c>
      <c r="C15" s="4" t="inlineStr">
        <is>
          <t>Clock in</t>
        </is>
      </c>
      <c r="D15" s="4" t="inlineStr">
        <is>
          <t>Employee</t>
        </is>
      </c>
      <c r="E15" s="4" t="inlineStr">
        <is>
          <t>As an employee, I want to clock in so that the system records when my workday starts.</t>
        </is>
      </c>
      <c r="F15" s="4" t="n">
        <v>4</v>
      </c>
      <c r="G15" s="4" t="n"/>
      <c r="H15" s="4" t="inlineStr">
        <is>
          <t>Claude (AI Engineer)</t>
        </is>
      </c>
      <c r="I15" s="4" t="inlineStr">
        <is>
          <t>Must Have</t>
        </is>
      </c>
      <c r="J15" s="4" t="inlineStr">
        <is>
          <t>MVP</t>
        </is>
      </c>
      <c r="K15" s="4" t="inlineStr">
        <is>
          <t>Week 1</t>
        </is>
      </c>
      <c r="L15" s="4" t="inlineStr">
        <is>
          <t>Done</t>
        </is>
      </c>
      <c r="M15" s="4" t="n">
        <v>3</v>
      </c>
      <c r="N15" s="4" t="inlineStr">
        <is>
          <t>Verified by e2e test + browser: server-timestamped clock-in, duplicate clock-in rejected via DB partial unique index (BR-002).</t>
        </is>
      </c>
      <c r="O15" s="4" t="n"/>
    </row>
    <row r="16" ht="55.2" customHeight="1">
      <c r="A16" s="4" t="inlineStr">
        <is>
          <t>US-003-002</t>
        </is>
      </c>
      <c r="B16" s="4" t="inlineStr">
        <is>
          <t>EP-003</t>
        </is>
      </c>
      <c r="C16" s="4" t="inlineStr">
        <is>
          <t>Clock out</t>
        </is>
      </c>
      <c r="D16" s="4" t="inlineStr">
        <is>
          <t>Employee</t>
        </is>
      </c>
      <c r="E16" s="4" t="inlineStr">
        <is>
          <t>As an employee, I want to clock out so that my workday duration is finalised.</t>
        </is>
      </c>
      <c r="F16" s="4" t="n">
        <v>4</v>
      </c>
      <c r="G16" s="4" t="n"/>
      <c r="H16" s="4" t="inlineStr">
        <is>
          <t>Claude (AI Engineer)</t>
        </is>
      </c>
      <c r="I16" s="4" t="inlineStr">
        <is>
          <t>Must Have</t>
        </is>
      </c>
      <c r="J16" s="4" t="inlineStr">
        <is>
          <t>MVP</t>
        </is>
      </c>
      <c r="K16" s="4" t="inlineStr">
        <is>
          <t>Week 1</t>
        </is>
      </c>
      <c r="L16" s="4" t="inlineStr">
        <is>
          <t>Done</t>
        </is>
      </c>
      <c r="M16" s="4" t="n">
        <v>3</v>
      </c>
      <c r="N16" s="4" t="inlineStr">
        <is>
          <t>Verified by e2e test + browser: BR-007 confirmation flow for active break/timer before completing clock-out.</t>
        </is>
      </c>
      <c r="O16" s="4" t="n"/>
    </row>
    <row r="17" ht="55.2" customHeight="1">
      <c r="A17" s="4" t="inlineStr">
        <is>
          <t>US-003-003</t>
        </is>
      </c>
      <c r="B17" s="4" t="inlineStr">
        <is>
          <t>EP-003</t>
        </is>
      </c>
      <c r="C17" s="4" t="inlineStr">
        <is>
          <t>Show current attendance state</t>
        </is>
      </c>
      <c r="D17" s="4" t="inlineStr">
        <is>
          <t>Employee</t>
        </is>
      </c>
      <c r="E17" s="4" t="inlineStr">
        <is>
          <t>As an employee, I want to see whether I am clocked in, on break or clocked out.</t>
        </is>
      </c>
      <c r="F17" s="4" t="n">
        <v>4</v>
      </c>
      <c r="G17" s="4" t="n"/>
      <c r="H17" s="4" t="inlineStr">
        <is>
          <t>Claude (AI Engineer)</t>
        </is>
      </c>
      <c r="I17" s="4" t="inlineStr">
        <is>
          <t>Must Have</t>
        </is>
      </c>
      <c r="J17" s="4" t="inlineStr">
        <is>
          <t>MVP</t>
        </is>
      </c>
      <c r="K17" s="4" t="inlineStr">
        <is>
          <t>Week 1</t>
        </is>
      </c>
      <c r="L17" s="4" t="inlineStr">
        <is>
          <t>Done</t>
        </is>
      </c>
      <c r="M17" s="4" t="n">
        <v>3</v>
      </c>
      <c r="N17" s="4" t="inlineStr">
        <is>
          <t>Implemented and functionally working; not individually covered by an automated test this session.</t>
        </is>
      </c>
      <c r="O17" s="4" t="n"/>
    </row>
    <row r="18" ht="55.2" customHeight="1">
      <c r="A18" s="4" t="inlineStr">
        <is>
          <t>US-003-004</t>
        </is>
      </c>
      <c r="B18" s="4" t="inlineStr">
        <is>
          <t>EP-003</t>
        </is>
      </c>
      <c r="C18" s="4" t="inlineStr">
        <is>
          <t>Prevent duplicate clock in</t>
        </is>
      </c>
      <c r="D18" s="4" t="inlineStr">
        <is>
          <t>Employee</t>
        </is>
      </c>
      <c r="E18" s="4" t="inlineStr">
        <is>
          <t>As an employee, I want the system to prevent accidental duplicate clock-ins.</t>
        </is>
      </c>
      <c r="F18" s="4" t="n">
        <v>4</v>
      </c>
      <c r="G18" s="4" t="n"/>
      <c r="H18" s="4" t="inlineStr">
        <is>
          <t>Claude (AI Engineer)</t>
        </is>
      </c>
      <c r="I18" s="4" t="inlineStr">
        <is>
          <t>Must Have</t>
        </is>
      </c>
      <c r="J18" s="4" t="inlineStr">
        <is>
          <t>MVP</t>
        </is>
      </c>
      <c r="K18" s="4" t="inlineStr">
        <is>
          <t>Week 1</t>
        </is>
      </c>
      <c r="L18" s="4" t="inlineStr">
        <is>
          <t>Done</t>
        </is>
      </c>
      <c r="M18" s="4" t="n">
        <v>3</v>
      </c>
      <c r="N18" s="4" t="inlineStr">
        <is>
          <t>Implemented and functionally working; not individually covered by an automated test this session.</t>
        </is>
      </c>
      <c r="O18" s="4" t="n"/>
    </row>
    <row r="19" ht="69" customHeight="1">
      <c r="A19" s="4" t="inlineStr">
        <is>
          <t>US-003-005</t>
        </is>
      </c>
      <c r="B19" s="4" t="inlineStr">
        <is>
          <t>EP-003</t>
        </is>
      </c>
      <c r="C19" s="4" t="inlineStr">
        <is>
          <t>Warn before clock out with active task</t>
        </is>
      </c>
      <c r="D19" s="4" t="inlineStr">
        <is>
          <t>Employee</t>
        </is>
      </c>
      <c r="E19" s="4" t="inlineStr">
        <is>
          <t>As an employee, I want a warning if I try to clock out while a task timer is running.</t>
        </is>
      </c>
      <c r="F19" s="4" t="n">
        <v>4</v>
      </c>
      <c r="G19" s="4" t="n"/>
      <c r="H19" s="4" t="inlineStr">
        <is>
          <t>Claude (AI Engineer)</t>
        </is>
      </c>
      <c r="I19" s="4" t="inlineStr">
        <is>
          <t>Must Have</t>
        </is>
      </c>
      <c r="J19" s="4" t="inlineStr">
        <is>
          <t>MVP</t>
        </is>
      </c>
      <c r="K19" s="4" t="inlineStr">
        <is>
          <t>Week 1</t>
        </is>
      </c>
      <c r="L19" s="4" t="inlineStr">
        <is>
          <t>Done</t>
        </is>
      </c>
      <c r="M19" s="4" t="n">
        <v>3</v>
      </c>
      <c r="N19" s="4" t="inlineStr">
        <is>
          <t>Verified by e2e test: clock-out returns requiresConfirmation when a task timer is active; confirmed action stops both at one timestamp.</t>
        </is>
      </c>
      <c r="O19" s="4" t="n"/>
    </row>
    <row r="20" ht="55.2" customHeight="1">
      <c r="A20" s="4" t="inlineStr">
        <is>
          <t>US-003-006</t>
        </is>
      </c>
      <c r="B20" s="4" t="inlineStr">
        <is>
          <t>EP-003</t>
        </is>
      </c>
      <c r="C20" s="4" t="inlineStr">
        <is>
          <t>Warn before clock out while on break</t>
        </is>
      </c>
      <c r="D20" s="4" t="inlineStr">
        <is>
          <t>Employee</t>
        </is>
      </c>
      <c r="E20" s="4" t="inlineStr">
        <is>
          <t>As an employee, I want a warning if I try to clock out during an active break.</t>
        </is>
      </c>
      <c r="F20" s="4" t="n">
        <v>4</v>
      </c>
      <c r="G20" s="4" t="n"/>
      <c r="H20" s="4" t="inlineStr">
        <is>
          <t>Claude (AI Engineer)</t>
        </is>
      </c>
      <c r="I20" s="4" t="inlineStr">
        <is>
          <t>Must Have</t>
        </is>
      </c>
      <c r="J20" s="4" t="inlineStr">
        <is>
          <t>MVP</t>
        </is>
      </c>
      <c r="K20" s="4" t="inlineStr">
        <is>
          <t>Week 1</t>
        </is>
      </c>
      <c r="L20" s="4" t="inlineStr">
        <is>
          <t>Done</t>
        </is>
      </c>
      <c r="M20" s="4" t="n">
        <v>3</v>
      </c>
      <c r="N20" s="4" t="inlineStr">
        <is>
          <t>Implemented and functionally working; not individually covered by an automated test this session.</t>
        </is>
      </c>
      <c r="O20" s="4" t="n"/>
    </row>
    <row r="21" ht="55.2" customHeight="1">
      <c r="A21" s="4" t="inlineStr">
        <is>
          <t>US-003-007</t>
        </is>
      </c>
      <c r="B21" s="4" t="inlineStr">
        <is>
          <t>EP-003</t>
        </is>
      </c>
      <c r="C21" s="4" t="inlineStr">
        <is>
          <t>Attendance history</t>
        </is>
      </c>
      <c r="D21" s="4" t="inlineStr">
        <is>
          <t>Employee</t>
        </is>
      </c>
      <c r="E21" s="4" t="inlineStr">
        <is>
          <t>As an employee, I want to view my previous attendance records so that I can verify my working hours.</t>
        </is>
      </c>
      <c r="F21" s="4" t="n">
        <v>4</v>
      </c>
      <c r="G21" s="4" t="n"/>
      <c r="H21" s="4" t="inlineStr">
        <is>
          <t>Claude (AI Engineer)</t>
        </is>
      </c>
      <c r="I21" s="4" t="inlineStr">
        <is>
          <t>Must Have</t>
        </is>
      </c>
      <c r="J21" s="4" t="inlineStr">
        <is>
          <t>MVP</t>
        </is>
      </c>
      <c r="K21" s="4" t="inlineStr">
        <is>
          <t>Week 1</t>
        </is>
      </c>
      <c r="L21" s="4" t="inlineStr">
        <is>
          <t>Done</t>
        </is>
      </c>
      <c r="M21" s="4" t="n">
        <v>3</v>
      </c>
      <c r="N21" s="4" t="inlineStr">
        <is>
          <t>Implemented and functionally working; not individually covered by an automated test this session.</t>
        </is>
      </c>
      <c r="O21" s="4" t="n"/>
    </row>
    <row r="22" ht="55.2" customHeight="1">
      <c r="A22" s="4" t="inlineStr">
        <is>
          <t>US-003-008</t>
        </is>
      </c>
      <c r="B22" s="4" t="inlineStr">
        <is>
          <t>EP-003</t>
        </is>
      </c>
      <c r="C22" s="4" t="inlineStr">
        <is>
          <t>Administrator live attendance list</t>
        </is>
      </c>
      <c r="D22" s="4" t="inlineStr">
        <is>
          <t>Administrator</t>
        </is>
      </c>
      <c r="E22" s="4" t="inlineStr">
        <is>
          <t>As an administrator, I want to see who is currently clocked in so that I understand current staffing.</t>
        </is>
      </c>
      <c r="F22" s="4" t="n">
        <v>4</v>
      </c>
      <c r="G22" s="4" t="n"/>
      <c r="H22" s="4" t="inlineStr">
        <is>
          <t>Claude (AI Engineer)</t>
        </is>
      </c>
      <c r="I22" s="4" t="inlineStr">
        <is>
          <t>Must Have</t>
        </is>
      </c>
      <c r="J22" s="4" t="inlineStr">
        <is>
          <t>MVP</t>
        </is>
      </c>
      <c r="K22" s="4" t="inlineStr">
        <is>
          <t>Week 1</t>
        </is>
      </c>
      <c r="L22" s="4" t="inlineStr">
        <is>
          <t>Done</t>
        </is>
      </c>
      <c r="M22" s="4" t="n">
        <v>3</v>
      </c>
      <c r="N22" s="4" t="inlineStr">
        <is>
          <t>Implemented and functionally working; not individually covered by an automated test this session.</t>
        </is>
      </c>
      <c r="O22" s="4" t="n"/>
    </row>
    <row r="23" ht="55.2" customHeight="1">
      <c r="A23" s="4" t="inlineStr">
        <is>
          <t>US-004-001</t>
        </is>
      </c>
      <c r="B23" s="4" t="inlineStr">
        <is>
          <t>EP-004</t>
        </is>
      </c>
      <c r="C23" s="4" t="inlineStr">
        <is>
          <t>Start break</t>
        </is>
      </c>
      <c r="D23" s="4" t="inlineStr">
        <is>
          <t>Employee</t>
        </is>
      </c>
      <c r="E23" s="4" t="inlineStr">
        <is>
          <t>As an employee, I want to start a break so that non-working break time is tracked.</t>
        </is>
      </c>
      <c r="F23" s="4" t="n">
        <v>4</v>
      </c>
      <c r="G23" s="4" t="n"/>
      <c r="H23" s="4" t="inlineStr">
        <is>
          <t>Claude (AI Engineer)</t>
        </is>
      </c>
      <c r="I23" s="4" t="inlineStr">
        <is>
          <t>Must Have</t>
        </is>
      </c>
      <c r="J23" s="4" t="inlineStr">
        <is>
          <t>MVP</t>
        </is>
      </c>
      <c r="K23" s="4" t="inlineStr">
        <is>
          <t>Week 1</t>
        </is>
      </c>
      <c r="L23" s="4" t="inlineStr">
        <is>
          <t>Done</t>
        </is>
      </c>
      <c r="M23" s="4" t="n">
        <v>3</v>
      </c>
      <c r="N23" s="4" t="inlineStr">
        <is>
          <t>Verified by e2e test: starting a break pauses the active task timer at the same server boundary (BR-005).</t>
        </is>
      </c>
      <c r="O23" s="4" t="n"/>
    </row>
    <row r="24" ht="41.4" customHeight="1">
      <c r="A24" s="4" t="inlineStr">
        <is>
          <t>US-004-002</t>
        </is>
      </c>
      <c r="B24" s="4" t="inlineStr">
        <is>
          <t>EP-004</t>
        </is>
      </c>
      <c r="C24" s="4" t="inlineStr">
        <is>
          <t>End break</t>
        </is>
      </c>
      <c r="D24" s="4" t="inlineStr">
        <is>
          <t>Employee</t>
        </is>
      </c>
      <c r="E24" s="4" t="inlineStr">
        <is>
          <t>As an employee, I want to end my break so that working time resumes.</t>
        </is>
      </c>
      <c r="F24" s="4" t="n">
        <v>4</v>
      </c>
      <c r="G24" s="4" t="n"/>
      <c r="H24" s="4" t="inlineStr">
        <is>
          <t>Claude (AI Engineer)</t>
        </is>
      </c>
      <c r="I24" s="4" t="inlineStr">
        <is>
          <t>Must Have</t>
        </is>
      </c>
      <c r="J24" s="4" t="inlineStr">
        <is>
          <t>MVP</t>
        </is>
      </c>
      <c r="K24" s="4" t="inlineStr">
        <is>
          <t>Week 1</t>
        </is>
      </c>
      <c r="L24" s="4" t="inlineStr">
        <is>
          <t>Done</t>
        </is>
      </c>
      <c r="M24" s="4" t="n">
        <v>3</v>
      </c>
      <c r="N24" s="4" t="inlineStr">
        <is>
          <t>Verified by e2e test: ending a break does not auto-resume the task (BR-006).</t>
        </is>
      </c>
      <c r="O24" s="4" t="n"/>
    </row>
    <row r="25" ht="69" customHeight="1">
      <c r="A25" s="4" t="inlineStr">
        <is>
          <t>US-004-003</t>
        </is>
      </c>
      <c r="B25" s="4" t="inlineStr">
        <is>
          <t>EP-004</t>
        </is>
      </c>
      <c r="C25" s="4" t="inlineStr">
        <is>
          <t>Multiple breaks in one day</t>
        </is>
      </c>
      <c r="D25" s="4" t="inlineStr">
        <is>
          <t>Employee</t>
        </is>
      </c>
      <c r="E25" s="4" t="inlineStr">
        <is>
          <t>As an employee, I want to take more than one break during a workday so that all break periods are recorded.</t>
        </is>
      </c>
      <c r="F25" s="4" t="n">
        <v>4</v>
      </c>
      <c r="G25" s="4" t="n"/>
      <c r="H25" s="4" t="inlineStr">
        <is>
          <t>Claude (AI Engineer)</t>
        </is>
      </c>
      <c r="I25" s="4" t="inlineStr">
        <is>
          <t>Must Have</t>
        </is>
      </c>
      <c r="J25" s="4" t="inlineStr">
        <is>
          <t>MVP</t>
        </is>
      </c>
      <c r="K25" s="4" t="inlineStr">
        <is>
          <t>Week 1</t>
        </is>
      </c>
      <c r="L25" s="4" t="inlineStr">
        <is>
          <t>Done</t>
        </is>
      </c>
      <c r="M25" s="4" t="n">
        <v>3</v>
      </c>
      <c r="N25" s="4" t="inlineStr">
        <is>
          <t>Verified by e2e test: two sequential breaks in one day each create a separate, non-overlapping record linked to the same attendance session.</t>
        </is>
      </c>
      <c r="O25" s="4" t="n"/>
    </row>
    <row r="26" ht="55.2" customHeight="1">
      <c r="A26" s="4" t="inlineStr">
        <is>
          <t>US-004-004</t>
        </is>
      </c>
      <c r="B26" s="4" t="inlineStr">
        <is>
          <t>EP-004</t>
        </is>
      </c>
      <c r="C26" s="4" t="inlineStr">
        <is>
          <t>Pause active task when break starts</t>
        </is>
      </c>
      <c r="D26" s="4" t="inlineStr">
        <is>
          <t>Employee</t>
        </is>
      </c>
      <c r="E26" s="4" t="inlineStr">
        <is>
          <t>As an employee, I want an active task timer paused when I start a break so that task time does not include break time.</t>
        </is>
      </c>
      <c r="F26" s="4" t="n">
        <v>4</v>
      </c>
      <c r="G26" s="4" t="n"/>
      <c r="H26" s="4" t="inlineStr">
        <is>
          <t>Claude (AI Engineer)</t>
        </is>
      </c>
      <c r="I26" s="4" t="inlineStr">
        <is>
          <t>Must Have</t>
        </is>
      </c>
      <c r="J26" s="4" t="inlineStr">
        <is>
          <t>MVP</t>
        </is>
      </c>
      <c r="K26" s="4" t="inlineStr">
        <is>
          <t>Week 1</t>
        </is>
      </c>
      <c r="L26" s="4" t="inlineStr">
        <is>
          <t>Done</t>
        </is>
      </c>
      <c r="M26" s="4" t="n">
        <v>3</v>
      </c>
      <c r="N26" s="4" t="inlineStr">
        <is>
          <t>Verified by e2e test (BR-005): active timer closed atomically when break starts; caller is told which task paused.</t>
        </is>
      </c>
      <c r="O26" s="4" t="n"/>
    </row>
    <row r="27" ht="55.2" customHeight="1">
      <c r="A27" s="4" t="inlineStr">
        <is>
          <t>US-004-005</t>
        </is>
      </c>
      <c r="B27" s="4" t="inlineStr">
        <is>
          <t>EP-004</t>
        </is>
      </c>
      <c r="C27" s="4" t="inlineStr">
        <is>
          <t>Break history</t>
        </is>
      </c>
      <c r="D27" s="4" t="inlineStr">
        <is>
          <t>Employee</t>
        </is>
      </c>
      <c r="E27" s="4" t="inlineStr">
        <is>
          <t>As an employee, I want to view breaks within each attendance day.</t>
        </is>
      </c>
      <c r="F27" s="4" t="n">
        <v>4</v>
      </c>
      <c r="G27" s="4" t="n"/>
      <c r="H27" s="4" t="inlineStr">
        <is>
          <t>Claude (AI Engineer)</t>
        </is>
      </c>
      <c r="I27" s="4" t="inlineStr">
        <is>
          <t>Must Have</t>
        </is>
      </c>
      <c r="J27" s="4" t="inlineStr">
        <is>
          <t>MVP</t>
        </is>
      </c>
      <c r="K27" s="4" t="inlineStr">
        <is>
          <t>Week 1</t>
        </is>
      </c>
      <c r="L27" s="4" t="inlineStr">
        <is>
          <t>Done</t>
        </is>
      </c>
      <c r="M27" s="4" t="n">
        <v>3</v>
      </c>
      <c r="N27" s="4" t="inlineStr">
        <is>
          <t>Implemented and functionally working; not individually covered by an automated test this session.</t>
        </is>
      </c>
      <c r="O27" s="4" t="n"/>
    </row>
    <row r="28" ht="55.2" customHeight="1">
      <c r="A28" s="4" t="inlineStr">
        <is>
          <t>US-004-006</t>
        </is>
      </c>
      <c r="B28" s="4" t="inlineStr">
        <is>
          <t>EP-004</t>
        </is>
      </c>
      <c r="C28" s="4" t="inlineStr">
        <is>
          <t>Administrator break report</t>
        </is>
      </c>
      <c r="D28" s="4" t="inlineStr">
        <is>
          <t>Administrator</t>
        </is>
      </c>
      <c r="E28" s="4" t="inlineStr">
        <is>
          <t>As an administrator, I want break reporting so that I can review break usage.</t>
        </is>
      </c>
      <c r="F28" s="4" t="n">
        <v>4</v>
      </c>
      <c r="G28" s="4" t="n"/>
      <c r="H28" s="4" t="inlineStr">
        <is>
          <t>Claude (AI Engineer)</t>
        </is>
      </c>
      <c r="I28" s="4" t="inlineStr">
        <is>
          <t>Must Have</t>
        </is>
      </c>
      <c r="J28" s="4" t="inlineStr">
        <is>
          <t>MVP</t>
        </is>
      </c>
      <c r="K28" s="4" t="inlineStr">
        <is>
          <t>Week 1</t>
        </is>
      </c>
      <c r="L28" s="4" t="inlineStr">
        <is>
          <t>Done</t>
        </is>
      </c>
      <c r="M28" s="4" t="n">
        <v>3</v>
      </c>
      <c r="N28" s="4" t="inlineStr">
        <is>
          <t>Implemented and functionally working; not individually covered by an automated test this session.</t>
        </is>
      </c>
      <c r="O28" s="4" t="n"/>
    </row>
    <row r="29" ht="41.4" customHeight="1">
      <c r="A29" s="4" t="inlineStr">
        <is>
          <t>US-005-001</t>
        </is>
      </c>
      <c r="B29" s="4" t="inlineStr">
        <is>
          <t>EP-005</t>
        </is>
      </c>
      <c r="C29" s="4" t="inlineStr">
        <is>
          <t>Create task</t>
        </is>
      </c>
      <c r="D29" s="4" t="inlineStr">
        <is>
          <t>Administrator</t>
        </is>
      </c>
      <c r="E29" s="4" t="inlineStr">
        <is>
          <t>As an administrator, I want to create a task so that work can be assigned and timed.</t>
        </is>
      </c>
      <c r="F29" s="4" t="n">
        <v>4</v>
      </c>
      <c r="G29" s="4" t="n"/>
      <c r="H29" s="4" t="inlineStr">
        <is>
          <t>Claude (AI Engineer)</t>
        </is>
      </c>
      <c r="I29" s="4" t="inlineStr">
        <is>
          <t>Must Have</t>
        </is>
      </c>
      <c r="J29" s="4" t="inlineStr">
        <is>
          <t>MVP</t>
        </is>
      </c>
      <c r="K29" s="4" t="inlineStr">
        <is>
          <t>Week 1</t>
        </is>
      </c>
      <c r="L29" s="4" t="inlineStr">
        <is>
          <t>Done</t>
        </is>
      </c>
      <c r="M29" s="4" t="n">
        <v>3</v>
      </c>
      <c r="N29" s="4" t="inlineStr">
        <is>
          <t>Verified by e2e test: admin-created task receives a UUID and audit entry.</t>
        </is>
      </c>
      <c r="O29" s="4" t="n"/>
    </row>
    <row r="30" ht="55.2" customHeight="1">
      <c r="A30" s="4" t="inlineStr">
        <is>
          <t>US-005-002</t>
        </is>
      </c>
      <c r="B30" s="4" t="inlineStr">
        <is>
          <t>EP-005</t>
        </is>
      </c>
      <c r="C30" s="4" t="inlineStr">
        <is>
          <t>Employee creates own task</t>
        </is>
      </c>
      <c r="D30" s="4" t="inlineStr">
        <is>
          <t>Employee</t>
        </is>
      </c>
      <c r="E30" s="4" t="inlineStr">
        <is>
          <t>As an employee, I want to create a task when permitted so that unplanned work can still be tracked.</t>
        </is>
      </c>
      <c r="F30" s="4" t="n">
        <v>4</v>
      </c>
      <c r="G30" s="4" t="n"/>
      <c r="H30" s="4" t="inlineStr">
        <is>
          <t>Claude (AI Engineer)</t>
        </is>
      </c>
      <c r="I30" s="4" t="inlineStr">
        <is>
          <t>Must Have</t>
        </is>
      </c>
      <c r="J30" s="4" t="inlineStr">
        <is>
          <t>MVP</t>
        </is>
      </c>
      <c r="K30" s="4" t="inlineStr">
        <is>
          <t>Week 1</t>
        </is>
      </c>
      <c r="L30" s="4" t="inlineStr">
        <is>
          <t>Done</t>
        </is>
      </c>
      <c r="M30" s="4" t="n">
        <v>3</v>
      </c>
      <c r="N30" s="4" t="inlineStr">
        <is>
          <t>Implemented and functionally working; not individually covered by an automated test this session.</t>
        </is>
      </c>
      <c r="O30" s="4" t="n"/>
    </row>
    <row r="31" ht="27.6" customHeight="1">
      <c r="A31" s="4" t="inlineStr">
        <is>
          <t>US-005-003</t>
        </is>
      </c>
      <c r="B31" s="4" t="inlineStr">
        <is>
          <t>EP-005</t>
        </is>
      </c>
      <c r="C31" s="4" t="inlineStr">
        <is>
          <t>Assign task to user</t>
        </is>
      </c>
      <c r="D31" s="4" t="inlineStr">
        <is>
          <t>Administrator</t>
        </is>
      </c>
      <c r="E31" s="4" t="inlineStr">
        <is>
          <t>As an administrator, I want to assign a task to an employee so that responsibility is clear.</t>
        </is>
      </c>
      <c r="F31" s="4" t="n">
        <v>4</v>
      </c>
      <c r="G31" s="4" t="n"/>
      <c r="H31" s="4" t="inlineStr">
        <is>
          <t>Claude (AI Engineer)</t>
        </is>
      </c>
      <c r="I31" s="4" t="inlineStr">
        <is>
          <t>Must Have</t>
        </is>
      </c>
      <c r="J31" s="4" t="inlineStr">
        <is>
          <t>MVP</t>
        </is>
      </c>
      <c r="K31" s="4" t="inlineStr">
        <is>
          <t>Week 1</t>
        </is>
      </c>
      <c r="L31" s="4" t="inlineStr">
        <is>
          <t>Done</t>
        </is>
      </c>
      <c r="M31" s="4" t="n">
        <v>3</v>
      </c>
      <c r="N31" s="4" t="inlineStr">
        <is>
          <t>Verified by e2e test: task assignment visible to assignee.</t>
        </is>
      </c>
      <c r="O31" s="4" t="n"/>
    </row>
    <row r="32" ht="55.2" customHeight="1">
      <c r="A32" s="4" t="inlineStr">
        <is>
          <t>US-005-004</t>
        </is>
      </c>
      <c r="B32" s="4" t="inlineStr">
        <is>
          <t>EP-005</t>
        </is>
      </c>
      <c r="C32" s="4" t="inlineStr">
        <is>
          <t>Set task priority</t>
        </is>
      </c>
      <c r="D32" s="4" t="inlineStr">
        <is>
          <t>Administrator</t>
        </is>
      </c>
      <c r="E32" s="4" t="inlineStr">
        <is>
          <t>As an administrator, I want task priority so that employees can understand relative urgency.</t>
        </is>
      </c>
      <c r="F32" s="4" t="n">
        <v>4</v>
      </c>
      <c r="G32" s="4" t="n"/>
      <c r="H32" s="4" t="inlineStr">
        <is>
          <t>Claude (AI Engineer)</t>
        </is>
      </c>
      <c r="I32" s="4" t="inlineStr">
        <is>
          <t>Must Have</t>
        </is>
      </c>
      <c r="J32" s="4" t="inlineStr">
        <is>
          <t>MVP</t>
        </is>
      </c>
      <c r="K32" s="4" t="inlineStr">
        <is>
          <t>Week 1</t>
        </is>
      </c>
      <c r="L32" s="4" t="inlineStr">
        <is>
          <t>Done</t>
        </is>
      </c>
      <c r="M32" s="4" t="n">
        <v>3</v>
      </c>
      <c r="N32" s="4" t="inlineStr">
        <is>
          <t>Implemented and functionally working; not individually covered by an automated test this session.</t>
        </is>
      </c>
      <c r="O32" s="4" t="n"/>
    </row>
    <row r="33" ht="55.2" customHeight="1">
      <c r="A33" s="4" t="inlineStr">
        <is>
          <t>US-005-005</t>
        </is>
      </c>
      <c r="B33" s="4" t="inlineStr">
        <is>
          <t>EP-005</t>
        </is>
      </c>
      <c r="C33" s="4" t="inlineStr">
        <is>
          <t>Set estimated time</t>
        </is>
      </c>
      <c r="D33" s="4" t="inlineStr">
        <is>
          <t>Administrator</t>
        </is>
      </c>
      <c r="E33" s="4" t="inlineStr">
        <is>
          <t>As an administrator, I want an estimated task duration so that actual effort can be compared.</t>
        </is>
      </c>
      <c r="F33" s="4" t="n">
        <v>4</v>
      </c>
      <c r="G33" s="4" t="n"/>
      <c r="H33" s="4" t="inlineStr">
        <is>
          <t>Claude (AI Engineer)</t>
        </is>
      </c>
      <c r="I33" s="4" t="inlineStr">
        <is>
          <t>Must Have</t>
        </is>
      </c>
      <c r="J33" s="4" t="inlineStr">
        <is>
          <t>MVP</t>
        </is>
      </c>
      <c r="K33" s="4" t="inlineStr">
        <is>
          <t>Week 1</t>
        </is>
      </c>
      <c r="L33" s="4" t="inlineStr">
        <is>
          <t>Done</t>
        </is>
      </c>
      <c r="M33" s="4" t="n">
        <v>3</v>
      </c>
      <c r="N33" s="4" t="inlineStr">
        <is>
          <t>Implemented and functionally working; not individually covered by an automated test this session.</t>
        </is>
      </c>
      <c r="O33" s="4" t="n"/>
    </row>
    <row r="34" ht="55.2" customHeight="1">
      <c r="A34" s="4" t="inlineStr">
        <is>
          <t>US-005-006</t>
        </is>
      </c>
      <c r="B34" s="4" t="inlineStr">
        <is>
          <t>EP-005</t>
        </is>
      </c>
      <c r="C34" s="4" t="inlineStr">
        <is>
          <t>Update task status</t>
        </is>
      </c>
      <c r="D34" s="4" t="inlineStr">
        <is>
          <t>Employee</t>
        </is>
      </c>
      <c r="E34" s="4" t="inlineStr">
        <is>
          <t>As an employee, I want to update task status so that progress is visible.</t>
        </is>
      </c>
      <c r="F34" s="4" t="n">
        <v>4</v>
      </c>
      <c r="G34" s="4" t="n"/>
      <c r="H34" s="4" t="inlineStr">
        <is>
          <t>Claude (AI Engineer)</t>
        </is>
      </c>
      <c r="I34" s="4" t="inlineStr">
        <is>
          <t>Must Have</t>
        </is>
      </c>
      <c r="J34" s="4" t="inlineStr">
        <is>
          <t>MVP</t>
        </is>
      </c>
      <c r="K34" s="4" t="inlineStr">
        <is>
          <t>Week 1</t>
        </is>
      </c>
      <c r="L34" s="4" t="inlineStr">
        <is>
          <t>Done</t>
        </is>
      </c>
      <c r="M34" s="4" t="n">
        <v>3</v>
      </c>
      <c r="N34" s="4" t="inlineStr">
        <is>
          <t>Implemented and functionally working; not individually covered by an automated test this session.</t>
        </is>
      </c>
      <c r="O34" s="4" t="n"/>
    </row>
    <row r="35" ht="55.2" customHeight="1">
      <c r="A35" s="4" t="inlineStr">
        <is>
          <t>US-005-007</t>
        </is>
      </c>
      <c r="B35" s="4" t="inlineStr">
        <is>
          <t>EP-005</t>
        </is>
      </c>
      <c r="C35" s="4" t="inlineStr">
        <is>
          <t>Complete task</t>
        </is>
      </c>
      <c r="D35" s="4" t="inlineStr">
        <is>
          <t>Employee</t>
        </is>
      </c>
      <c r="E35" s="4" t="inlineStr">
        <is>
          <t>As an employee, I want to mark a task completed so that finished work is clearly identified.</t>
        </is>
      </c>
      <c r="F35" s="4" t="n">
        <v>4</v>
      </c>
      <c r="G35" s="4" t="n"/>
      <c r="H35" s="4" t="inlineStr">
        <is>
          <t>Claude (AI Engineer)</t>
        </is>
      </c>
      <c r="I35" s="4" t="inlineStr">
        <is>
          <t>Must Have</t>
        </is>
      </c>
      <c r="J35" s="4" t="inlineStr">
        <is>
          <t>MVP</t>
        </is>
      </c>
      <c r="K35" s="4" t="inlineStr">
        <is>
          <t>Week 1</t>
        </is>
      </c>
      <c r="L35" s="4" t="inlineStr">
        <is>
          <t>Done</t>
        </is>
      </c>
      <c r="M35" s="4" t="n">
        <v>3</v>
      </c>
      <c r="N35" s="4" t="inlineStr">
        <is>
          <t>Implemented and functionally working; not individually covered by an automated test this session.</t>
        </is>
      </c>
      <c r="O35" s="4" t="n"/>
    </row>
    <row r="36" ht="55.2" customHeight="1">
      <c r="A36" s="4" t="inlineStr">
        <is>
          <t>US-005-008</t>
        </is>
      </c>
      <c r="B36" s="4" t="inlineStr">
        <is>
          <t>EP-005</t>
        </is>
      </c>
      <c r="C36" s="4" t="inlineStr">
        <is>
          <t>My task list</t>
        </is>
      </c>
      <c r="D36" s="4" t="inlineStr">
        <is>
          <t>Employee</t>
        </is>
      </c>
      <c r="E36" s="4" t="inlineStr">
        <is>
          <t>As an employee, I want to see my assigned tasks so that I know what work is available.</t>
        </is>
      </c>
      <c r="F36" s="4" t="n">
        <v>4</v>
      </c>
      <c r="G36" s="4" t="n"/>
      <c r="H36" s="4" t="inlineStr">
        <is>
          <t>Claude (AI Engineer)</t>
        </is>
      </c>
      <c r="I36" s="4" t="inlineStr">
        <is>
          <t>Must Have</t>
        </is>
      </c>
      <c r="J36" s="4" t="inlineStr">
        <is>
          <t>MVP</t>
        </is>
      </c>
      <c r="K36" s="4" t="inlineStr">
        <is>
          <t>Week 1</t>
        </is>
      </c>
      <c r="L36" s="4" t="inlineStr">
        <is>
          <t>Done</t>
        </is>
      </c>
      <c r="M36" s="4" t="n">
        <v>3</v>
      </c>
      <c r="N36" s="4" t="inlineStr">
        <is>
          <t>Implemented and functionally working; not individually covered by an automated test this session.</t>
        </is>
      </c>
      <c r="O36" s="4" t="n"/>
    </row>
    <row r="37" ht="55.2" customHeight="1">
      <c r="A37" s="4" t="inlineStr">
        <is>
          <t>US-006-001</t>
        </is>
      </c>
      <c r="B37" s="4" t="inlineStr">
        <is>
          <t>EP-006</t>
        </is>
      </c>
      <c r="C37" s="4" t="inlineStr">
        <is>
          <t>Start task timer</t>
        </is>
      </c>
      <c r="D37" s="4" t="inlineStr">
        <is>
          <t>Employee</t>
        </is>
      </c>
      <c r="E37" s="4" t="inlineStr">
        <is>
          <t>As an employee, I want to start a timer on a task so that actual task effort is recorded.</t>
        </is>
      </c>
      <c r="F37" s="4" t="n">
        <v>4</v>
      </c>
      <c r="G37" s="4" t="n"/>
      <c r="H37" s="4" t="inlineStr">
        <is>
          <t>Claude (AI Engineer)</t>
        </is>
      </c>
      <c r="I37" s="4" t="inlineStr">
        <is>
          <t>Must Have</t>
        </is>
      </c>
      <c r="J37" s="4" t="inlineStr">
        <is>
          <t>MVP</t>
        </is>
      </c>
      <c r="K37" s="4" t="inlineStr">
        <is>
          <t>Week 1</t>
        </is>
      </c>
      <c r="L37" s="4" t="inlineStr">
        <is>
          <t>Done</t>
        </is>
      </c>
      <c r="M37" s="4" t="n">
        <v>3</v>
      </c>
      <c r="N37" s="4" t="inlineStr">
        <is>
          <t>Verified by e2e test: requires clocked-in/not-on-break, rejects when already running (BR-003 via DB partial unique index).</t>
        </is>
      </c>
      <c r="O37" s="4" t="n"/>
    </row>
    <row r="38" ht="55.2" customHeight="1">
      <c r="A38" s="4" t="inlineStr">
        <is>
          <t>US-006-002</t>
        </is>
      </c>
      <c r="B38" s="4" t="inlineStr">
        <is>
          <t>EP-006</t>
        </is>
      </c>
      <c r="C38" s="4" t="inlineStr">
        <is>
          <t>Global active timer display</t>
        </is>
      </c>
      <c r="D38" s="4" t="inlineStr">
        <is>
          <t>Employee</t>
        </is>
      </c>
      <c r="E38" s="4" t="inlineStr">
        <is>
          <t>As an employee, I want the running task timer visible throughout the application so that I always know what is being tracked.</t>
        </is>
      </c>
      <c r="F38" s="4" t="n">
        <v>4</v>
      </c>
      <c r="G38" s="4" t="n"/>
      <c r="H38" s="4" t="inlineStr">
        <is>
          <t>Claude (AI Engineer)</t>
        </is>
      </c>
      <c r="I38" s="4" t="inlineStr">
        <is>
          <t>Must Have</t>
        </is>
      </c>
      <c r="J38" s="4" t="inlineStr">
        <is>
          <t>MVP</t>
        </is>
      </c>
      <c r="K38" s="4" t="inlineStr">
        <is>
          <t>Week 1</t>
        </is>
      </c>
      <c r="L38" s="4" t="inlineStr">
        <is>
          <t>Done</t>
        </is>
      </c>
      <c r="M38" s="4" t="n">
        <v>3</v>
      </c>
      <c r="N38" s="4" t="inlineStr">
        <is>
          <t>Implemented and functionally working; not individually covered by an automated test this session.</t>
        </is>
      </c>
      <c r="O38" s="4" t="n"/>
    </row>
    <row r="39" ht="55.2" customHeight="1">
      <c r="A39" s="4" t="inlineStr">
        <is>
          <t>US-006-003</t>
        </is>
      </c>
      <c r="B39" s="4" t="inlineStr">
        <is>
          <t>EP-006</t>
        </is>
      </c>
      <c r="C39" s="4" t="inlineStr">
        <is>
          <t>Pause task timer</t>
        </is>
      </c>
      <c r="D39" s="4" t="inlineStr">
        <is>
          <t>Employee</t>
        </is>
      </c>
      <c r="E39" s="4" t="inlineStr">
        <is>
          <t>As an employee, I want to pause task tracking so that non-task time is not recorded.</t>
        </is>
      </c>
      <c r="F39" s="4" t="n">
        <v>4</v>
      </c>
      <c r="G39" s="4" t="n"/>
      <c r="H39" s="4" t="inlineStr">
        <is>
          <t>Claude (AI Engineer)</t>
        </is>
      </c>
      <c r="I39" s="4" t="inlineStr">
        <is>
          <t>Must Have</t>
        </is>
      </c>
      <c r="J39" s="4" t="inlineStr">
        <is>
          <t>MVP</t>
        </is>
      </c>
      <c r="K39" s="4" t="inlineStr">
        <is>
          <t>Week 1</t>
        </is>
      </c>
      <c r="L39" s="4" t="inlineStr">
        <is>
          <t>Done</t>
        </is>
      </c>
      <c r="M39" s="4" t="n">
        <v>3</v>
      </c>
      <c r="N39" s="4" t="inlineStr">
        <is>
          <t>Implemented; pause closes the current segment. Covered indirectly by switch/stop e2e assertions.</t>
        </is>
      </c>
      <c r="O39" s="4" t="n"/>
    </row>
    <row r="40" ht="41.4" customHeight="1">
      <c r="A40" s="4" t="inlineStr">
        <is>
          <t>US-006-004</t>
        </is>
      </c>
      <c r="B40" s="4" t="inlineStr">
        <is>
          <t>EP-006</t>
        </is>
      </c>
      <c r="C40" s="4" t="inlineStr">
        <is>
          <t>Resume task timer</t>
        </is>
      </c>
      <c r="D40" s="4" t="inlineStr">
        <is>
          <t>Employee</t>
        </is>
      </c>
      <c r="E40" s="4" t="inlineStr">
        <is>
          <t>As an employee, I want to resume a paused task so that tracking continues.</t>
        </is>
      </c>
      <c r="F40" s="4" t="n">
        <v>4</v>
      </c>
      <c r="G40" s="4" t="n"/>
      <c r="H40" s="4" t="inlineStr">
        <is>
          <t>Claude (AI Engineer)</t>
        </is>
      </c>
      <c r="I40" s="4" t="inlineStr">
        <is>
          <t>Must Have</t>
        </is>
      </c>
      <c r="J40" s="4" t="inlineStr">
        <is>
          <t>MVP</t>
        </is>
      </c>
      <c r="K40" s="4" t="inlineStr">
        <is>
          <t>Week 1</t>
        </is>
      </c>
      <c r="L40" s="4" t="inlineStr">
        <is>
          <t>Done</t>
        </is>
      </c>
      <c r="M40" s="4" t="n">
        <v>3</v>
      </c>
      <c r="N40" s="4" t="inlineStr">
        <is>
          <t>Verified by e2e test: resume after break creates a new segment; only one active timer afterward.</t>
        </is>
      </c>
      <c r="O40" s="4" t="n"/>
    </row>
    <row r="41" ht="55.2" customHeight="1">
      <c r="A41" s="4" t="inlineStr">
        <is>
          <t>US-006-005</t>
        </is>
      </c>
      <c r="B41" s="4" t="inlineStr">
        <is>
          <t>EP-006</t>
        </is>
      </c>
      <c r="C41" s="4" t="inlineStr">
        <is>
          <t>Stop task timer</t>
        </is>
      </c>
      <c r="D41" s="4" t="inlineStr">
        <is>
          <t>Employee</t>
        </is>
      </c>
      <c r="E41" s="4" t="inlineStr">
        <is>
          <t>As an employee, I want to stop task tracking so that the task time entry is finalised.</t>
        </is>
      </c>
      <c r="F41" s="4" t="n">
        <v>4</v>
      </c>
      <c r="G41" s="4" t="n"/>
      <c r="H41" s="4" t="inlineStr">
        <is>
          <t>Claude (AI Engineer)</t>
        </is>
      </c>
      <c r="I41" s="4" t="inlineStr">
        <is>
          <t>Must Have</t>
        </is>
      </c>
      <c r="J41" s="4" t="inlineStr">
        <is>
          <t>MVP</t>
        </is>
      </c>
      <c r="K41" s="4" t="inlineStr">
        <is>
          <t>Week 1</t>
        </is>
      </c>
      <c r="L41" s="4" t="inlineStr">
        <is>
          <t>Done</t>
        </is>
      </c>
      <c r="M41" s="4" t="n">
        <v>3</v>
      </c>
      <c r="N41" s="4" t="inlineStr">
        <is>
          <t>Implemented and functionally working; not individually covered by an automated test this session.</t>
        </is>
      </c>
      <c r="O41" s="4" t="n"/>
    </row>
    <row r="42" ht="41.4" customHeight="1">
      <c r="A42" s="4" t="inlineStr">
        <is>
          <t>US-006-006</t>
        </is>
      </c>
      <c r="B42" s="4" t="inlineStr">
        <is>
          <t>EP-006</t>
        </is>
      </c>
      <c r="C42" s="4" t="inlineStr">
        <is>
          <t>Switch task</t>
        </is>
      </c>
      <c r="D42" s="4" t="inlineStr">
        <is>
          <t>Employee</t>
        </is>
      </c>
      <c r="E42" s="4" t="inlineStr">
        <is>
          <t>As an employee, I want to switch directly to another task so that work transitions are captured accurately.</t>
        </is>
      </c>
      <c r="F42" s="4" t="n">
        <v>4</v>
      </c>
      <c r="G42" s="4" t="n"/>
      <c r="H42" s="4" t="inlineStr">
        <is>
          <t>Claude (AI Engineer)</t>
        </is>
      </c>
      <c r="I42" s="4" t="inlineStr">
        <is>
          <t>Must Have</t>
        </is>
      </c>
      <c r="J42" s="4" t="inlineStr">
        <is>
          <t>MVP</t>
        </is>
      </c>
      <c r="K42" s="4" t="inlineStr">
        <is>
          <t>Week 1</t>
        </is>
      </c>
      <c r="L42" s="4" t="inlineStr">
        <is>
          <t>Done</t>
        </is>
      </c>
      <c r="M42" s="4" t="n">
        <v>3</v>
      </c>
      <c r="N42" s="4" t="inlineStr">
        <is>
          <t>Implemented and manually browser-tested: stop+start at one consistent boundary, no overlap.</t>
        </is>
      </c>
      <c r="O42" s="4" t="n"/>
    </row>
    <row r="43" ht="55.2" customHeight="1">
      <c r="A43" s="4" t="inlineStr">
        <is>
          <t>US-006-007</t>
        </is>
      </c>
      <c r="B43" s="4" t="inlineStr">
        <is>
          <t>EP-006</t>
        </is>
      </c>
      <c r="C43" s="4" t="inlineStr">
        <is>
          <t>Prevent concurrent task timers</t>
        </is>
      </c>
      <c r="D43" s="4" t="inlineStr">
        <is>
          <t>System Administrator</t>
        </is>
      </c>
      <c r="E43" s="4" t="inlineStr">
        <is>
          <t>As a system administrator, I want concurrent task timers prevented so that time is not double counted.</t>
        </is>
      </c>
      <c r="F43" s="4" t="n">
        <v>4</v>
      </c>
      <c r="G43" s="4" t="n"/>
      <c r="H43" s="4" t="inlineStr">
        <is>
          <t>Claude (AI Engineer)</t>
        </is>
      </c>
      <c r="I43" s="4" t="inlineStr">
        <is>
          <t>Must Have</t>
        </is>
      </c>
      <c r="J43" s="4" t="inlineStr">
        <is>
          <t>MVP</t>
        </is>
      </c>
      <c r="K43" s="4" t="inlineStr">
        <is>
          <t>Week 1</t>
        </is>
      </c>
      <c r="L43" s="4" t="inlineStr">
        <is>
          <t>Done</t>
        </is>
      </c>
      <c r="M43" s="4" t="n">
        <v>3</v>
      </c>
      <c r="N43" s="4" t="inlineStr">
        <is>
          <t>Verified by e2e test: second concurrent timer rejected with existing-timer info in the response body.</t>
        </is>
      </c>
      <c r="O43" s="4" t="n"/>
    </row>
    <row r="44" ht="82.8" customHeight="1">
      <c r="A44" s="4" t="inlineStr">
        <is>
          <t>US-006-008</t>
        </is>
      </c>
      <c r="B44" s="4" t="inlineStr">
        <is>
          <t>EP-006</t>
        </is>
      </c>
      <c r="C44" s="4" t="inlineStr">
        <is>
          <t>Timer survives browser refresh</t>
        </is>
      </c>
      <c r="D44" s="4" t="inlineStr">
        <is>
          <t>Employee</t>
        </is>
      </c>
      <c r="E44" s="4" t="inlineStr">
        <is>
          <t>As an employee, I want the timer to continue if I refresh or close the page so that time is not lost.</t>
        </is>
      </c>
      <c r="F44" s="4" t="n">
        <v>4</v>
      </c>
      <c r="G44" s="4" t="n"/>
      <c r="H44" s="4" t="inlineStr">
        <is>
          <t>Claude (AI Engineer)</t>
        </is>
      </c>
      <c r="I44" s="4" t="inlineStr">
        <is>
          <t>Must Have</t>
        </is>
      </c>
      <c r="J44" s="4" t="inlineStr">
        <is>
          <t>MVP</t>
        </is>
      </c>
      <c r="K44" s="4" t="inlineStr">
        <is>
          <t>Week 1</t>
        </is>
      </c>
      <c r="L44" s="4" t="inlineStr">
        <is>
          <t>Done</t>
        </is>
      </c>
      <c r="M44" s="4" t="n">
        <v>3</v>
      </c>
      <c r="N44" s="4" t="inlineStr">
        <is>
          <t>Architecturally guaranteed — no per-second writes, elapsed time is always recomputed client-side from the stored start timestamp. Not explicitly browser-refresh-tested this session.</t>
        </is>
      </c>
      <c r="O44" s="4" t="n"/>
    </row>
    <row r="45" ht="55.2" customHeight="1">
      <c r="A45" s="4" t="inlineStr">
        <is>
          <t>US-006-009</t>
        </is>
      </c>
      <c r="B45" s="4" t="inlineStr">
        <is>
          <t>EP-006</t>
        </is>
      </c>
      <c r="C45" s="4" t="inlineStr">
        <is>
          <t>Daily task time log</t>
        </is>
      </c>
      <c r="D45" s="4" t="inlineStr">
        <is>
          <t>Employee</t>
        </is>
      </c>
      <c r="E45" s="4" t="inlineStr">
        <is>
          <t>As an employee, I want to see task time intervals for a day so that I can verify what I worked on.</t>
        </is>
      </c>
      <c r="F45" s="4" t="n">
        <v>4</v>
      </c>
      <c r="G45" s="4" t="n"/>
      <c r="H45" s="4" t="inlineStr">
        <is>
          <t>Claude (AI Engineer)</t>
        </is>
      </c>
      <c r="I45" s="4" t="inlineStr">
        <is>
          <t>Must Have</t>
        </is>
      </c>
      <c r="J45" s="4" t="inlineStr">
        <is>
          <t>MVP</t>
        </is>
      </c>
      <c r="K45" s="4" t="inlineStr">
        <is>
          <t>Week 1</t>
        </is>
      </c>
      <c r="L45" s="4" t="inlineStr">
        <is>
          <t>Done</t>
        </is>
      </c>
      <c r="M45" s="4" t="n">
        <v>3</v>
      </c>
      <c r="N45" s="4" t="inlineStr">
        <is>
          <t>Implemented and functionally working; not individually covered by an automated test this session.</t>
        </is>
      </c>
      <c r="O45" s="4" t="n"/>
    </row>
    <row r="46" ht="55.2" customHeight="1">
      <c r="A46" s="4" t="inlineStr">
        <is>
          <t>US-006-010</t>
        </is>
      </c>
      <c r="B46" s="4" t="inlineStr">
        <is>
          <t>EP-006</t>
        </is>
      </c>
      <c r="C46" s="4" t="inlineStr">
        <is>
          <t>Task estimate versus actual</t>
        </is>
      </c>
      <c r="D46" s="4" t="inlineStr">
        <is>
          <t>Employee</t>
        </is>
      </c>
      <c r="E46" s="4" t="inlineStr">
        <is>
          <t>As an employee, I want to compare estimated and actual task time so that I can understand overruns.</t>
        </is>
      </c>
      <c r="F46" s="4" t="n">
        <v>4</v>
      </c>
      <c r="G46" s="4" t="n"/>
      <c r="H46" s="4" t="inlineStr">
        <is>
          <t>Claude (AI Engineer)</t>
        </is>
      </c>
      <c r="I46" s="4" t="inlineStr">
        <is>
          <t>Must Have</t>
        </is>
      </c>
      <c r="J46" s="4" t="inlineStr">
        <is>
          <t>MVP</t>
        </is>
      </c>
      <c r="K46" s="4" t="inlineStr">
        <is>
          <t>Week 1</t>
        </is>
      </c>
      <c r="L46" s="4" t="inlineStr">
        <is>
          <t>Done</t>
        </is>
      </c>
      <c r="M46" s="4" t="n">
        <v>3</v>
      </c>
      <c r="N46" s="4" t="inlineStr">
        <is>
          <t>Implemented and functionally working; not individually covered by an automated test this session.</t>
        </is>
      </c>
      <c r="O46" s="4" t="n"/>
    </row>
    <row r="47" ht="55.2" customHeight="1">
      <c r="A47" s="4" t="inlineStr">
        <is>
          <t>US-007-001</t>
        </is>
      </c>
      <c r="B47" s="4" t="inlineStr">
        <is>
          <t>EP-007</t>
        </is>
      </c>
      <c r="C47" s="4" t="inlineStr">
        <is>
          <t>Calculate net working time</t>
        </is>
      </c>
      <c r="D47" s="4" t="inlineStr">
        <is>
          <t>System</t>
        </is>
      </c>
      <c r="E47" s="4" t="inlineStr">
        <is>
          <t>As the system, I want to calculate net working time so that attendance is accurate.</t>
        </is>
      </c>
      <c r="F47" s="4" t="n">
        <v>4</v>
      </c>
      <c r="G47" s="4" t="n"/>
      <c r="H47" s="4" t="inlineStr">
        <is>
          <t>Claude (AI Engineer)</t>
        </is>
      </c>
      <c r="I47" s="4" t="inlineStr">
        <is>
          <t>Must Have</t>
        </is>
      </c>
      <c r="J47" s="4" t="inlineStr">
        <is>
          <t>MVP</t>
        </is>
      </c>
      <c r="K47" s="4" t="inlineStr">
        <is>
          <t>Week 1</t>
        </is>
      </c>
      <c r="L47" s="4" t="inlineStr">
        <is>
          <t>Done</t>
        </is>
      </c>
      <c r="M47" s="4" t="n">
        <v>3</v>
      </c>
      <c r="N47" s="4" t="inlineStr">
        <is>
          <t>Verified by unit test (exact SRS worked example: 7h30m worked, 6h45m tasked, 45m unallocated) and e2e test.</t>
        </is>
      </c>
      <c r="O47" s="4" t="n"/>
    </row>
    <row r="48" ht="27.6" customHeight="1">
      <c r="A48" s="4" t="inlineStr">
        <is>
          <t>US-007-002</t>
        </is>
      </c>
      <c r="B48" s="4" t="inlineStr">
        <is>
          <t>EP-007</t>
        </is>
      </c>
      <c r="C48" s="4" t="inlineStr">
        <is>
          <t>Calculate task time</t>
        </is>
      </c>
      <c r="D48" s="4" t="inlineStr">
        <is>
          <t>System</t>
        </is>
      </c>
      <c r="E48" s="4" t="inlineStr">
        <is>
          <t>As the system, I want to calculate total task time for a day so that recorded activity is measurable.</t>
        </is>
      </c>
      <c r="F48" s="4" t="n">
        <v>4</v>
      </c>
      <c r="G48" s="4" t="n"/>
      <c r="H48" s="4" t="inlineStr">
        <is>
          <t>Claude (AI Engineer)</t>
        </is>
      </c>
      <c r="I48" s="4" t="inlineStr">
        <is>
          <t>Must Have</t>
        </is>
      </c>
      <c r="J48" s="4" t="inlineStr">
        <is>
          <t>MVP</t>
        </is>
      </c>
      <c r="K48" s="4" t="inlineStr">
        <is>
          <t>Week 1</t>
        </is>
      </c>
      <c r="L48" s="4" t="inlineStr">
        <is>
          <t>Done</t>
        </is>
      </c>
      <c r="M48" s="4" t="n">
        <v>3</v>
      </c>
      <c r="N48" s="4" t="inlineStr">
        <is>
          <t>Verified by unit test and e2e test.</t>
        </is>
      </c>
      <c r="O48" s="4" t="n"/>
    </row>
    <row r="49" ht="27.6" customHeight="1">
      <c r="A49" s="4" t="inlineStr">
        <is>
          <t>US-007-003</t>
        </is>
      </c>
      <c r="B49" s="4" t="inlineStr">
        <is>
          <t>EP-007</t>
        </is>
      </c>
      <c r="C49" s="4" t="inlineStr">
        <is>
          <t>Calculate unallocated time</t>
        </is>
      </c>
      <c r="D49" s="4" t="inlineStr">
        <is>
          <t>Employee</t>
        </is>
      </c>
      <c r="E49" s="4" t="inlineStr">
        <is>
          <t>As an employee, I want to see unallocated working time so that I can identify missing task tracking.</t>
        </is>
      </c>
      <c r="F49" s="4" t="n">
        <v>4</v>
      </c>
      <c r="G49" s="4" t="n"/>
      <c r="H49" s="4" t="inlineStr">
        <is>
          <t>Claude (AI Engineer)</t>
        </is>
      </c>
      <c r="I49" s="4" t="inlineStr">
        <is>
          <t>Must Have</t>
        </is>
      </c>
      <c r="J49" s="4" t="inlineStr">
        <is>
          <t>MVP</t>
        </is>
      </c>
      <c r="K49" s="4" t="inlineStr">
        <is>
          <t>Week 1</t>
        </is>
      </c>
      <c r="L49" s="4" t="inlineStr">
        <is>
          <t>Done</t>
        </is>
      </c>
      <c r="M49" s="4" t="n">
        <v>3</v>
      </c>
      <c r="N49" s="4" t="inlineStr">
        <is>
          <t>Verified by unit test (never negative) and e2e test.</t>
        </is>
      </c>
      <c r="O49" s="4" t="n"/>
    </row>
    <row r="50" ht="110.4" customHeight="1">
      <c r="A50" s="4" t="inlineStr">
        <is>
          <t>US-007-004</t>
        </is>
      </c>
      <c r="B50" s="4" t="inlineStr">
        <is>
          <t>EP-007</t>
        </is>
      </c>
      <c r="C50" s="4" t="inlineStr">
        <is>
          <t>Flag task time exceeding attendance</t>
        </is>
      </c>
      <c r="D50" s="4" t="inlineStr">
        <is>
          <t>Administrator</t>
        </is>
      </c>
      <c r="E50" s="4" t="inlineStr">
        <is>
          <t>As an administrator, I want impossible time relationships flagged so that data quality issues are corrected.</t>
        </is>
      </c>
      <c r="F50" s="4" t="n">
        <v>4</v>
      </c>
      <c r="G50" s="4" t="n"/>
      <c r="H50" s="4" t="inlineStr">
        <is>
          <t>Claude (AI Engineer)</t>
        </is>
      </c>
      <c r="I50" s="4" t="inlineStr">
        <is>
          <t>Must Have</t>
        </is>
      </c>
      <c r="J50" s="4" t="inlineStr">
        <is>
          <t>MVP</t>
        </is>
      </c>
      <c r="K50" s="4" t="inlineStr">
        <is>
          <t>Week 1</t>
        </is>
      </c>
      <c r="L50" s="4" t="inlineStr">
        <is>
          <t>Done</t>
        </is>
      </c>
      <c r="M50" s="4" t="n">
        <v>3</v>
      </c>
      <c r="N50" s="4" t="inlineStr">
        <is>
          <t>Verified by unit test: task time exceeding attendance flags hasDataQualityException without altering original records. No dedicated admin exception-review screen yet — surfaced via My Day badge and reconciliation payload only.</t>
        </is>
      </c>
      <c r="O50" s="4" t="n"/>
    </row>
    <row r="51" ht="55.2" customHeight="1">
      <c r="A51" s="4" t="inlineStr">
        <is>
          <t>US-007-005</t>
        </is>
      </c>
      <c r="B51" s="4" t="inlineStr">
        <is>
          <t>EP-007</t>
        </is>
      </c>
      <c r="C51" s="4" t="inlineStr">
        <is>
          <t>Daily activity timeline</t>
        </is>
      </c>
      <c r="D51" s="4" t="inlineStr">
        <is>
          <t>Employee</t>
        </is>
      </c>
      <c r="E51" s="4" t="inlineStr">
        <is>
          <t>As an employee, I want one timeline of attendance, breaks and task activity so that my workday is understandable.</t>
        </is>
      </c>
      <c r="F51" s="4" t="n">
        <v>4</v>
      </c>
      <c r="G51" s="4" t="n"/>
      <c r="H51" s="4" t="inlineStr">
        <is>
          <t>Claude (AI Engineer)</t>
        </is>
      </c>
      <c r="I51" s="4" t="inlineStr">
        <is>
          <t>Must Have</t>
        </is>
      </c>
      <c r="J51" s="4" t="inlineStr">
        <is>
          <t>MVP</t>
        </is>
      </c>
      <c r="K51" s="4" t="inlineStr">
        <is>
          <t>Week 1</t>
        </is>
      </c>
      <c r="L51" s="4" t="inlineStr">
        <is>
          <t>Done</t>
        </is>
      </c>
      <c r="M51" s="4" t="n">
        <v>3</v>
      </c>
      <c r="N51" s="4" t="inlineStr">
        <is>
          <t>Implemented and functionally working; not individually covered by an automated test this session.</t>
        </is>
      </c>
      <c r="O51" s="4" t="n"/>
    </row>
    <row r="52" ht="55.2" customHeight="1">
      <c r="A52" s="4" t="inlineStr">
        <is>
          <t>US-008-001</t>
        </is>
      </c>
      <c r="B52" s="4" t="inlineStr">
        <is>
          <t>EP-008</t>
        </is>
      </c>
      <c r="C52" s="4" t="inlineStr">
        <is>
          <t>Employee My Day dashboard</t>
        </is>
      </c>
      <c r="D52" s="4" t="inlineStr">
        <is>
          <t>Employee</t>
        </is>
      </c>
      <c r="E52" s="4" t="inlineStr">
        <is>
          <t>As an employee, I want a single dashboard for attendance, break status, current task and totals so that daily actions are simple.</t>
        </is>
      </c>
      <c r="F52" s="4" t="n">
        <v>4</v>
      </c>
      <c r="G52" s="4" t="n"/>
      <c r="H52" s="4" t="inlineStr">
        <is>
          <t>Claude (AI Engineer)</t>
        </is>
      </c>
      <c r="I52" s="4" t="inlineStr">
        <is>
          <t>Must Have</t>
        </is>
      </c>
      <c r="J52" s="4" t="inlineStr">
        <is>
          <t>MVP</t>
        </is>
      </c>
      <c r="K52" s="4" t="inlineStr">
        <is>
          <t>Week 1</t>
        </is>
      </c>
      <c r="L52" s="4" t="inlineStr">
        <is>
          <t>Done</t>
        </is>
      </c>
      <c r="M52" s="4" t="n">
        <v>3</v>
      </c>
      <c r="N52" s="4" t="inlineStr">
        <is>
          <t>Implemented and functionally working; not individually covered by an automated test this session.</t>
        </is>
      </c>
      <c r="O52" s="4" t="n"/>
    </row>
    <row r="53" ht="55.2" customHeight="1">
      <c r="A53" s="4" t="inlineStr">
        <is>
          <t>US-008-002</t>
        </is>
      </c>
      <c r="B53" s="4" t="inlineStr">
        <is>
          <t>EP-008</t>
        </is>
      </c>
      <c r="C53" s="4" t="inlineStr">
        <is>
          <t>Administrator dashboard KPIs</t>
        </is>
      </c>
      <c r="D53" s="4" t="inlineStr">
        <is>
          <t>Administrator</t>
        </is>
      </c>
      <c r="E53" s="4" t="inlineStr">
        <is>
          <t>As an administrator, I want high-level daily KPIs so that I can understand current workforce activity.</t>
        </is>
      </c>
      <c r="F53" s="4" t="n">
        <v>4</v>
      </c>
      <c r="G53" s="4" t="n"/>
      <c r="H53" s="4" t="inlineStr">
        <is>
          <t>Claude (AI Engineer)</t>
        </is>
      </c>
      <c r="I53" s="4" t="inlineStr">
        <is>
          <t>Must Have</t>
        </is>
      </c>
      <c r="J53" s="4" t="inlineStr">
        <is>
          <t>MVP</t>
        </is>
      </c>
      <c r="K53" s="4" t="inlineStr">
        <is>
          <t>Week 1</t>
        </is>
      </c>
      <c r="L53" s="4" t="inlineStr">
        <is>
          <t>Done</t>
        </is>
      </c>
      <c r="M53" s="4" t="n">
        <v>3</v>
      </c>
      <c r="N53" s="4" t="inlineStr">
        <is>
          <t>Implemented and functionally working; not individually covered by an automated test this session.</t>
        </is>
      </c>
      <c r="O53" s="4" t="n"/>
    </row>
    <row r="54" ht="55.2" customHeight="1">
      <c r="A54" s="4" t="inlineStr">
        <is>
          <t>US-008-003</t>
        </is>
      </c>
      <c r="B54" s="4" t="inlineStr">
        <is>
          <t>EP-008</t>
        </is>
      </c>
      <c r="C54" s="4" t="inlineStr">
        <is>
          <t>Live user activity table</t>
        </is>
      </c>
      <c r="D54" s="4" t="inlineStr">
        <is>
          <t>Administrator</t>
        </is>
      </c>
      <c r="E54" s="4" t="inlineStr">
        <is>
          <t>As an administrator, I want a live table of user status so that I can see current attendance and task activity.</t>
        </is>
      </c>
      <c r="F54" s="4" t="n">
        <v>4</v>
      </c>
      <c r="G54" s="4" t="n"/>
      <c r="H54" s="4" t="inlineStr">
        <is>
          <t>Claude (AI Engineer)</t>
        </is>
      </c>
      <c r="I54" s="4" t="inlineStr">
        <is>
          <t>Must Have</t>
        </is>
      </c>
      <c r="J54" s="4" t="inlineStr">
        <is>
          <t>MVP</t>
        </is>
      </c>
      <c r="K54" s="4" t="inlineStr">
        <is>
          <t>Week 1</t>
        </is>
      </c>
      <c r="L54" s="4" t="inlineStr">
        <is>
          <t>Done</t>
        </is>
      </c>
      <c r="M54" s="4" t="n">
        <v>3</v>
      </c>
      <c r="N54" s="4" t="inlineStr">
        <is>
          <t>Implemented and functionally working; not individually covered by an automated test this session.</t>
        </is>
      </c>
      <c r="O54" s="4" t="n"/>
    </row>
    <row r="55" ht="55.2" customHeight="1">
      <c r="A55" s="4" t="inlineStr">
        <is>
          <t>US-008-004</t>
        </is>
      </c>
      <c r="B55" s="4" t="inlineStr">
        <is>
          <t>EP-008</t>
        </is>
      </c>
      <c r="C55" s="4" t="inlineStr">
        <is>
          <t>Task dashboard</t>
        </is>
      </c>
      <c r="D55" s="4" t="inlineStr">
        <is>
          <t>Administrator</t>
        </is>
      </c>
      <c r="E55" s="4" t="inlineStr">
        <is>
          <t>As an administrator, I want task status summaries so that I can identify active, overdue and completed work.</t>
        </is>
      </c>
      <c r="F55" s="4" t="n">
        <v>4</v>
      </c>
      <c r="G55" s="4" t="n"/>
      <c r="H55" s="4" t="inlineStr">
        <is>
          <t>Claude (AI Engineer)</t>
        </is>
      </c>
      <c r="I55" s="4" t="inlineStr">
        <is>
          <t>Must Have</t>
        </is>
      </c>
      <c r="J55" s="4" t="inlineStr">
        <is>
          <t>MVP</t>
        </is>
      </c>
      <c r="K55" s="4" t="inlineStr">
        <is>
          <t>Week 1</t>
        </is>
      </c>
      <c r="L55" s="4" t="inlineStr">
        <is>
          <t>Done</t>
        </is>
      </c>
      <c r="M55" s="4" t="n">
        <v>3</v>
      </c>
      <c r="N55" s="4" t="inlineStr">
        <is>
          <t>Implemented and functionally working; not individually covered by an automated test this session.</t>
        </is>
      </c>
      <c r="O55" s="4" t="n"/>
    </row>
    <row r="56" ht="220.8" customHeight="1">
      <c r="A56" s="4" t="inlineStr">
        <is>
          <t>US-008-005</t>
        </is>
      </c>
      <c r="B56" s="4" t="inlineStr">
        <is>
          <t>EP-008</t>
        </is>
      </c>
      <c r="C56" s="4" t="inlineStr">
        <is>
          <t>Responsive dashboard</t>
        </is>
      </c>
      <c r="D56" s="4" t="inlineStr">
        <is>
          <t>Employee</t>
        </is>
      </c>
      <c r="E56" s="4" t="inlineStr">
        <is>
          <t>As a user, I want dashboards usable on phone and desktop so that I can clock and track tasks from different devices.</t>
        </is>
      </c>
      <c r="F56" s="4" t="n">
        <v>4</v>
      </c>
      <c r="G56" s="4" t="n"/>
      <c r="H56" s="4" t="inlineStr">
        <is>
          <t>Claude (AI Engineer)</t>
        </is>
      </c>
      <c r="I56" s="4" t="inlineStr">
        <is>
          <t>Must Have</t>
        </is>
      </c>
      <c r="J56" s="4" t="inlineStr">
        <is>
          <t>MVP</t>
        </is>
      </c>
      <c r="K56" s="4" t="inlineStr">
        <is>
          <t>Week 1</t>
        </is>
      </c>
      <c r="L56" s="4" t="inlineStr">
        <is>
          <t>Done</t>
        </is>
      </c>
      <c r="M56" s="4" t="n">
        <v>3</v>
      </c>
      <c r="N56" s="4" t="inlineStr">
        <is>
          <t>Manual mobile-viewport (375x812) QA pass found and fixed a real gap: the sidebar nav was 'hidden md:flex' with no mobile alternative at all, so only the current page's primary actions were reachable and every other screen was unreachable on a phone. Added a hamburger toggle (aria-label/aria-expanded) that reveals the same nav list inline. Verified visually: no horizontal scroll, Clock In/attendance state stay visible, menu opens/closes correctly.</t>
        </is>
      </c>
      <c r="O56" s="4" t="n"/>
    </row>
    <row r="57" ht="41.4" customHeight="1">
      <c r="A57" s="4" t="inlineStr">
        <is>
          <t>US-009-001</t>
        </is>
      </c>
      <c r="B57" s="4" t="inlineStr">
        <is>
          <t>EP-009</t>
        </is>
      </c>
      <c r="C57" s="4" t="inlineStr">
        <is>
          <t>Request attendance correction</t>
        </is>
      </c>
      <c r="D57" s="4" t="inlineStr">
        <is>
          <t>Employee</t>
        </is>
      </c>
      <c r="E57" s="4" t="inlineStr">
        <is>
          <t>As an employee, I want to request correction of an attendance mistake so that records can be fixed without hidden edits.</t>
        </is>
      </c>
      <c r="F57" s="4" t="n">
        <v>4</v>
      </c>
      <c r="G57" s="4" t="n"/>
      <c r="H57" s="4" t="inlineStr">
        <is>
          <t>Claude (AI Engineer)</t>
        </is>
      </c>
      <c r="I57" s="4" t="inlineStr">
        <is>
          <t>Must Have</t>
        </is>
      </c>
      <c r="J57" s="4" t="inlineStr">
        <is>
          <t>MVP</t>
        </is>
      </c>
      <c r="K57" s="4" t="inlineStr">
        <is>
          <t>Week 1</t>
        </is>
      </c>
      <c r="L57" s="4" t="inlineStr">
        <is>
          <t>Done</t>
        </is>
      </c>
      <c r="M57" s="4" t="n">
        <v>3</v>
      </c>
      <c r="N57" s="4" t="inlineStr">
        <is>
          <t>Verified by e2e test: request does not overwrite the original record; visible to the requester.</t>
        </is>
      </c>
      <c r="O57" s="4" t="n"/>
    </row>
    <row r="58" ht="55.2" customHeight="1">
      <c r="A58" s="4" t="inlineStr">
        <is>
          <t>US-009-002</t>
        </is>
      </c>
      <c r="B58" s="4" t="inlineStr">
        <is>
          <t>EP-009</t>
        </is>
      </c>
      <c r="C58" s="4" t="inlineStr">
        <is>
          <t>Approve attendance correction</t>
        </is>
      </c>
      <c r="D58" s="4" t="inlineStr">
        <is>
          <t>Administrator</t>
        </is>
      </c>
      <c r="E58" s="4" t="inlineStr">
        <is>
          <t>As an administrator, I want to approve or reject attendance corrections so that changes are controlled.</t>
        </is>
      </c>
      <c r="F58" s="4" t="n">
        <v>4</v>
      </c>
      <c r="G58" s="4" t="n"/>
      <c r="H58" s="4" t="inlineStr">
        <is>
          <t>Claude (AI Engineer)</t>
        </is>
      </c>
      <c r="I58" s="4" t="inlineStr">
        <is>
          <t>Must Have</t>
        </is>
      </c>
      <c r="J58" s="4" t="inlineStr">
        <is>
          <t>MVP</t>
        </is>
      </c>
      <c r="K58" s="4" t="inlineStr">
        <is>
          <t>Week 1</t>
        </is>
      </c>
      <c r="L58" s="4" t="inlineStr">
        <is>
          <t>Done</t>
        </is>
      </c>
      <c r="M58" s="4" t="n">
        <v>3</v>
      </c>
      <c r="N58" s="4" t="inlineStr">
        <is>
          <t>Verified by e2e test: approval applies the corrected values and preserves the original in the audit log (before/after).</t>
        </is>
      </c>
      <c r="O58" s="4" t="n"/>
    </row>
    <row r="59" ht="55.2" customHeight="1">
      <c r="A59" s="4" t="inlineStr">
        <is>
          <t>US-009-003</t>
        </is>
      </c>
      <c r="B59" s="4" t="inlineStr">
        <is>
          <t>EP-009</t>
        </is>
      </c>
      <c r="C59" s="4" t="inlineStr">
        <is>
          <t>Request task time correction</t>
        </is>
      </c>
      <c r="D59" s="4" t="inlineStr">
        <is>
          <t>Employee</t>
        </is>
      </c>
      <c r="E59" s="4" t="inlineStr">
        <is>
          <t>As an employee, I want to request correction of task time so that forgotten/incorrect timer events can be resolved.</t>
        </is>
      </c>
      <c r="F59" s="4" t="n">
        <v>4</v>
      </c>
      <c r="G59" s="4" t="n"/>
      <c r="H59" s="4" t="inlineStr">
        <is>
          <t>Claude (AI Engineer)</t>
        </is>
      </c>
      <c r="I59" s="4" t="inlineStr">
        <is>
          <t>Must Have</t>
        </is>
      </c>
      <c r="J59" s="4" t="inlineStr">
        <is>
          <t>MVP</t>
        </is>
      </c>
      <c r="K59" s="4" t="inlineStr">
        <is>
          <t>Week 1</t>
        </is>
      </c>
      <c r="L59" s="4" t="inlineStr">
        <is>
          <t>Done</t>
        </is>
      </c>
      <c r="M59" s="4" t="n">
        <v>3</v>
      </c>
      <c r="N59" s="4" t="inlineStr">
        <is>
          <t>Implemented and functionally working; not individually covered by an automated test this session.</t>
        </is>
      </c>
      <c r="O59" s="4" t="n"/>
    </row>
    <row r="60" ht="55.2" customHeight="1">
      <c r="A60" s="4" t="inlineStr">
        <is>
          <t>US-009-004</t>
        </is>
      </c>
      <c r="B60" s="4" t="inlineStr">
        <is>
          <t>EP-009</t>
        </is>
      </c>
      <c r="C60" s="4" t="inlineStr">
        <is>
          <t>Administrator direct correction</t>
        </is>
      </c>
      <c r="D60" s="4" t="inlineStr">
        <is>
          <t>Administrator</t>
        </is>
      </c>
      <c r="E60" s="4" t="inlineStr">
        <is>
          <t>As an administrator, I want to correct authorised records directly so that operational errors can be resolved quickly.</t>
        </is>
      </c>
      <c r="F60" s="4" t="n">
        <v>4</v>
      </c>
      <c r="G60" s="4" t="n"/>
      <c r="H60" s="4" t="inlineStr">
        <is>
          <t>Claude (AI Engineer)</t>
        </is>
      </c>
      <c r="I60" s="4" t="inlineStr">
        <is>
          <t>Must Have</t>
        </is>
      </c>
      <c r="J60" s="4" t="inlineStr">
        <is>
          <t>MVP</t>
        </is>
      </c>
      <c r="K60" s="4" t="inlineStr">
        <is>
          <t>Week 1</t>
        </is>
      </c>
      <c r="L60" s="4" t="inlineStr">
        <is>
          <t>Done</t>
        </is>
      </c>
      <c r="M60" s="4" t="n">
        <v>3</v>
      </c>
      <c r="N60" s="4" t="inlineStr">
        <is>
          <t>Implemented and functionally working; not individually covered by an automated test this session.</t>
        </is>
      </c>
      <c r="O60" s="4" t="n"/>
    </row>
    <row r="61" ht="55.2" customHeight="1">
      <c r="A61" s="4" t="inlineStr">
        <is>
          <t>US-009-005</t>
        </is>
      </c>
      <c r="B61" s="4" t="inlineStr">
        <is>
          <t>EP-009</t>
        </is>
      </c>
      <c r="C61" s="4" t="inlineStr">
        <is>
          <t>Audit log</t>
        </is>
      </c>
      <c r="D61" s="4" t="inlineStr">
        <is>
          <t>Auditor</t>
        </is>
      </c>
      <c r="E61" s="4" t="inlineStr">
        <is>
          <t>As an auditor, I want a tamper-resistant audit view so that sensitive changes are traceable.</t>
        </is>
      </c>
      <c r="F61" s="4" t="n">
        <v>4</v>
      </c>
      <c r="G61" s="4" t="n"/>
      <c r="H61" s="4" t="inlineStr">
        <is>
          <t>Claude (AI Engineer)</t>
        </is>
      </c>
      <c r="I61" s="4" t="inlineStr">
        <is>
          <t>Must Have</t>
        </is>
      </c>
      <c r="J61" s="4" t="inlineStr">
        <is>
          <t>MVP</t>
        </is>
      </c>
      <c r="K61" s="4" t="inlineStr">
        <is>
          <t>Week 1</t>
        </is>
      </c>
      <c r="L61" s="4" t="inlineStr">
        <is>
          <t>Done</t>
        </is>
      </c>
      <c r="M61" s="4" t="n">
        <v>3</v>
      </c>
      <c r="N61" s="4" t="inlineStr">
        <is>
          <t>Verified by e2e test: audit entries carry actor/action/target/before/after and are filterable by action.</t>
        </is>
      </c>
      <c r="O61" s="4" t="n"/>
    </row>
    <row r="62" ht="55.2" customHeight="1">
      <c r="A62" s="4" t="inlineStr">
        <is>
          <t>US-010-001</t>
        </is>
      </c>
      <c r="B62" s="4" t="inlineStr">
        <is>
          <t>EP-010</t>
        </is>
      </c>
      <c r="C62" s="4" t="inlineStr">
        <is>
          <t>Daily attendance report</t>
        </is>
      </c>
      <c r="D62" s="4" t="inlineStr">
        <is>
          <t>Administrator</t>
        </is>
      </c>
      <c r="E62" s="4" t="inlineStr">
        <is>
          <t>As an administrator, I want a daily attendance report so that I can review who worked and for how long.</t>
        </is>
      </c>
      <c r="F62" s="4" t="n">
        <v>4</v>
      </c>
      <c r="G62" s="4" t="n"/>
      <c r="H62" s="4" t="inlineStr">
        <is>
          <t>Claude (AI Engineer)</t>
        </is>
      </c>
      <c r="I62" s="4" t="inlineStr">
        <is>
          <t>Must Have</t>
        </is>
      </c>
      <c r="J62" s="4" t="inlineStr">
        <is>
          <t>MVP</t>
        </is>
      </c>
      <c r="K62" s="4" t="inlineStr">
        <is>
          <t>Week 1</t>
        </is>
      </c>
      <c r="L62" s="4" t="inlineStr">
        <is>
          <t>Done</t>
        </is>
      </c>
      <c r="M62" s="4" t="n">
        <v>3</v>
      </c>
      <c r="N62" s="4" t="inlineStr">
        <is>
          <t>Implemented and functionally working; not individually covered by an automated test this session.</t>
        </is>
      </c>
      <c r="O62" s="4" t="n"/>
    </row>
    <row r="63" ht="55.2" customHeight="1">
      <c r="A63" s="4" t="inlineStr">
        <is>
          <t>US-010-002</t>
        </is>
      </c>
      <c r="B63" s="4" t="inlineStr">
        <is>
          <t>EP-010</t>
        </is>
      </c>
      <c r="C63" s="4" t="inlineStr">
        <is>
          <t>Weekly monthly attendance report</t>
        </is>
      </c>
      <c r="D63" s="4" t="inlineStr">
        <is>
          <t>Administrator</t>
        </is>
      </c>
      <c r="E63" s="4" t="inlineStr">
        <is>
          <t>As an administrator, I want weekly/monthly attendance summaries so that working patterns are visible.</t>
        </is>
      </c>
      <c r="F63" s="4" t="n">
        <v>4</v>
      </c>
      <c r="G63" s="4" t="n"/>
      <c r="H63" s="4" t="inlineStr">
        <is>
          <t>Claude (AI Engineer)</t>
        </is>
      </c>
      <c r="I63" s="4" t="inlineStr">
        <is>
          <t>Must Have</t>
        </is>
      </c>
      <c r="J63" s="4" t="inlineStr">
        <is>
          <t>MVP</t>
        </is>
      </c>
      <c r="K63" s="4" t="inlineStr">
        <is>
          <t>Week 1</t>
        </is>
      </c>
      <c r="L63" s="4" t="inlineStr">
        <is>
          <t>Done</t>
        </is>
      </c>
      <c r="M63" s="4" t="n">
        <v>3</v>
      </c>
      <c r="N63" s="4" t="inlineStr">
        <is>
          <t>Implemented and functionally working; not individually covered by an automated test this session.</t>
        </is>
      </c>
      <c r="O63" s="4" t="n"/>
    </row>
    <row r="64" ht="55.2" customHeight="1">
      <c r="A64" s="4" t="inlineStr">
        <is>
          <t>US-010-003</t>
        </is>
      </c>
      <c r="B64" s="4" t="inlineStr">
        <is>
          <t>EP-010</t>
        </is>
      </c>
      <c r="C64" s="4" t="inlineStr">
        <is>
          <t>Task time report</t>
        </is>
      </c>
      <c r="D64" s="4" t="inlineStr">
        <is>
          <t>Administrator</t>
        </is>
      </c>
      <c r="E64" s="4" t="inlineStr">
        <is>
          <t>As an administrator, I want task-time reporting so that I can see actual time spent on work.</t>
        </is>
      </c>
      <c r="F64" s="4" t="n">
        <v>4</v>
      </c>
      <c r="G64" s="4" t="n"/>
      <c r="H64" s="4" t="inlineStr">
        <is>
          <t>Claude (AI Engineer)</t>
        </is>
      </c>
      <c r="I64" s="4" t="inlineStr">
        <is>
          <t>Must Have</t>
        </is>
      </c>
      <c r="J64" s="4" t="inlineStr">
        <is>
          <t>MVP</t>
        </is>
      </c>
      <c r="K64" s="4" t="inlineStr">
        <is>
          <t>Week 1</t>
        </is>
      </c>
      <c r="L64" s="4" t="inlineStr">
        <is>
          <t>Done</t>
        </is>
      </c>
      <c r="M64" s="4" t="n">
        <v>3</v>
      </c>
      <c r="N64" s="4" t="inlineStr">
        <is>
          <t>Implemented and functionally working; not individually covered by an automated test this session.</t>
        </is>
      </c>
      <c r="O64" s="4" t="n"/>
    </row>
    <row r="65" ht="55.2" customHeight="1">
      <c r="A65" s="4" t="inlineStr">
        <is>
          <t>US-010-004</t>
        </is>
      </c>
      <c r="B65" s="4" t="inlineStr">
        <is>
          <t>EP-010</t>
        </is>
      </c>
      <c r="C65" s="4" t="inlineStr">
        <is>
          <t>Unallocated time report</t>
        </is>
      </c>
      <c r="D65" s="4" t="inlineStr">
        <is>
          <t>Administrator</t>
        </is>
      </c>
      <c r="E65" s="4" t="inlineStr">
        <is>
          <t>As an administrator, I want unallocated-time reporting so that missing task tracking can be identified.</t>
        </is>
      </c>
      <c r="F65" s="4" t="n">
        <v>4</v>
      </c>
      <c r="G65" s="4" t="n"/>
      <c r="H65" s="4" t="inlineStr">
        <is>
          <t>Claude (AI Engineer)</t>
        </is>
      </c>
      <c r="I65" s="4" t="inlineStr">
        <is>
          <t>Must Have</t>
        </is>
      </c>
      <c r="J65" s="4" t="inlineStr">
        <is>
          <t>MVP</t>
        </is>
      </c>
      <c r="K65" s="4" t="inlineStr">
        <is>
          <t>Week 1</t>
        </is>
      </c>
      <c r="L65" s="4" t="inlineStr">
        <is>
          <t>Done</t>
        </is>
      </c>
      <c r="M65" s="4" t="n">
        <v>3</v>
      </c>
      <c r="N65" s="4" t="inlineStr">
        <is>
          <t>Implemented and functionally working; not individually covered by an automated test this session.</t>
        </is>
      </c>
      <c r="O65" s="4" t="n"/>
    </row>
    <row r="66" ht="55.2" customHeight="1">
      <c r="A66" s="4" t="inlineStr">
        <is>
          <t>US-010-005</t>
        </is>
      </c>
      <c r="B66" s="4" t="inlineStr">
        <is>
          <t>EP-010</t>
        </is>
      </c>
      <c r="C66" s="4" t="inlineStr">
        <is>
          <t>Export report</t>
        </is>
      </c>
      <c r="D66" s="4" t="inlineStr">
        <is>
          <t>Administrator</t>
        </is>
      </c>
      <c r="E66" s="4" t="inlineStr">
        <is>
          <t>As an administrator, I want to export filtered reports so that data can be used outside the application.</t>
        </is>
      </c>
      <c r="F66" s="4" t="n">
        <v>4</v>
      </c>
      <c r="G66" s="4" t="n"/>
      <c r="H66" s="4" t="inlineStr">
        <is>
          <t>Claude (AI Engineer)</t>
        </is>
      </c>
      <c r="I66" s="4" t="inlineStr">
        <is>
          <t>Must Have</t>
        </is>
      </c>
      <c r="J66" s="4" t="inlineStr">
        <is>
          <t>MVP</t>
        </is>
      </c>
      <c r="K66" s="4" t="inlineStr">
        <is>
          <t>Week 1</t>
        </is>
      </c>
      <c r="L66" s="4" t="inlineStr">
        <is>
          <t>Done</t>
        </is>
      </c>
      <c r="M66" s="4" t="n">
        <v>3</v>
      </c>
      <c r="N66" s="4" t="inlineStr">
        <is>
          <t>Implemented and functionally working; not individually covered by an automated test this session.</t>
        </is>
      </c>
      <c r="O66" s="4" t="n"/>
    </row>
    <row r="67" ht="55.2" customHeight="1">
      <c r="A67" s="4" t="inlineStr">
        <is>
          <t>US-011-001</t>
        </is>
      </c>
      <c r="B67" s="4" t="inlineStr">
        <is>
          <t>EP-011</t>
        </is>
      </c>
      <c r="C67" s="4" t="inlineStr">
        <is>
          <t>Task assignment notification</t>
        </is>
      </c>
      <c r="D67" s="4" t="inlineStr">
        <is>
          <t>Employee</t>
        </is>
      </c>
      <c r="E67" s="4" t="inlineStr">
        <is>
          <t>As an employee, I want to be notified when a task is assigned so that I know new work exists.</t>
        </is>
      </c>
      <c r="F67" s="4" t="n">
        <v>4</v>
      </c>
      <c r="G67" s="4" t="n"/>
      <c r="H67" s="4" t="inlineStr">
        <is>
          <t>Claude (AI Engineer)</t>
        </is>
      </c>
      <c r="I67" s="4" t="inlineStr">
        <is>
          <t>Should Have</t>
        </is>
      </c>
      <c r="J67" s="4" t="inlineStr">
        <is>
          <t>R1</t>
        </is>
      </c>
      <c r="K67" s="4" t="inlineStr">
        <is>
          <t>Week 1</t>
        </is>
      </c>
      <c r="L67" s="4" t="inlineStr">
        <is>
          <t>Done</t>
        </is>
      </c>
      <c r="M67" s="4" t="n">
        <v>3</v>
      </c>
      <c r="N67" s="4" t="inlineStr">
        <is>
          <t>All 4 ACs verified live against the deployed Azure app, including waiting for the real production cron to fire on seeded data.</t>
        </is>
      </c>
      <c r="O67" s="4" t="n"/>
    </row>
    <row r="68" ht="55.2" customHeight="1">
      <c r="A68" s="4" t="inlineStr">
        <is>
          <t>US-011-002</t>
        </is>
      </c>
      <c r="B68" s="4" t="inlineStr">
        <is>
          <t>EP-011</t>
        </is>
      </c>
      <c r="C68" s="4" t="inlineStr">
        <is>
          <t>Missing clock-out reminder</t>
        </is>
      </c>
      <c r="D68" s="4" t="inlineStr">
        <is>
          <t>Employee</t>
        </is>
      </c>
      <c r="E68" s="4" t="inlineStr">
        <is>
          <t>As an employee, I want a reminder if I appear to have forgotten to clock out so that incomplete attendance is reduced.</t>
        </is>
      </c>
      <c r="F68" s="4" t="n">
        <v>4</v>
      </c>
      <c r="G68" s="4" t="n"/>
      <c r="H68" s="4" t="inlineStr">
        <is>
          <t>Claude (AI Engineer)</t>
        </is>
      </c>
      <c r="I68" s="4" t="inlineStr">
        <is>
          <t>Should Have</t>
        </is>
      </c>
      <c r="J68" s="4" t="inlineStr">
        <is>
          <t>R1</t>
        </is>
      </c>
      <c r="K68" s="4" t="inlineStr">
        <is>
          <t>Week 1</t>
        </is>
      </c>
      <c r="L68" s="4" t="inlineStr">
        <is>
          <t>Done</t>
        </is>
      </c>
      <c r="M68" s="4" t="n">
        <v>3</v>
      </c>
      <c r="N68" s="4" t="inlineStr">
        <is>
          <t>All 4 ACs verified live against the deployed Azure app, including waiting for the real production cron to fire on seeded data.</t>
        </is>
      </c>
      <c r="O68" s="4" t="n"/>
    </row>
    <row r="69" ht="55.2" customHeight="1">
      <c r="A69" s="4" t="inlineStr">
        <is>
          <t>US-011-003</t>
        </is>
      </c>
      <c r="B69" s="4" t="inlineStr">
        <is>
          <t>EP-011</t>
        </is>
      </c>
      <c r="C69" s="4" t="inlineStr">
        <is>
          <t>Long-running task timer reminder</t>
        </is>
      </c>
      <c r="D69" s="4" t="inlineStr">
        <is>
          <t>Employee</t>
        </is>
      </c>
      <c r="E69" s="4" t="inlineStr">
        <is>
          <t>As an employee, I want a reminder when a task timer has been running unusually long so that accidental over-recording can be corrected.</t>
        </is>
      </c>
      <c r="F69" s="4" t="n">
        <v>4</v>
      </c>
      <c r="G69" s="4" t="n"/>
      <c r="H69" s="4" t="inlineStr">
        <is>
          <t>Claude (AI Engineer)</t>
        </is>
      </c>
      <c r="I69" s="4" t="inlineStr">
        <is>
          <t>Should Have</t>
        </is>
      </c>
      <c r="J69" s="4" t="inlineStr">
        <is>
          <t>R1</t>
        </is>
      </c>
      <c r="K69" s="4" t="inlineStr">
        <is>
          <t>Week 1</t>
        </is>
      </c>
      <c r="L69" s="4" t="inlineStr">
        <is>
          <t>Done</t>
        </is>
      </c>
      <c r="M69" s="4" t="n">
        <v>3</v>
      </c>
      <c r="N69" s="4" t="inlineStr">
        <is>
          <t>All 4 ACs verified live against the deployed Azure app, including waiting for the real production cron to fire on seeded data.</t>
        </is>
      </c>
      <c r="O69" s="4" t="n"/>
    </row>
    <row r="70" ht="55.2" customHeight="1">
      <c r="A70" s="4" t="inlineStr">
        <is>
          <t>US-011-004</t>
        </is>
      </c>
      <c r="B70" s="4" t="inlineStr">
        <is>
          <t>EP-011</t>
        </is>
      </c>
      <c r="C70" s="4" t="inlineStr">
        <is>
          <t>Unallocated time reminder</t>
        </is>
      </c>
      <c r="D70" s="4" t="inlineStr">
        <is>
          <t>Employee</t>
        </is>
      </c>
      <c r="E70" s="4" t="inlineStr">
        <is>
          <t>As an employee, I want a reminder when my completed workday has unallocated time so that missing task tracking can be reviewed.</t>
        </is>
      </c>
      <c r="F70" s="4" t="n">
        <v>4</v>
      </c>
      <c r="G70" s="4" t="n"/>
      <c r="H70" s="4" t="inlineStr">
        <is>
          <t>Claude (AI Engineer)</t>
        </is>
      </c>
      <c r="I70" s="4" t="inlineStr">
        <is>
          <t>Should Have</t>
        </is>
      </c>
      <c r="J70" s="4" t="inlineStr">
        <is>
          <t>R1</t>
        </is>
      </c>
      <c r="K70" s="4" t="inlineStr">
        <is>
          <t>Week 1</t>
        </is>
      </c>
      <c r="L70" s="4" t="inlineStr">
        <is>
          <t>Done</t>
        </is>
      </c>
      <c r="M70" s="4" t="n">
        <v>3</v>
      </c>
      <c r="N70" s="4" t="inlineStr">
        <is>
          <t>All 4 ACs verified live against the deployed Azure app, including waiting for the real production cron to fire on seeded data.</t>
        </is>
      </c>
      <c r="O70" s="4" t="n"/>
    </row>
    <row r="71" ht="41.4" customHeight="1">
      <c r="A71" s="4" t="inlineStr">
        <is>
          <t>US-012-001</t>
        </is>
      </c>
      <c r="B71" s="4" t="inlineStr">
        <is>
          <t>EP-012</t>
        </is>
      </c>
      <c r="C71" s="4" t="inlineStr">
        <is>
          <t>Secure password storage</t>
        </is>
      </c>
      <c r="D71" s="4" t="inlineStr">
        <is>
          <t>Security Administrator</t>
        </is>
      </c>
      <c r="E71" s="4" t="inlineStr">
        <is>
          <t>As a security administrator, I want passwords securely hashed so that credential exposure risk is minimised.</t>
        </is>
      </c>
      <c r="F71" s="4" t="n">
        <v>4</v>
      </c>
      <c r="G71" s="4" t="n"/>
      <c r="H71" s="4" t="inlineStr">
        <is>
          <t>Claude (AI Engineer)</t>
        </is>
      </c>
      <c r="I71" s="4" t="inlineStr">
        <is>
          <t>Must Have</t>
        </is>
      </c>
      <c r="J71" s="4" t="inlineStr">
        <is>
          <t>MVP</t>
        </is>
      </c>
      <c r="K71" s="4" t="inlineStr">
        <is>
          <t>Week 1</t>
        </is>
      </c>
      <c r="L71" s="4" t="inlineStr">
        <is>
          <t>Done</t>
        </is>
      </c>
      <c r="M71" s="4" t="n">
        <v>3</v>
      </c>
      <c r="N71" s="4" t="inlineStr">
        <is>
          <t>Argon2id via the `argon2` package; verified indirectly by every e2e login.</t>
        </is>
      </c>
      <c r="O71" s="4" t="n"/>
    </row>
    <row r="72" ht="55.2" customHeight="1">
      <c r="A72" s="4" t="inlineStr">
        <is>
          <t>US-012-002</t>
        </is>
      </c>
      <c r="B72" s="4" t="inlineStr">
        <is>
          <t>EP-012</t>
        </is>
      </c>
      <c r="C72" s="4" t="inlineStr">
        <is>
          <t>Authorisation enforcement</t>
        </is>
      </c>
      <c r="D72" s="4" t="inlineStr">
        <is>
          <t>Security Administrator</t>
        </is>
      </c>
      <c r="E72" s="4" t="inlineStr">
        <is>
          <t>As a security administrator, I want server-side role checks so that employees cannot access administrator functions.</t>
        </is>
      </c>
      <c r="F72" s="4" t="n">
        <v>4</v>
      </c>
      <c r="G72" s="4" t="n"/>
      <c r="H72" s="4" t="inlineStr">
        <is>
          <t>Claude (AI Engineer)</t>
        </is>
      </c>
      <c r="I72" s="4" t="inlineStr">
        <is>
          <t>Must Have</t>
        </is>
      </c>
      <c r="J72" s="4" t="inlineStr">
        <is>
          <t>MVP</t>
        </is>
      </c>
      <c r="K72" s="4" t="inlineStr">
        <is>
          <t>Week 1</t>
        </is>
      </c>
      <c r="L72" s="4" t="inlineStr">
        <is>
          <t>Done</t>
        </is>
      </c>
      <c r="M72" s="4" t="n">
        <v>3</v>
      </c>
      <c r="N72" s="4" t="inlineStr">
        <is>
          <t>Verified by e2e test: employee blocked (403) from an admin-only endpoint; unauthenticated requests blocked (401).</t>
        </is>
      </c>
      <c r="O72" s="4" t="n"/>
    </row>
    <row r="73" ht="82.8" customHeight="1">
      <c r="A73" s="4" t="inlineStr">
        <is>
          <t>US-012-003</t>
        </is>
      </c>
      <c r="B73" s="4" t="inlineStr">
        <is>
          <t>EP-012</t>
        </is>
      </c>
      <c r="C73" s="4" t="inlineStr">
        <is>
          <t>Time integrity</t>
        </is>
      </c>
      <c r="D73" s="4" t="inlineStr">
        <is>
          <t>System Administrator</t>
        </is>
      </c>
      <c r="E73" s="4" t="inlineStr">
        <is>
          <t>As a system administrator, I want server-authoritative time and concurrency safeguards so that attendance/task duration is trustworthy.</t>
        </is>
      </c>
      <c r="F73" s="4" t="n">
        <v>4</v>
      </c>
      <c r="G73" s="4" t="n"/>
      <c r="H73" s="4" t="inlineStr">
        <is>
          <t>Claude (AI Engineer)</t>
        </is>
      </c>
      <c r="I73" s="4" t="inlineStr">
        <is>
          <t>Must Have</t>
        </is>
      </c>
      <c r="J73" s="4" t="inlineStr">
        <is>
          <t>MVP</t>
        </is>
      </c>
      <c r="K73" s="4" t="inlineStr">
        <is>
          <t>Week 1</t>
        </is>
      </c>
      <c r="L73" s="4" t="inlineStr">
        <is>
          <t>Done</t>
        </is>
      </c>
      <c r="M73" s="4" t="n">
        <v>3</v>
      </c>
      <c r="N73" s="4" t="inlineStr">
        <is>
          <t>Verified by e2e test: all official timestamps are server-generated; BR-002/BR-003 enforced by Postgres partial unique indexes, not just application logic.</t>
        </is>
      </c>
      <c r="O73" s="4" t="n"/>
    </row>
    <row r="74" ht="96.59999999999999" customHeight="1">
      <c r="A74" s="4" t="inlineStr">
        <is>
          <t>US-012-004</t>
        </is>
      </c>
      <c r="B74" s="4" t="inlineStr">
        <is>
          <t>EP-012</t>
        </is>
      </c>
      <c r="C74" s="4" t="inlineStr">
        <is>
          <t>Application logging and monitoring</t>
        </is>
      </c>
      <c r="D74" s="4" t="inlineStr">
        <is>
          <t>Operations Engineer</t>
        </is>
      </c>
      <c r="E74" s="4" t="inlineStr">
        <is>
          <t>As an operations engineer, I want structured logs and health monitoring so that incidents can be diagnosed.</t>
        </is>
      </c>
      <c r="F74" s="4" t="n">
        <v>4</v>
      </c>
      <c r="G74" s="4" t="n"/>
      <c r="H74" s="4" t="inlineStr">
        <is>
          <t>Claude (AI Engineer)</t>
        </is>
      </c>
      <c r="I74" s="4" t="inlineStr">
        <is>
          <t>Must Have</t>
        </is>
      </c>
      <c r="J74" s="4" t="inlineStr">
        <is>
          <t>MVP</t>
        </is>
      </c>
      <c r="K74" s="4" t="inlineStr">
        <is>
          <t>Week 1</t>
        </is>
      </c>
      <c r="L74" s="4" t="inlineStr">
        <is>
          <t>Done</t>
        </is>
      </c>
      <c r="M74" s="4" t="n">
        <v>3</v>
      </c>
      <c r="N74" s="4" t="inlineStr">
        <is>
          <t>Structured JSON request logging (pino-http) with correlation IDs wired in and manually verified: id round-trips via x-request-id header, passwords/cookies never appear in logs, /health and /ready produce zero log noise.</t>
        </is>
      </c>
      <c r="O74" s="4" t="n"/>
    </row>
    <row r="75" ht="220.8" customHeight="1">
      <c r="A75" s="4" t="inlineStr">
        <is>
          <t>US-012-005</t>
        </is>
      </c>
      <c r="B75" s="4" t="inlineStr">
        <is>
          <t>EP-012</t>
        </is>
      </c>
      <c r="C75" s="4" t="inlineStr">
        <is>
          <t>Backup and restore</t>
        </is>
      </c>
      <c r="D75" s="4" t="inlineStr">
        <is>
          <t>Operations Engineer</t>
        </is>
      </c>
      <c r="E75" s="4" t="inlineStr">
        <is>
          <t>As an operations engineer, I want database backups and a tested restore process so that data can be recovered.</t>
        </is>
      </c>
      <c r="F75" s="4" t="n">
        <v>4</v>
      </c>
      <c r="G75" s="4" t="n"/>
      <c r="H75" s="4" t="inlineStr">
        <is>
          <t>Claude (AI Engineer)</t>
        </is>
      </c>
      <c r="I75" s="4" t="inlineStr">
        <is>
          <t>Must Have</t>
        </is>
      </c>
      <c r="J75" s="4" t="inlineStr">
        <is>
          <t>MVP</t>
        </is>
      </c>
      <c r="K75" s="4" t="inlineStr">
        <is>
          <t>Week 1</t>
        </is>
      </c>
      <c r="L75" s="4" t="inlineStr">
        <is>
          <t>Done</t>
        </is>
      </c>
      <c r="M75" s="4" t="n">
        <v>3</v>
      </c>
      <c r="N75" s="4" t="inlineStr">
        <is>
          <t>Backup/restore POLICY and PROCEDURE documented (docs/BACKUP_AND_RESTORE.md, RPO=15min/RTO=4hr). Real Azure Database for PostgreSQL Flexible Server live (atms-db-zh5xgcupqkpwy, centralus) with automated backups (14-day retention). Restore drill executed 2026-09-08: point-in-time restore to a new server, schema and seeded-account data verified, drill instance discarded. Logged in the testing-cadence table in BACKUP_AND_RESTORE.md.</t>
        </is>
      </c>
      <c r="O75" s="4" t="n"/>
    </row>
    <row r="76" ht="124.2" customHeight="1">
      <c r="A76" s="4" t="inlineStr">
        <is>
          <t>US-012-006</t>
        </is>
      </c>
      <c r="B76" s="4" t="inlineStr">
        <is>
          <t>EP-012</t>
        </is>
      </c>
      <c r="C76" s="4" t="inlineStr">
        <is>
          <t>CI/CD quality gates</t>
        </is>
      </c>
      <c r="D76" s="4" t="inlineStr">
        <is>
          <t>Release Manager</t>
        </is>
      </c>
      <c r="E76" s="4" t="inlineStr">
        <is>
          <t>As a release manager, I want automated build, test and security gates so that defective releases are less likely to reach production.</t>
        </is>
      </c>
      <c r="F76" s="4" t="n">
        <v>4</v>
      </c>
      <c r="G76" s="4" t="n"/>
      <c r="H76" s="4" t="inlineStr">
        <is>
          <t>Claude (AI Engineer)</t>
        </is>
      </c>
      <c r="I76" s="4" t="inlineStr">
        <is>
          <t>Must Have</t>
        </is>
      </c>
      <c r="J76" s="4" t="inlineStr">
        <is>
          <t>MVP</t>
        </is>
      </c>
      <c r="K76" s="4" t="inlineStr">
        <is>
          <t>Week 1</t>
        </is>
      </c>
      <c r="L76" s="4" t="inlineStr">
        <is>
          <t>Done</t>
        </is>
      </c>
      <c r="M76" s="4" t="n">
        <v>3</v>
      </c>
      <c r="N76" s="4" t="inlineStr">
        <is>
          <t>GitHub Actions CI (lint, unit, e2e, both builds, both Docker images) is green on every push. A separate manual-trigger deploy workflow builds/pushes images and updates Azure Container Apps once repo secrets are configured (see DEPLOYMENT.md).</t>
        </is>
      </c>
      <c r="O76" s="4" t="n"/>
    </row>
  </sheetData>
  <conditionalFormatting sqref="L2:L76">
    <cfRule type="expression" priority="1" dxfId="13">
      <formula>L2="Done"</formula>
    </cfRule>
    <cfRule type="expression" priority="2" dxfId="12">
      <formula>L2="Blocked"</formula>
    </cfRule>
    <cfRule type="expression" priority="3" dxfId="16">
      <formula>L2="In Progress"</formula>
    </cfRule>
  </conditionalFormatting>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K301"/>
  <sheetViews>
    <sheetView tabSelected="1" topLeftCell="I15" zoomScale="70" workbookViewId="0">
      <selection activeCell="K18" sqref="K18"/>
    </sheetView>
  </sheetViews>
  <sheetFormatPr baseColWidth="8" defaultRowHeight="13.8"/>
  <cols>
    <col width="17" customWidth="1" min="1" max="1"/>
    <col width="15" customWidth="1" min="2" max="2"/>
    <col width="12" customWidth="1" min="3" max="3"/>
    <col width="70" customWidth="1" min="4" max="4"/>
    <col width="16" customWidth="1" min="5" max="6"/>
    <col width="30" customWidth="1" min="7" max="7"/>
    <col width="14" customWidth="1" min="8" max="8"/>
    <col width="16" customWidth="1" min="9" max="10"/>
    <col width="255.3984375" customWidth="1" min="11" max="11"/>
  </cols>
  <sheetData>
    <row r="1" ht="24" customHeight="1">
      <c r="A1" s="1" t="inlineStr">
        <is>
          <t>AC ID</t>
        </is>
      </c>
      <c r="B1" s="2" t="inlineStr">
        <is>
          <t>Story ID</t>
        </is>
      </c>
      <c r="C1" s="2" t="inlineStr">
        <is>
          <t>Epic ID</t>
        </is>
      </c>
      <c r="D1" s="2" t="inlineStr">
        <is>
          <t>Acceptance Criterion</t>
        </is>
      </c>
      <c r="E1" s="2" t="inlineStr">
        <is>
          <t>Test Case ID</t>
        </is>
      </c>
      <c r="F1" s="2" t="inlineStr">
        <is>
          <t>Test Status</t>
        </is>
      </c>
      <c r="G1" s="2" t="inlineStr">
        <is>
          <t>Evidence / Link</t>
        </is>
      </c>
      <c r="H1" s="2" t="inlineStr">
        <is>
          <t>Defect ID</t>
        </is>
      </c>
      <c r="I1" s="2" t="inlineStr">
        <is>
          <t>Tester</t>
        </is>
      </c>
      <c r="J1" s="2" t="inlineStr">
        <is>
          <t>Test Cycle</t>
        </is>
      </c>
      <c r="K1" s="2" t="inlineStr">
        <is>
          <t>Comments</t>
        </is>
      </c>
    </row>
    <row r="2" ht="27.6" customHeight="1">
      <c r="A2" s="3" t="inlineStr">
        <is>
          <t>AC-001-001-01</t>
        </is>
      </c>
      <c r="B2" s="3" t="inlineStr">
        <is>
          <t>US-001-001</t>
        </is>
      </c>
      <c r="C2" s="3" t="inlineStr">
        <is>
          <t>EP-001</t>
        </is>
      </c>
      <c r="D2" s="3" t="inlineStr">
        <is>
          <t>Registration captures first name, surname, email, phone number and password.</t>
        </is>
      </c>
      <c r="E2" s="3" t="n"/>
      <c r="F2" s="3" t="inlineStr">
        <is>
          <t>Pass</t>
        </is>
      </c>
      <c r="G2" s="3" t="n"/>
      <c r="H2" s="3" t="n"/>
      <c r="I2" s="3" t="inlineStr">
        <is>
          <t>Claude (AI Engineer)</t>
        </is>
      </c>
      <c r="J2" s="3" t="inlineStr">
        <is>
          <t>SIT</t>
        </is>
      </c>
      <c r="K2" s="3" t="inlineStr">
        <is>
          <t>Live test 2026-09-08: registered with distinct field values, confirmed via admin GET /users?status=PENDING that firstName/surname/phoneNumber/email all persisted exactly as submitted (register response itself only returns id/email/status by design, so persistence was checked directly, not via the response echo). | Manually re-verified live in-browser on the deployed Azure app, 2026-09-09 (driven step-by-step, observed directly) - confirmed.</t>
        </is>
      </c>
    </row>
    <row r="3" ht="27.6" customHeight="1">
      <c r="A3" s="3" t="inlineStr">
        <is>
          <t>AC-001-001-02</t>
        </is>
      </c>
      <c r="B3" s="3" t="inlineStr">
        <is>
          <t>US-001-001</t>
        </is>
      </c>
      <c r="C3" s="3" t="inlineStr">
        <is>
          <t>EP-001</t>
        </is>
      </c>
      <c r="D3" s="3" t="inlineStr">
        <is>
          <t>Email address must be unique and valid.</t>
        </is>
      </c>
      <c r="E3" s="3" t="n"/>
      <c r="F3" s="3" t="inlineStr">
        <is>
          <t>Pass</t>
        </is>
      </c>
      <c r="G3" s="3" t="n"/>
      <c r="H3" s="3" t="n"/>
      <c r="I3" s="3" t="inlineStr">
        <is>
          <t>Claude (AI Engineer)</t>
        </is>
      </c>
      <c r="J3" s="3" t="inlineStr">
        <is>
          <t>SIT</t>
        </is>
      </c>
      <c r="K3" s="3" t="inlineStr">
        <is>
          <t>Live test 2026-09-08: invalid email format (not-an-email) -&gt; 400 field error; duplicate email -&gt; 409 (existing e2e test). | Manually re-verified live in-browser on the deployed Azure app, 2026-09-09 (driven step-by-step, observed directly) - confirmed.</t>
        </is>
      </c>
    </row>
    <row r="4" ht="27.6" customHeight="1">
      <c r="A4" s="3" t="inlineStr">
        <is>
          <t>AC-001-001-03</t>
        </is>
      </c>
      <c r="B4" s="3" t="inlineStr">
        <is>
          <t>US-001-001</t>
        </is>
      </c>
      <c r="C4" s="3" t="inlineStr">
        <is>
          <t>EP-001</t>
        </is>
      </c>
      <c r="D4" s="3" t="inlineStr">
        <is>
          <t>Password must meet configured password policy.</t>
        </is>
      </c>
      <c r="E4" s="3" t="n"/>
      <c r="F4" s="3" t="inlineStr">
        <is>
          <t>Pass</t>
        </is>
      </c>
      <c r="G4" s="3" t="n"/>
      <c r="H4" s="3" t="n"/>
      <c r="I4" s="3" t="inlineStr">
        <is>
          <t>Claude (AI Engineer)</t>
        </is>
      </c>
      <c r="J4" s="3" t="inlineStr">
        <is>
          <t>SIT</t>
        </is>
      </c>
      <c r="K4" s="3" t="inlineStr">
        <is>
          <t>Live test 2026-09-08: POST /auth/register with password "weak" -&gt; 400, field errors listing the unmet policy rules. | Manually re-verified live in-browser on the deployed Azure app, 2026-09-09 (driven step-by-step, observed directly) - confirmed.</t>
        </is>
      </c>
    </row>
    <row r="5" ht="27.6" customHeight="1">
      <c r="A5" s="3" t="inlineStr">
        <is>
          <t>AC-001-001-04</t>
        </is>
      </c>
      <c r="B5" s="3" t="inlineStr">
        <is>
          <t>US-001-001</t>
        </is>
      </c>
      <c r="C5" s="3" t="inlineStr">
        <is>
          <t>EP-001</t>
        </is>
      </c>
      <c r="D5" s="3" t="inlineStr">
        <is>
          <t>Successful registration creates a user with the configured initial status (Pending or Active).</t>
        </is>
      </c>
      <c r="E5" s="3" t="n"/>
      <c r="F5" s="3" t="inlineStr">
        <is>
          <t>Pass</t>
        </is>
      </c>
      <c r="G5" s="3" t="n"/>
      <c r="H5" s="3" t="n"/>
      <c r="I5" s="3" t="inlineStr">
        <is>
          <t>Claude (AI Engineer)</t>
        </is>
      </c>
      <c r="J5" s="3" t="inlineStr">
        <is>
          <t>SIT</t>
        </is>
      </c>
      <c r="K5" s="3" t="inlineStr">
        <is>
          <t>Live test 2026-09-08: default register -&gt; PENDING. Code-confirmed (auth.service.ts): status = settings.requireRegistrationApproval ? PENDING : ACTIVE, so the ACTIVE branch is a real, reachable code path, not just PENDING. | Manually re-verified live in-browser on the deployed Azure app, 2026-09-09 (driven step-by-step, observed directly) - confirmed.</t>
        </is>
      </c>
    </row>
    <row r="6" ht="27.6" customHeight="1">
      <c r="A6" s="3" t="inlineStr">
        <is>
          <t>AC-001-002-01</t>
        </is>
      </c>
      <c r="B6" s="3" t="inlineStr">
        <is>
          <t>US-001-002</t>
        </is>
      </c>
      <c r="C6" s="3" t="inlineStr">
        <is>
          <t>EP-001</t>
        </is>
      </c>
      <c r="D6" s="3" t="inlineStr">
        <is>
          <t>Pending users are visible in an administrator queue.</t>
        </is>
      </c>
      <c r="E6" s="3" t="n"/>
      <c r="F6" s="3" t="inlineStr">
        <is>
          <t>Pass</t>
        </is>
      </c>
      <c r="G6" s="3" t="n"/>
      <c r="H6" s="3" t="n"/>
      <c r="I6" s="3" t="inlineStr">
        <is>
          <t>Claude (AI Engineer)</t>
        </is>
      </c>
      <c r="J6" s="3" t="inlineStr">
        <is>
          <t>SIT</t>
        </is>
      </c>
      <c r="K6" s="3" t="inlineStr">
        <is>
          <t>Existing e2e test: GET /users?status=PENDING returns exactly the newly-registered pending user. | Manually re-verified live in-browser on the deployed Azure app, 2026-09-09 (driven step-by-step, observed directly) - confirmed.</t>
        </is>
      </c>
    </row>
    <row r="7" ht="41.4" customHeight="1">
      <c r="A7" s="3" t="inlineStr">
        <is>
          <t>AC-001-002-02</t>
        </is>
      </c>
      <c r="B7" s="3" t="inlineStr">
        <is>
          <t>US-001-002</t>
        </is>
      </c>
      <c r="C7" s="3" t="inlineStr">
        <is>
          <t>EP-001</t>
        </is>
      </c>
      <c r="D7" s="3" t="inlineStr">
        <is>
          <t>Only authorised administrators can approve or reject.</t>
        </is>
      </c>
      <c r="E7" s="3" t="n"/>
      <c r="F7" s="3" t="inlineStr">
        <is>
          <t>Pass</t>
        </is>
      </c>
      <c r="G7" s="3" t="n"/>
      <c r="H7" s="3" t="n"/>
      <c r="I7" s="3" t="inlineStr">
        <is>
          <t>Claude (AI Engineer)</t>
        </is>
      </c>
      <c r="J7" s="3" t="inlineStr">
        <is>
          <t>SIT</t>
        </is>
      </c>
      <c r="K7" s="3" t="inlineStr">
        <is>
          <t>Live test 2026-09-08: unauthenticated attempt to POST /users/:id/approve -&gt; 401. Endpoint also carries @Roles(ADMINISTRATOR) guard, same mechanism directly proven by the existing RBAC e2e tests on other admin routes. | Manually re-verified live in-browser 2026-09-09: logged in as a real employee and navigated directly to /admin/users by URL. Confirmed GET /users -&gt; 403 server-side (RBAC correctly enforced, no admin data reaches the employee). FINDING (UX, not a security defect): the page itself renders an empty table with no rows and no message, rather than a clear 'you don't have access' notice - a non-admin hitting an admin route directly sees a confusing blank screen instead of being told why. Not fixed yet; flagged for a follow-up pass.</t>
        </is>
      </c>
    </row>
    <row r="8" ht="27.6" customHeight="1">
      <c r="A8" s="3" t="inlineStr">
        <is>
          <t>AC-001-002-03</t>
        </is>
      </c>
      <c r="B8" s="3" t="inlineStr">
        <is>
          <t>US-001-002</t>
        </is>
      </c>
      <c r="C8" s="3" t="inlineStr">
        <is>
          <t>EP-001</t>
        </is>
      </c>
      <c r="D8" s="3" t="inlineStr">
        <is>
          <t>Approval activates the user and records approver/date.</t>
        </is>
      </c>
      <c r="E8" s="3" t="n"/>
      <c r="F8" s="3" t="inlineStr">
        <is>
          <t>Pass</t>
        </is>
      </c>
      <c r="G8" s="3" t="n"/>
      <c r="H8" s="3" t="n"/>
      <c r="I8" s="3" t="inlineStr">
        <is>
          <t>Claude (AI Engineer)</t>
        </is>
      </c>
      <c r="J8" s="3" t="inlineStr">
        <is>
          <t>SIT</t>
        </is>
      </c>
      <c r="K8" s="3" t="inlineStr">
        <is>
          <t>Live test 2026-09-08: admin approve response includes status=ACTIVE, approvedById=&lt;admin user id&gt;, approvedAt=&lt;real timestamp&gt;. | Manually re-verified live in-browser on the deployed Azure app, 2026-09-09 (driven step-by-step, observed directly) - confirmed.</t>
        </is>
      </c>
    </row>
    <row r="9" ht="27.6" customHeight="1">
      <c r="A9" s="3" t="inlineStr">
        <is>
          <t>AC-001-002-04</t>
        </is>
      </c>
      <c r="B9" s="3" t="inlineStr">
        <is>
          <t>US-001-002</t>
        </is>
      </c>
      <c r="C9" s="3" t="inlineStr">
        <is>
          <t>EP-001</t>
        </is>
      </c>
      <c r="D9" s="3" t="inlineStr">
        <is>
          <t>Rejected users cannot sign in unless later reactivated.</t>
        </is>
      </c>
      <c r="E9" s="3" t="n"/>
      <c r="F9" s="3" t="inlineStr">
        <is>
          <t>Pass</t>
        </is>
      </c>
      <c r="G9" s="3" t="n"/>
      <c r="H9" s="3" t="n"/>
      <c r="I9" s="3" t="inlineStr">
        <is>
          <t>Claude (AI Engineer)</t>
        </is>
      </c>
      <c r="J9" s="3" t="inlineStr">
        <is>
          <t>SIT</t>
        </is>
      </c>
      <c r="K9" s="3" t="inlineStr">
        <is>
          <t>Live test 2026-09-08: rejected user login -&gt; 401; after admin reactivation (status=ACTIVE) -&gt; 200. | Manually re-verified live in-browser on the deployed Azure app, 2026-09-09 (driven step-by-step, observed directly) - confirmed.</t>
        </is>
      </c>
    </row>
    <row r="10" ht="27.6" customHeight="1">
      <c r="A10" s="3" t="inlineStr">
        <is>
          <t>AC-001-003-01</t>
        </is>
      </c>
      <c r="B10" s="3" t="inlineStr">
        <is>
          <t>US-001-003</t>
        </is>
      </c>
      <c r="C10" s="3" t="inlineStr">
        <is>
          <t>EP-001</t>
        </is>
      </c>
      <c r="D10" s="3" t="inlineStr">
        <is>
          <t>Login accepts email and password.</t>
        </is>
      </c>
      <c r="E10" s="3" t="n"/>
      <c r="F10" s="3" t="inlineStr">
        <is>
          <t>Pass</t>
        </is>
      </c>
      <c r="G10" s="3" t="n"/>
      <c r="H10" s="3" t="n"/>
      <c r="I10" s="3" t="inlineStr">
        <is>
          <t>Claude (AI Engineer)</t>
        </is>
      </c>
      <c r="J10" s="3" t="inlineStr">
        <is>
          <t>SIT</t>
        </is>
      </c>
      <c r="K10" s="3" t="inlineStr">
        <is>
          <t>Live test 2026-09-08: POST /auth/login with email+password -&gt; 200 (also existing e2e coverage). | Manually re-verified live in-browser on the deployed Azure app, 2026-09-09 (driven step-by-step, observed directly) - confirmed.</t>
        </is>
      </c>
    </row>
    <row r="11" ht="27.6" customHeight="1">
      <c r="A11" s="3" t="inlineStr">
        <is>
          <t>AC-001-003-02</t>
        </is>
      </c>
      <c r="B11" s="3" t="inlineStr">
        <is>
          <t>US-001-003</t>
        </is>
      </c>
      <c r="C11" s="3" t="inlineStr">
        <is>
          <t>EP-001</t>
        </is>
      </c>
      <c r="D11" s="3" t="inlineStr">
        <is>
          <t>Invalid credentials return a generic error.</t>
        </is>
      </c>
      <c r="E11" s="3" t="n"/>
      <c r="F11" s="3" t="inlineStr">
        <is>
          <t>Pass</t>
        </is>
      </c>
      <c r="G11" s="3" t="n"/>
      <c r="H11" s="3" t="n"/>
      <c r="I11" s="3" t="inlineStr">
        <is>
          <t>Claude (AI Engineer)</t>
        </is>
      </c>
      <c r="J11" s="3" t="inlineStr">
        <is>
          <t>SIT</t>
        </is>
      </c>
      <c r="K11" s="3" t="inlineStr">
        <is>
          <t>Live test 2026-09-08: wrong-password and nonexistent-email logins return identical 401 "Invalid email or password" - no account-existence leak. | Manually re-verified live in-browser on the deployed Azure app, 2026-09-09 (driven step-by-step, observed directly) - confirmed.</t>
        </is>
      </c>
    </row>
    <row r="12" ht="27.6" customHeight="1">
      <c r="A12" s="3" t="inlineStr">
        <is>
          <t>AC-001-003-03</t>
        </is>
      </c>
      <c r="B12" s="3" t="inlineStr">
        <is>
          <t>US-001-003</t>
        </is>
      </c>
      <c r="C12" s="3" t="inlineStr">
        <is>
          <t>EP-001</t>
        </is>
      </c>
      <c r="D12" s="3" t="inlineStr">
        <is>
          <t>Successful login creates an authenticated session using secure cookies/tokens.</t>
        </is>
      </c>
      <c r="E12" s="3" t="n"/>
      <c r="F12" s="3" t="inlineStr">
        <is>
          <t>Pass</t>
        </is>
      </c>
      <c r="G12" s="3" t="n"/>
      <c r="H12" s="3" t="n"/>
      <c r="I12" s="3" t="inlineStr">
        <is>
          <t>Claude (AI Engineer)</t>
        </is>
      </c>
      <c r="J12" s="3" t="inlineStr">
        <is>
          <t>SIT</t>
        </is>
      </c>
      <c r="K12" s="3" t="inlineStr">
        <is>
          <t>Live test 2026-09-08: login Set-Cookie headers confirmed atms_access and atms_refresh both HttpOnly; Secure; SameSite=None. | Manually re-verified live in-browser on the deployed Azure app, 2026-09-09 (driven step-by-step, observed directly) - confirmed.</t>
        </is>
      </c>
    </row>
    <row r="13" ht="27.6" customHeight="1">
      <c r="A13" s="3" t="inlineStr">
        <is>
          <t>AC-001-003-04</t>
        </is>
      </c>
      <c r="B13" s="3" t="inlineStr">
        <is>
          <t>US-001-003</t>
        </is>
      </c>
      <c r="C13" s="3" t="inlineStr">
        <is>
          <t>EP-001</t>
        </is>
      </c>
      <c r="D13" s="3" t="inlineStr">
        <is>
          <t>Inactive, suspended or rejected accounts cannot access protected screens.</t>
        </is>
      </c>
      <c r="E13" s="3" t="n"/>
      <c r="F13" s="3" t="inlineStr">
        <is>
          <t>Pass</t>
        </is>
      </c>
      <c r="G13" s="3" t="n"/>
      <c r="H13" s="3" t="n"/>
      <c r="I13" s="3" t="inlineStr">
        <is>
          <t>Claude (AI Engineer)</t>
        </is>
      </c>
      <c r="J13" s="3" t="inlineStr">
        <is>
          <t>SIT</t>
        </is>
      </c>
      <c r="K13" s="3" t="inlineStr">
        <is>
          <t>Live test 2026-09-08: login attempt against a SUSPENDED account -&gt; 401 "Account is suspended" (existing e2e test covers PENDING specifically; this covers SUSPENDED). | Manually re-verified live in-browser on the deployed Azure app, 2026-09-09 (driven step-by-step, observed directly) - confirmed.</t>
        </is>
      </c>
    </row>
    <row r="14" ht="27.6" customHeight="1">
      <c r="A14" s="3" t="inlineStr">
        <is>
          <t>AC-001-004-01</t>
        </is>
      </c>
      <c r="B14" s="3" t="inlineStr">
        <is>
          <t>US-001-004</t>
        </is>
      </c>
      <c r="C14" s="3" t="inlineStr">
        <is>
          <t>EP-001</t>
        </is>
      </c>
      <c r="D14" s="3" t="inlineStr">
        <is>
          <t>Logout invalidates the active application session.</t>
        </is>
      </c>
      <c r="E14" s="3" t="n"/>
      <c r="F14" s="3" t="inlineStr">
        <is>
          <t>Pass</t>
        </is>
      </c>
      <c r="G14" s="3" t="n"/>
      <c r="H14" s="3" t="n"/>
      <c r="I14" s="3" t="inlineStr">
        <is>
          <t>Claude (AI Engineer)</t>
        </is>
      </c>
      <c r="J14" s="3" t="inlineStr">
        <is>
          <t>SIT</t>
        </is>
      </c>
      <c r="K14" s="3" t="inlineStr">
        <is>
          <t>Live test 2026-09-08: GET /users/me succeeds (200) before logout; the exact same cookies replayed after logout -&gt; 401. Stronger than the existing e2e test, which only checked that /auth/refresh fails post-logout, not a protected GET with the still-held access token. | Manually re-verified live in-browser on the deployed Azure app, 2026-09-09 (driven step-by-step, observed directly) - confirmed.</t>
        </is>
      </c>
    </row>
    <row r="15" ht="27.6" customHeight="1">
      <c r="A15" s="3" t="inlineStr">
        <is>
          <t>AC-001-004-02</t>
        </is>
      </c>
      <c r="B15" s="3" t="inlineStr">
        <is>
          <t>US-001-004</t>
        </is>
      </c>
      <c r="C15" s="3" t="inlineStr">
        <is>
          <t>EP-001</t>
        </is>
      </c>
      <c r="D15" s="3" t="inlineStr">
        <is>
          <t>Protected pages cannot be accessed after logout without re-authentication.</t>
        </is>
      </c>
      <c r="E15" s="3" t="n"/>
      <c r="F15" s="3" t="inlineStr">
        <is>
          <t>Pass</t>
        </is>
      </c>
      <c r="G15" s="3" t="n"/>
      <c r="H15" s="3" t="n"/>
      <c r="I15" s="3" t="inlineStr">
        <is>
          <t>Claude (AI Engineer)</t>
        </is>
      </c>
      <c r="J15" s="3" t="inlineStr">
        <is>
          <t>SIT</t>
        </is>
      </c>
      <c r="K15" s="3" t="inlineStr">
        <is>
          <t>Same evidence as AC-001-004-01 - a protected endpoint (GET /users/me) is unreachable immediately after logout, not just eventually once the access token naturally expires. | Manually re-verified live in-browser on the deployed Azure app, 2026-09-09 (driven step-by-step, observed directly) - confirmed.</t>
        </is>
      </c>
    </row>
    <row r="16" ht="27.6" customHeight="1">
      <c r="A16" s="3" t="inlineStr">
        <is>
          <t>AC-001-004-03</t>
        </is>
      </c>
      <c r="B16" s="3" t="inlineStr">
        <is>
          <t>US-001-004</t>
        </is>
      </c>
      <c r="C16" s="3" t="inlineStr">
        <is>
          <t>EP-001</t>
        </is>
      </c>
      <c r="D16" s="3" t="inlineStr">
        <is>
          <t>Logout is available from the main navigation.</t>
        </is>
      </c>
      <c r="E16" s="3" t="n"/>
      <c r="F16" s="3" t="inlineStr">
        <is>
          <t>Pass</t>
        </is>
      </c>
      <c r="G16" s="3" t="n"/>
      <c r="H16" s="3" t="n"/>
      <c r="I16" s="3" t="inlineStr">
        <is>
          <t>Claude (AI Engineer)</t>
        </is>
      </c>
      <c r="J16" s="3" t="inlineStr">
        <is>
          <t>SIT</t>
        </is>
      </c>
      <c r="K16" s="3" t="inlineStr">
        <is>
          <t>Confirmed live: "Log out" button present in both desktop sidebar and mobile nav on every authenticated page. | Manually re-verified live in-browser on the deployed Azure app, 2026-09-09 (driven step-by-step, observed directly) - confirmed.</t>
        </is>
      </c>
    </row>
    <row r="17" ht="46.2" customHeight="1">
      <c r="A17" s="3" t="inlineStr">
        <is>
          <t>AC-001-004-04</t>
        </is>
      </c>
      <c r="B17" s="3" t="inlineStr">
        <is>
          <t>US-001-004</t>
        </is>
      </c>
      <c r="C17" s="3" t="inlineStr">
        <is>
          <t>EP-001</t>
        </is>
      </c>
      <c r="D17" s="3" t="inlineStr">
        <is>
          <t>Logout does not alter attendance or task timer records.</t>
        </is>
      </c>
      <c r="E17" s="3" t="n"/>
      <c r="F17" s="3" t="inlineStr">
        <is>
          <t>Pass</t>
        </is>
      </c>
      <c r="G17" s="3" t="n"/>
      <c r="H17" s="3" t="n"/>
      <c r="I17" s="3" t="inlineStr">
        <is>
          <t>Claude (AI Engineer)</t>
        </is>
      </c>
      <c r="J17" s="3" t="inlineStr">
        <is>
          <t>SIT</t>
        </is>
      </c>
      <c r="K17" s="3" t="inlineStr">
        <is>
          <t>Live test 2026-09-08: attendance session id, active timer id, and state identical before logout and after re-login. | Manually re-verified live in-browser on the deployed Azure app, 2026-09-09 (driven step-by-step, observed directly) - confirmed.</t>
        </is>
      </c>
    </row>
    <row r="18" ht="39.6" customHeight="1">
      <c r="A18" s="3" t="inlineStr">
        <is>
          <t>AC-001-005-01</t>
        </is>
      </c>
      <c r="B18" s="3" t="inlineStr">
        <is>
          <t>US-001-005</t>
        </is>
      </c>
      <c r="C18" s="3" t="inlineStr">
        <is>
          <t>EP-001</t>
        </is>
      </c>
      <c r="D18" s="3" t="inlineStr">
        <is>
          <t>User can submit an email address for reset.</t>
        </is>
      </c>
      <c r="E18" s="3" t="n"/>
      <c r="F18" s="3" t="inlineStr">
        <is>
          <t>Pass</t>
        </is>
      </c>
      <c r="G18" s="3" t="n"/>
      <c r="H18" s="3" t="n"/>
      <c r="I18" s="3" t="inlineStr">
        <is>
          <t>Claude (AI Engineer)</t>
        </is>
      </c>
      <c r="J18" s="3" t="inlineStr">
        <is>
          <t>SIT</t>
        </is>
      </c>
      <c r="K18" s="3" t="inlineStr">
        <is>
          <t>Live test 2026-09-08: POST /auth/forgot-password with a real registered email -&gt; 200. | Manually re-verified live 2026-09-09 against production: submitted a real registered email, got the generic accepted response. EXCEPTION: could not observe the actual reset-password page/token from production itself - as of the token-logging fix (commit 3b7c286), the raw token is deliberately never exposed in production (no log, no response field), which is correct/intended behaviour, not a defect. To manually exercise the rest of the reset flow (US-001-005/006), switched to the local dev environment (NODE_ENV != production), where forgotPassword's response includes a devResetToken field specifically for this purpose. Local dev and production run identical code; only the environment-gated devResetToken field differs.</t>
        </is>
      </c>
    </row>
    <row r="19" ht="27.6" customHeight="1">
      <c r="A19" s="3" t="inlineStr">
        <is>
          <t>AC-001-005-02</t>
        </is>
      </c>
      <c r="B19" s="3" t="inlineStr">
        <is>
          <t>US-001-005</t>
        </is>
      </c>
      <c r="C19" s="3" t="inlineStr">
        <is>
          <t>EP-001</t>
        </is>
      </c>
      <c r="D19" s="3" t="inlineStr">
        <is>
          <t>Response does not reveal whether an account exists.</t>
        </is>
      </c>
      <c r="E19" s="3" t="n"/>
      <c r="F19" s="3" t="inlineStr">
        <is>
          <t>Pass</t>
        </is>
      </c>
      <c r="G19" s="3" t="n"/>
      <c r="H19" s="3" t="n"/>
      <c r="I19" s="3" t="inlineStr">
        <is>
          <t>Claude (AI Engineer)</t>
        </is>
      </c>
      <c r="J19" s="3" t="inlineStr">
        <is>
          <t>SIT</t>
        </is>
      </c>
      <c r="K19" s="3" t="inlineStr">
        <is>
          <t>Live test 2026-09-08: response body identical (status + message) for a real vs a nonexistent email. | Manually re-verified live 2026-09-09 against production: identical generic message for a real vs nonexistent email, confirmed via the actual UI. Note: local dev's devResetToken field is present only for an email that matches a real account, so strictly speaking dev-mode responses DO differ by existence - this is an intentional, environment-gated exception to the non-disclosure guarantee (see auth.service.ts comment on forgotPassword) and never runs in production.</t>
        </is>
      </c>
    </row>
    <row r="20" ht="27.6" customHeight="1">
      <c r="A20" s="3" t="inlineStr">
        <is>
          <t>AC-001-005-03</t>
        </is>
      </c>
      <c r="B20" s="3" t="inlineStr">
        <is>
          <t>US-001-005</t>
        </is>
      </c>
      <c r="C20" s="3" t="inlineStr">
        <is>
          <t>EP-001</t>
        </is>
      </c>
      <c r="D20" s="3" t="inlineStr">
        <is>
          <t>Reset link/token expires after a configured period.</t>
        </is>
      </c>
      <c r="E20" s="3" t="n"/>
      <c r="F20" s="3" t="inlineStr">
        <is>
          <t>Pass</t>
        </is>
      </c>
      <c r="G20" s="3" t="n"/>
      <c r="H20" s="3" t="n"/>
      <c r="I20" s="3" t="inlineStr">
        <is>
          <t>Claude (AI Engineer)</t>
        </is>
      </c>
      <c r="J20" s="3" t="inlineStr">
        <is>
          <t>SIT</t>
        </is>
      </c>
      <c r="K20" s="3" t="inlineStr">
        <is>
          <t>Live test 2026-09-08: a token seeded with expiresAt in the past is rejected with "Reset link is invalid or has expired". TTL is 1 hour (RESET_TOKEN_TTL_MS, auth.service.ts). | Manually re-verified 2026-09-09: obtained a real reset token via local dev's devResetToken (see AC-001-005-01 note on why production itself couldn't be used for this step), used it successfully once, confirmed a second use is rejected. 1-hour expiry itself confirmed by code (RESET_TOKEN_TTL_MS), not by waiting an hour live.</t>
        </is>
      </c>
    </row>
    <row r="21" ht="27.6" customHeight="1">
      <c r="A21" s="3" t="inlineStr">
        <is>
          <t>AC-001-005-04</t>
        </is>
      </c>
      <c r="B21" s="3" t="inlineStr">
        <is>
          <t>US-001-005</t>
        </is>
      </c>
      <c r="C21" s="3" t="inlineStr">
        <is>
          <t>EP-001</t>
        </is>
      </c>
      <c r="D21" s="3" t="inlineStr">
        <is>
          <t>A used or expired reset token cannot be reused.</t>
        </is>
      </c>
      <c r="E21" s="3" t="n"/>
      <c r="F21" s="3" t="inlineStr">
        <is>
          <t>Pass</t>
        </is>
      </c>
      <c r="G21" s="3" t="n"/>
      <c r="H21" s="3" t="n"/>
      <c r="I21" s="3" t="inlineStr">
        <is>
          <t>Claude (AI Engineer)</t>
        </is>
      </c>
      <c r="J21" s="3" t="inlineStr">
        <is>
          <t>SIT</t>
        </is>
      </c>
      <c r="K21" s="3" t="inlineStr">
        <is>
          <t>Live test 2026-09-08: same token used successfully once (200), reused immediately after -&gt; 400 invalid/expired. | Manually re-verified live 2026-09-09 (local dev, see AC-001-005-01 note): completed a reset with a real token, then immediately retried the same token on the actual reset-password page - UI showed 'Reset link is invalid or has expired'.</t>
        </is>
      </c>
    </row>
    <row r="22" ht="27.6" customHeight="1">
      <c r="A22" s="3" t="inlineStr">
        <is>
          <t>AC-001-006-01</t>
        </is>
      </c>
      <c r="B22" s="3" t="inlineStr">
        <is>
          <t>US-001-006</t>
        </is>
      </c>
      <c r="C22" s="3" t="inlineStr">
        <is>
          <t>EP-001</t>
        </is>
      </c>
      <c r="D22" s="3" t="inlineStr">
        <is>
          <t>New password must satisfy password policy.</t>
        </is>
      </c>
      <c r="E22" s="3" t="n"/>
      <c r="F22" s="3" t="inlineStr">
        <is>
          <t>Pass</t>
        </is>
      </c>
      <c r="G22" s="3" t="n"/>
      <c r="H22" s="3" t="n"/>
      <c r="I22" s="3" t="inlineStr">
        <is>
          <t>Claude (AI Engineer)</t>
        </is>
      </c>
      <c r="J22" s="3" t="inlineStr">
        <is>
          <t>SIT</t>
        </is>
      </c>
      <c r="K22" s="3" t="inlineStr">
        <is>
          <t>Live test 2026-09-08: reset with a weak new password -&gt; 400 with the specific unmet policy rules. | Manually re-verified live 2026-09-09 (local dev, see AC-001-005-01 note): entered a weak new password on the actual reset-password page - UI showed 'Password must be at least 10 characters'.</t>
        </is>
      </c>
    </row>
    <row r="23" ht="27.6" customHeight="1">
      <c r="A23" s="3" t="inlineStr">
        <is>
          <t>AC-001-006-02</t>
        </is>
      </c>
      <c r="B23" s="3" t="inlineStr">
        <is>
          <t>US-001-006</t>
        </is>
      </c>
      <c r="C23" s="3" t="inlineStr">
        <is>
          <t>EP-001</t>
        </is>
      </c>
      <c r="D23" s="3" t="inlineStr">
        <is>
          <t>New and confirmation passwords must match.</t>
        </is>
      </c>
      <c r="E23" s="3" t="n"/>
      <c r="F23" s="3" t="inlineStr">
        <is>
          <t>Pass</t>
        </is>
      </c>
      <c r="G23" s="3" t="n"/>
      <c r="H23" s="3" t="n"/>
      <c r="I23" s="3" t="inlineStr">
        <is>
          <t>Claude (AI Engineer)</t>
        </is>
      </c>
      <c r="J23" s="3" t="inlineStr">
        <is>
          <t>SIT</t>
        </is>
      </c>
      <c r="K23" s="3" t="inlineStr">
        <is>
          <t>Live test 2026-09-08: reset with mismatched confirmPassword -&gt; 400 "Passwords do not match". | Manually re-verified live 2026-09-09 (local dev, see AC-001-005-01 note): entered mismatched new/confirm passwords on the actual reset-password page - UI showed 'Passwords do not match'.</t>
        </is>
      </c>
    </row>
    <row r="24" ht="27.6" customHeight="1">
      <c r="A24" s="3" t="inlineStr">
        <is>
          <t>AC-001-006-03</t>
        </is>
      </c>
      <c r="B24" s="3" t="inlineStr">
        <is>
          <t>US-001-006</t>
        </is>
      </c>
      <c r="C24" s="3" t="inlineStr">
        <is>
          <t>EP-001</t>
        </is>
      </c>
      <c r="D24" s="3" t="inlineStr">
        <is>
          <t>Successful reset invalidates the reset token.</t>
        </is>
      </c>
      <c r="E24" s="3" t="n"/>
      <c r="F24" s="3" t="inlineStr">
        <is>
          <t>Pass</t>
        </is>
      </c>
      <c r="G24" s="3" t="n"/>
      <c r="H24" s="3" t="n"/>
      <c r="I24" s="3" t="inlineStr">
        <is>
          <t>Claude (AI Engineer)</t>
        </is>
      </c>
      <c r="J24" s="3" t="inlineStr">
        <is>
          <t>SIT</t>
        </is>
      </c>
      <c r="K24" s="3" t="inlineStr">
        <is>
          <t>Live test 2026-09-08: same evidence as AC-001-005-04 - a successful reset immediately invalidates its own token. | Manually re-verified live 2026-09-09 (local dev, see AC-001-005-01 note): completed a reset, confirmed the new password logs in successfully, then confirmed the same token is rejected if reused.</t>
        </is>
      </c>
    </row>
    <row r="25" ht="27.6" customHeight="1">
      <c r="A25" s="3" t="inlineStr">
        <is>
          <t>AC-001-006-04</t>
        </is>
      </c>
      <c r="B25" s="3" t="inlineStr">
        <is>
          <t>US-001-006</t>
        </is>
      </c>
      <c r="C25" s="3" t="inlineStr">
        <is>
          <t>EP-001</t>
        </is>
      </c>
      <c r="D25" s="3" t="inlineStr">
        <is>
          <t>Existing sessions may be revoked according to security policy.</t>
        </is>
      </c>
      <c r="E25" s="3" t="n"/>
      <c r="F25" s="3" t="inlineStr">
        <is>
          <t>Pass</t>
        </is>
      </c>
      <c r="G25" s="3" t="n"/>
      <c r="H25" s="3" t="n"/>
      <c r="I25" s="3" t="inlineStr">
        <is>
          <t>Claude (AI Engineer)</t>
        </is>
      </c>
      <c r="J25" s="3" t="inlineStr">
        <is>
          <t>SIT</t>
        </is>
      </c>
      <c r="K25" s="3" t="inlineStr">
        <is>
          <t>Live test 2026-09-08: a refresh token captured before a password reset is rejected (401 "Session expired") when used after the reset. | Manually re-verified live 2026-09-09 (local dev, see AC-001-005-01 note): held an active logged-in session, triggered a second reset for the same account while that session was still open, then called POST /auth/refresh with the pre-reset session's own cookie directly - got 401 'Session expired, please log in again', confirming the reset genuinely revoked the earlier session rather than just changing the password.</t>
        </is>
      </c>
    </row>
    <row r="26" ht="27.6" customHeight="1">
      <c r="A26" s="3" t="inlineStr">
        <is>
          <t>AC-001-007-01</t>
        </is>
      </c>
      <c r="B26" s="3" t="inlineStr">
        <is>
          <t>US-001-007</t>
        </is>
      </c>
      <c r="C26" s="3" t="inlineStr">
        <is>
          <t>EP-001</t>
        </is>
      </c>
      <c r="D26" s="3" t="inlineStr">
        <is>
          <t>Inactivity timeout is configurable.</t>
        </is>
      </c>
      <c r="E26" s="3" t="n"/>
      <c r="F26" s="3" t="inlineStr">
        <is>
          <t>Pass</t>
        </is>
      </c>
      <c r="G26" s="3" t="n"/>
      <c r="H26" s="3" t="n"/>
      <c r="I26" s="3" t="inlineStr">
        <is>
          <t>Claude (AI Engineer)</t>
        </is>
      </c>
      <c r="J26" s="3" t="inlineStr">
        <is>
          <t>SIT</t>
        </is>
      </c>
      <c r="K26" s="3" t="inlineStr">
        <is>
          <t>Verified by e2e test: threshold is read from AppSettings.sessionInactivityTimeoutMinutes, confirmed configurable. | Manually re-verified live in-browser on the deployed Azure app, 2026-09-09 (driven step-by-step, observed directly) - confirmed.</t>
        </is>
      </c>
    </row>
    <row r="27" ht="27.6" customHeight="1">
      <c r="A27" s="3" t="inlineStr">
        <is>
          <t>AC-001-007-02</t>
        </is>
      </c>
      <c r="B27" s="3" t="inlineStr">
        <is>
          <t>US-001-007</t>
        </is>
      </c>
      <c r="C27" s="3" t="inlineStr">
        <is>
          <t>EP-001</t>
        </is>
      </c>
      <c r="D27" s="3" t="inlineStr">
        <is>
          <t>Expired sessions require login again.</t>
        </is>
      </c>
      <c r="E27" s="3" t="n"/>
      <c r="F27" s="3" t="inlineStr">
        <is>
          <t>Pass</t>
        </is>
      </c>
      <c r="G27" s="3" t="n"/>
      <c r="H27" s="3" t="n"/>
      <c r="I27" s="3" t="inlineStr">
        <is>
          <t>Claude (AI Engineer)</t>
        </is>
      </c>
      <c r="J27" s="3" t="inlineStr">
        <is>
          <t>SIT</t>
        </is>
      </c>
      <c r="K27" s="3" t="inlineStr">
        <is>
          <t>Verified by e2e test: expired-by-inactivity refresh token is rejected with 401. | Manually re-verified live in-browser on the deployed Azure app, 2026-09-09 (driven step-by-step, observed directly) - confirmed.</t>
        </is>
      </c>
    </row>
    <row r="28" ht="27.6" customHeight="1">
      <c r="A28" s="3" t="inlineStr">
        <is>
          <t>AC-001-007-03</t>
        </is>
      </c>
      <c r="B28" s="3" t="inlineStr">
        <is>
          <t>US-001-007</t>
        </is>
      </c>
      <c r="C28" s="3" t="inlineStr">
        <is>
          <t>EP-001</t>
        </is>
      </c>
      <c r="D28" s="3" t="inlineStr">
        <is>
          <t>Session expiry does not stop or modify authoritative attendance/task records.</t>
        </is>
      </c>
      <c r="E28" s="3" t="n"/>
      <c r="F28" s="3" t="inlineStr">
        <is>
          <t>Pass</t>
        </is>
      </c>
      <c r="G28" s="3" t="n"/>
      <c r="H28" s="3" t="n"/>
      <c r="I28" s="3" t="inlineStr">
        <is>
          <t>Claude (AI Engineer)</t>
        </is>
      </c>
      <c r="J28" s="3" t="inlineStr">
        <is>
          <t>SIT</t>
        </is>
      </c>
      <c r="K28" s="3" t="inlineStr">
        <is>
          <t>Live test 2026-09-08: refresh token backdated 31 minutes past the 30-minute inactivity window is rejected, and the underlying attendance record is unchanged (checked via admin, a separate unaffected session). | Manually re-verified live in-browser on the deployed Azure app, 2026-09-09 (driven step-by-step, observed directly) - confirmed.</t>
        </is>
      </c>
    </row>
    <row r="29" ht="55.2" customHeight="1">
      <c r="A29" s="3" t="inlineStr">
        <is>
          <t>AC-001-007-04</t>
        </is>
      </c>
      <c r="B29" s="3" t="inlineStr">
        <is>
          <t>US-001-007</t>
        </is>
      </c>
      <c r="C29" s="3" t="inlineStr">
        <is>
          <t>EP-001</t>
        </is>
      </c>
      <c r="D29" s="3" t="inlineStr">
        <is>
          <t>User receives a clear expired-session message.</t>
        </is>
      </c>
      <c r="E29" s="3" t="n"/>
      <c r="F29" s="3" t="inlineStr">
        <is>
          <t>Pass</t>
        </is>
      </c>
      <c r="G29" s="3" t="n"/>
      <c r="H29" s="3" t="n"/>
      <c r="I29" s="3" t="inlineStr">
        <is>
          <t>Claude (AI Engineer)</t>
        </is>
      </c>
      <c r="J29" s="3" t="inlineStr">
        <is>
          <t>SIT</t>
        </is>
      </c>
      <c r="K29" s="3" t="inlineStr">
        <is>
          <t>Fixed and verified live, 2026-09-08. First fix attempt (dc11743, in-memory ref) failed live verification: a fresh full-page navigation after simulated expiry showed no message - the ref is empty on first render after a reload, which is the realistic case (reopening the tab), not just an edge case. Corrected to sessionStorage (31d9d1e), which survives a full reload within the same tab. Re-verified by temporarily setting JWT_ACCESS_TTL=8s on the live API, confirming the real banner ("Your session has expired. Please log in again.") appears on a genuine fresh navigation after expiry, AND that a normal deliberate logout still shows the plain login page (no false positive). TTL reverted immediately after. | Manually re-verified live 2026-09-09: to trigger a real (not simulated) expiry without waiting the full inactivity window, temporarily restarted local dev with JWT_ACCESS_TTL=5s, logged in fresh, backdated that session's RefreshToken.lastUsedAt by 40 minutes directly in the database, waited 6 seconds for the short-lived access token to lapse naturally, then reloaded the page - the app redirected to /login and showed 'Your session has expired. Please log in again.' exactly as designed.</t>
        </is>
      </c>
    </row>
    <row r="30" ht="27.6" customHeight="1">
      <c r="A30" s="3" t="inlineStr">
        <is>
          <t>AC-002-001-01</t>
        </is>
      </c>
      <c r="B30" s="3" t="inlineStr">
        <is>
          <t>US-002-001</t>
        </is>
      </c>
      <c r="C30" s="3" t="inlineStr">
        <is>
          <t>EP-002</t>
        </is>
      </c>
      <c r="D30" s="3" t="inlineStr">
        <is>
          <t>Administrator can enter required identity/contact fields.</t>
        </is>
      </c>
      <c r="E30" s="3" t="n"/>
      <c r="F30" s="3" t="inlineStr">
        <is>
          <t>Pass</t>
        </is>
      </c>
      <c r="G30" s="3" t="n"/>
      <c r="H30" s="3" t="n"/>
      <c r="I30" s="3" t="inlineStr">
        <is>
          <t>Claude (AI Engineer)</t>
        </is>
      </c>
      <c r="J30" s="3" t="inlineStr">
        <is>
          <t>SIT</t>
        </is>
      </c>
      <c r="K30" s="3" t="inlineStr">
        <is>
          <t>Live test 2026-09-08: admin POST /users with full identity/contact fields -&gt; 201, all fields persisted exactly as submitted. | PASS - manually re-verified live in-browser on the deployed Azure app, 2026-09-09: Create User form has First name, Surname, Email, Phone number, Role and Department fields; submitted a real user and confirmed it appears in the list with exactly those values.</t>
        </is>
      </c>
    </row>
    <row r="31" ht="27.6" customHeight="1">
      <c r="A31" s="3" t="inlineStr">
        <is>
          <t>AC-002-001-02</t>
        </is>
      </c>
      <c r="B31" s="3" t="inlineStr">
        <is>
          <t>US-002-001</t>
        </is>
      </c>
      <c r="C31" s="3" t="inlineStr">
        <is>
          <t>EP-002</t>
        </is>
      </c>
      <c r="D31" s="3" t="inlineStr">
        <is>
          <t>Email uniqueness is enforced.</t>
        </is>
      </c>
      <c r="E31" s="3" t="n"/>
      <c r="F31" s="3" t="inlineStr">
        <is>
          <t>Pass</t>
        </is>
      </c>
      <c r="G31" s="3" t="n"/>
      <c r="H31" s="3" t="n"/>
      <c r="I31" s="3" t="inlineStr">
        <is>
          <t>Claude (AI Engineer)</t>
        </is>
      </c>
      <c r="J31" s="3" t="inlineStr">
        <is>
          <t>SIT</t>
        </is>
      </c>
      <c r="K31" s="3" t="inlineStr">
        <is>
          <t>Live test 2026-09-08: POST /users with a duplicate email -&gt; 409. | PASS - manually re-verified live: browser UI submission of a duplicate email silently did nothing at first (see AC-002-006-01/related finding below), traced to a separate bug; confirmed via a clean direct API call that POST /users with a duplicate email correctly returns 409 'An account with this email already exists'.</t>
        </is>
      </c>
    </row>
    <row r="32" ht="27.6" customHeight="1">
      <c r="A32" s="3" t="inlineStr">
        <is>
          <t>AC-002-001-03</t>
        </is>
      </c>
      <c r="B32" s="3" t="inlineStr">
        <is>
          <t>US-002-001</t>
        </is>
      </c>
      <c r="C32" s="3" t="inlineStr">
        <is>
          <t>EP-002</t>
        </is>
      </c>
      <c r="D32" s="3" t="inlineStr">
        <is>
          <t>Role and department can be assigned.</t>
        </is>
      </c>
      <c r="E32" s="3" t="n"/>
      <c r="F32" s="3" t="inlineStr">
        <is>
          <t>Pass</t>
        </is>
      </c>
      <c r="G32" s="3" t="n"/>
      <c r="H32" s="3" t="n"/>
      <c r="I32" s="3" t="inlineStr">
        <is>
          <t>Claude (AI Engineer)</t>
        </is>
      </c>
      <c r="J32" s="3" t="inlineStr">
        <is>
          <t>SIT</t>
        </is>
      </c>
      <c r="K32" s="3" t="inlineStr">
        <is>
          <t>Live test 2026-09-08: created user has role=ADMINISTRATOR and departmentId matching what was submitted. | PASS - manually re-verified live: Role (EMPLOYEE/ADMINISTRATOR) and Department (populated from GET /departments) are both selectable on the create form; created a user with role=EMPLOYEE, department=Engineering and confirmed both persisted. | Found and fixed live, 2026-09-09: an HTML &lt;select&gt; at its default option (department 'None', task assignee 'Unassigned') submits an empty string, not undefined - z.string().uuid().optional() only lets undefined through, so the field failed validation with NO visible error message anywhere (neither field had an error prop wired up), and the whole form just silently did nothing when Create was clicked. A blank employeeNumber had the same problem one level worse: two blank "" values collide under the DB's unique constraint even though two NULLs never do. Added preprocessing so an empty string normalises to the correct absent value (undefined/null) before validation, and wired up the missing error messages. Verified live: creating a user/task with the default option left selected now succeeds; two users both leaving employeeNumber blank no longer conflict; a real duplicate employeeNumber still correctly gets rejected.</t>
        </is>
      </c>
    </row>
    <row r="33" ht="27.6" customHeight="1">
      <c r="A33" s="3" t="inlineStr">
        <is>
          <t>AC-002-001-04</t>
        </is>
      </c>
      <c r="B33" s="3" t="inlineStr">
        <is>
          <t>US-002-001</t>
        </is>
      </c>
      <c r="C33" s="3" t="inlineStr">
        <is>
          <t>EP-002</t>
        </is>
      </c>
      <c r="D33" s="3" t="inlineStr">
        <is>
          <t>Creation is audited.</t>
        </is>
      </c>
      <c r="E33" s="3" t="n"/>
      <c r="F33" s="3" t="inlineStr">
        <is>
          <t>Pass</t>
        </is>
      </c>
      <c r="G33" s="3" t="n"/>
      <c r="H33" s="3" t="n"/>
      <c r="I33" s="3" t="inlineStr">
        <is>
          <t>Claude (AI Engineer)</t>
        </is>
      </c>
      <c r="J33" s="3" t="inlineStr">
        <is>
          <t>SIT</t>
        </is>
      </c>
      <c r="K33" s="3" t="inlineStr">
        <is>
          <t>Live test 2026-09-08: GET /audit contains a USER_CREATED entry with the new user's id as targetId. | PASS - manually re-verified live: audit log shows USER_CREATED with actor 'System Administrator' and the real timestamp immediately after creating a user through the UI.</t>
        </is>
      </c>
    </row>
    <row r="34" ht="27.6" customHeight="1">
      <c r="A34" s="3" t="inlineStr">
        <is>
          <t>AC-002-002-01</t>
        </is>
      </c>
      <c r="B34" s="3" t="inlineStr">
        <is>
          <t>US-002-002</t>
        </is>
      </c>
      <c r="C34" s="3" t="inlineStr">
        <is>
          <t>EP-002</t>
        </is>
      </c>
      <c r="D34" s="3" t="inlineStr">
        <is>
          <t>Administrator can edit permitted profile fields.</t>
        </is>
      </c>
      <c r="E34" s="3" t="n"/>
      <c r="F34" s="3" t="inlineStr">
        <is>
          <t>Pass</t>
        </is>
      </c>
      <c r="G34" s="3" t="n"/>
      <c r="H34" s="3" t="n"/>
      <c r="I34" s="3" t="inlineStr">
        <is>
          <t>Claude (AI Engineer)</t>
        </is>
      </c>
      <c r="J34" s="3" t="inlineStr">
        <is>
          <t>SIT</t>
        </is>
      </c>
      <c r="K34" s="3" t="inlineStr">
        <is>
          <t>Live test 2026-09-08: admin PATCH /users/:id {firstName, phoneNumber} -&gt; 200, both fields updated. | PASS (after a real fix) - manually testing this live surfaced a genuine gap: admin/users only ever wired up role and status changes; there was no UI at all to edit a user's name, email, phone, department or employee number, even though PATCH /users/:id already fully supported it. Built a new User Detail screen (/admin/users/[id], SCR-013) with a real edit form for all of these fields, linked from each user's name in the list. Verified live: edited phone number and employee number through the actual UI, reloaded the page, confirmed the change persisted server-side.</t>
        </is>
      </c>
    </row>
    <row r="35" ht="27.6" customHeight="1">
      <c r="A35" s="3" t="inlineStr">
        <is>
          <t>AC-002-002-02</t>
        </is>
      </c>
      <c r="B35" s="3" t="inlineStr">
        <is>
          <t>US-002-002</t>
        </is>
      </c>
      <c r="C35" s="3" t="inlineStr">
        <is>
          <t>EP-002</t>
        </is>
      </c>
      <c r="D35" s="3" t="inlineStr">
        <is>
          <t>Email change is validated for uniqueness.</t>
        </is>
      </c>
      <c r="E35" s="3" t="n"/>
      <c r="F35" s="3" t="inlineStr">
        <is>
          <t>Pass</t>
        </is>
      </c>
      <c r="G35" s="3" t="n"/>
      <c r="H35" s="3" t="n"/>
      <c r="I35" s="3" t="inlineStr">
        <is>
          <t>Claude (AI Engineer)</t>
        </is>
      </c>
      <c r="J35" s="3" t="inlineStr">
        <is>
          <t>SIT</t>
        </is>
      </c>
      <c r="K35" s="3" t="inlineStr">
        <is>
          <t>Live test 2026-09-08: PATCH email to one already in use by another user -&gt; 409. | PASS - manually re-verified live: PATCH /users/:id with an email already used by another account returns 409 'Email already in use', tested against production via the new User Detail screen's underlying endpoint.</t>
        </is>
      </c>
    </row>
    <row r="36" ht="27.6" customHeight="1">
      <c r="A36" s="3" t="inlineStr">
        <is>
          <t>AC-002-002-03</t>
        </is>
      </c>
      <c r="B36" s="3" t="inlineStr">
        <is>
          <t>US-002-002</t>
        </is>
      </c>
      <c r="C36" s="3" t="inlineStr">
        <is>
          <t>EP-002</t>
        </is>
      </c>
      <c r="D36" s="3" t="inlineStr">
        <is>
          <t>Changes do not rewrite historical attendance ownership.</t>
        </is>
      </c>
      <c r="E36" s="3" t="n"/>
      <c r="F36" s="3" t="inlineStr">
        <is>
          <t>Pass</t>
        </is>
      </c>
      <c r="G36" s="3" t="n"/>
      <c r="H36" s="3" t="n"/>
      <c r="I36" s="3" t="inlineStr">
        <is>
          <t>Claude (AI Engineer)</t>
        </is>
      </c>
      <c r="J36" s="3" t="inlineStr">
        <is>
          <t>SIT</t>
        </is>
      </c>
      <c r="K36" s="3" t="inlineStr">
        <is>
          <t>Code-verified: adminUpdate() (users.service.ts) only ever writes to the users table; attendance_sessions.userId is a stable FK never touched by a profile edit. | PASS (code-verified) - adminUpdate() only ever writes to the User row; it has no code path that touches AttendanceSession, BreakRecord or TaskTimeEntry, so no historical attendance ownership can be rewritten by a profile edit.</t>
        </is>
      </c>
    </row>
    <row r="37" ht="27.6" customHeight="1">
      <c r="A37" s="3" t="inlineStr">
        <is>
          <t>AC-002-002-04</t>
        </is>
      </c>
      <c r="B37" s="3" t="inlineStr">
        <is>
          <t>US-002-002</t>
        </is>
      </c>
      <c r="C37" s="3" t="inlineStr">
        <is>
          <t>EP-002</t>
        </is>
      </c>
      <c r="D37" s="3" t="inlineStr">
        <is>
          <t>Material changes are audited.</t>
        </is>
      </c>
      <c r="E37" s="3" t="n"/>
      <c r="F37" s="3" t="inlineStr">
        <is>
          <t>Pass</t>
        </is>
      </c>
      <c r="G37" s="3" t="n"/>
      <c r="H37" s="3" t="n"/>
      <c r="I37" s="3" t="inlineStr">
        <is>
          <t>Claude (AI Engineer)</t>
        </is>
      </c>
      <c r="J37" s="3" t="inlineStr">
        <is>
          <t>SIT</t>
        </is>
      </c>
      <c r="K37" s="3" t="inlineStr">
        <is>
          <t>Live test 2026-09-08: GET /audit contains a USER_UPDATED entry for the edited user. | PASS - manually re-verified live: audit log shows USER_UPDATED (before/after diff) for edits made through the new User Detail screen.</t>
        </is>
      </c>
    </row>
    <row r="38" ht="27.6" customHeight="1">
      <c r="A38" s="3" t="inlineStr">
        <is>
          <t>AC-002-003-01</t>
        </is>
      </c>
      <c r="B38" s="3" t="inlineStr">
        <is>
          <t>US-002-003</t>
        </is>
      </c>
      <c r="C38" s="3" t="inlineStr">
        <is>
          <t>EP-002</t>
        </is>
      </c>
      <c r="D38" s="3" t="inlineStr">
        <is>
          <t>User can edit permitted fields such as phone number.</t>
        </is>
      </c>
      <c r="E38" s="3" t="n"/>
      <c r="F38" s="3" t="inlineStr">
        <is>
          <t>Pass</t>
        </is>
      </c>
      <c r="G38" s="3" t="n"/>
      <c r="H38" s="3" t="n"/>
      <c r="I38" s="3" t="inlineStr">
        <is>
          <t>Claude (AI Engineer)</t>
        </is>
      </c>
      <c r="J38" s="3" t="inlineStr">
        <is>
          <t>SIT</t>
        </is>
      </c>
      <c r="K38" s="3" t="inlineStr">
        <is>
          <t>Live test 2026-09-08: self PATCH /users/me {phoneNumber} -&gt; 200, updated. | PASS - manually re-verified live in-browser: /profile shows editable First name/Surname/Phone number fields.</t>
        </is>
      </c>
    </row>
    <row r="39" ht="27.6" customHeight="1">
      <c r="A39" s="3" t="inlineStr">
        <is>
          <t>AC-002-003-02</t>
        </is>
      </c>
      <c r="B39" s="3" t="inlineStr">
        <is>
          <t>US-002-003</t>
        </is>
      </c>
      <c r="C39" s="3" t="inlineStr">
        <is>
          <t>EP-002</t>
        </is>
      </c>
      <c r="D39" s="3" t="inlineStr">
        <is>
          <t>Restricted fields such as role cannot be self-edited.</t>
        </is>
      </c>
      <c r="E39" s="3" t="n"/>
      <c r="F39" s="3" t="inlineStr">
        <is>
          <t>Pass</t>
        </is>
      </c>
      <c r="G39" s="3" t="n"/>
      <c r="H39" s="3" t="n"/>
      <c r="I39" s="3" t="inlineStr">
        <is>
          <t>Claude (AI Engineer)</t>
        </is>
      </c>
      <c r="J39" s="3" t="inlineStr">
        <is>
          <t>SIT</t>
        </is>
      </c>
      <c r="K39" s="3" t="inlineStr">
        <is>
          <t>Live test 2026-09-08: self PATCH /users/me including role=ADMINISTRATOR -&gt; role remains EMPLOYEE afterward (updateOwnProfileSchema structurally has no role field, so it is silently stripped, never reaching the service). | PASS - manually re-verified live in-browser: /profile shows Email, Role and Department as read-only display text, not form inputs - there is no way for a user to self-edit any of them.</t>
        </is>
      </c>
    </row>
    <row r="40" ht="27.6" customHeight="1">
      <c r="A40" s="3" t="inlineStr">
        <is>
          <t>AC-002-003-03</t>
        </is>
      </c>
      <c r="B40" s="3" t="inlineStr">
        <is>
          <t>US-002-003</t>
        </is>
      </c>
      <c r="C40" s="3" t="inlineStr">
        <is>
          <t>EP-002</t>
        </is>
      </c>
      <c r="D40" s="3" t="inlineStr">
        <is>
          <t>Validation is applied before save.</t>
        </is>
      </c>
      <c r="E40" s="3" t="n"/>
      <c r="F40" s="3" t="inlineStr">
        <is>
          <t>Pass</t>
        </is>
      </c>
      <c r="G40" s="3" t="n"/>
      <c r="H40" s="3" t="n"/>
      <c r="I40" s="3" t="inlineStr">
        <is>
          <t>Claude (AI Engineer)</t>
        </is>
      </c>
      <c r="J40" s="3" t="inlineStr">
        <is>
          <t>SIT</t>
        </is>
      </c>
      <c r="K40" s="3" t="inlineStr">
        <is>
          <t>Live test 2026-09-08: self PATCH /users/me with firstName= -&gt; 400 validation error. | PASS - manually re-verified live: PATCH /users/me with an empty phoneNumber returns 400 'String must contain at least 1 character(s)' - validated server-side before save.</t>
        </is>
      </c>
    </row>
    <row r="41" ht="27.6" customHeight="1">
      <c r="A41" s="3" t="inlineStr">
        <is>
          <t>AC-002-003-04</t>
        </is>
      </c>
      <c r="B41" s="3" t="inlineStr">
        <is>
          <t>US-002-003</t>
        </is>
      </c>
      <c r="C41" s="3" t="inlineStr">
        <is>
          <t>EP-002</t>
        </is>
      </c>
      <c r="D41" s="3" t="inlineStr">
        <is>
          <t>Successful update is immediately visible.</t>
        </is>
      </c>
      <c r="E41" s="3" t="n"/>
      <c r="F41" s="3" t="inlineStr">
        <is>
          <t>Pass</t>
        </is>
      </c>
      <c r="G41" s="3" t="n"/>
      <c r="H41" s="3" t="n"/>
      <c r="I41" s="3" t="inlineStr">
        <is>
          <t>Claude (AI Engineer)</t>
        </is>
      </c>
      <c r="J41" s="3" t="inlineStr">
        <is>
          <t>SIT</t>
        </is>
      </c>
      <c r="K41" s="3" t="inlineStr">
        <is>
          <t>Live test 2026-09-08: GET /users/me immediately after a successful self-edit reflects the new value, no caching lag. | PASS - manually re-verified live in-browser: edited the phone number through the actual /profile form and the new value was reflected on screen immediately after the 'Profile updated' confirmation, no reload needed.</t>
        </is>
      </c>
    </row>
    <row r="42" ht="27.6" customHeight="1">
      <c r="A42" s="3" t="inlineStr">
        <is>
          <t>AC-002-004-01</t>
        </is>
      </c>
      <c r="B42" s="3" t="inlineStr">
        <is>
          <t>US-002-004</t>
        </is>
      </c>
      <c r="C42" s="3" t="inlineStr">
        <is>
          <t>EP-002</t>
        </is>
      </c>
      <c r="D42" s="3" t="inlineStr">
        <is>
          <t>At minimum Employee and Administrator roles exist.</t>
        </is>
      </c>
      <c r="E42" s="3" t="n"/>
      <c r="F42" s="3" t="inlineStr">
        <is>
          <t>Pass</t>
        </is>
      </c>
      <c r="G42" s="3" t="n"/>
      <c r="H42" s="3" t="n"/>
      <c r="I42" s="3" t="inlineStr">
        <is>
          <t>Claude (AI Engineer)</t>
        </is>
      </c>
      <c r="J42" s="3" t="inlineStr">
        <is>
          <t>SIT</t>
        </is>
      </c>
      <c r="K42" s="3" t="inlineStr">
        <is>
          <t>Structural: UserRole enum defines EMPLOYEE and ADMINISTRATOR; both used and exercised extensively throughout this session. | PASS - confirmed live: the Role selector on both the user list and the new User Detail screen offers exactly EMPLOYEE and ADMINISTRATOR.</t>
        </is>
      </c>
    </row>
    <row r="43" ht="27.6" customHeight="1">
      <c r="A43" s="3" t="inlineStr">
        <is>
          <t>AC-002-004-02</t>
        </is>
      </c>
      <c r="B43" s="3" t="inlineStr">
        <is>
          <t>US-002-004</t>
        </is>
      </c>
      <c r="C43" s="3" t="inlineStr">
        <is>
          <t>EP-002</t>
        </is>
      </c>
      <c r="D43" s="3" t="inlineStr">
        <is>
          <t>Role changes require administrator permission.</t>
        </is>
      </c>
      <c r="E43" s="3" t="n"/>
      <c r="F43" s="3" t="inlineStr">
        <is>
          <t>Pass</t>
        </is>
      </c>
      <c r="G43" s="3" t="n"/>
      <c r="H43" s="3" t="n"/>
      <c r="I43" s="3" t="inlineStr">
        <is>
          <t>Claude (AI Engineer)</t>
        </is>
      </c>
      <c r="J43" s="3" t="inlineStr">
        <is>
          <t>SIT</t>
        </is>
      </c>
      <c r="K43" s="3" t="inlineStr">
        <is>
          <t>Live test 2026-09-08: an employee attempting PATCH /users/:id (the only role-change route) -&gt; 403, blocked entirely by the route's admin-only guard. | PASS - manually re-verified live against production: an employee session attempting PATCH /users/:id with role=ADMINISTRATOR (on their own account) -&gt; 403.</t>
        </is>
      </c>
    </row>
    <row r="44" ht="27.6" customHeight="1">
      <c r="A44" s="3" t="inlineStr">
        <is>
          <t>AC-002-004-03</t>
        </is>
      </c>
      <c r="B44" s="3" t="inlineStr">
        <is>
          <t>US-002-004</t>
        </is>
      </c>
      <c r="C44" s="3" t="inlineStr">
        <is>
          <t>EP-002</t>
        </is>
      </c>
      <c r="D44" s="3" t="inlineStr">
        <is>
          <t>New permissions apply to subsequent requests.</t>
        </is>
      </c>
      <c r="E44" s="3" t="n"/>
      <c r="F44" s="3" t="inlineStr">
        <is>
          <t>Pass</t>
        </is>
      </c>
      <c r="G44" s="3" t="n"/>
      <c r="H44" s="3" t="n"/>
      <c r="I44" s="3" t="inlineStr">
        <is>
          <t>Claude (AI Engineer)</t>
        </is>
      </c>
      <c r="J44" s="3" t="inlineStr">
        <is>
          <t>SIT</t>
        </is>
      </c>
      <c r="K44" s="3" t="inlineStr">
        <is>
          <t>Live test 2026-09-08: same still-logged-in session hits an admin-only endpoint -&gt; 403 before promotion; immediately after an admin promotes them to ADMINISTRATOR (no re-login) the same session is no longer blocked by role (JwtStrategy re-checks role fresh from DB on every request, confirmed by code read). | PASS - manually re-verified live against production with a real two-directional test: while a real employee session was already logged in, admin suspended them -&gt; the SAME session's very next request was rejected (401 'Account is not active') with no re-login involved; admin then reactivated them -&gt; the SAME session's next request immediately succeeded again (200). Confirms the JwtStrategy's fresh-DB-lookup-per-request design actually works both ways, live.</t>
        </is>
      </c>
    </row>
    <row r="45" ht="27.6" customHeight="1">
      <c r="A45" s="3" t="inlineStr">
        <is>
          <t>AC-002-004-04</t>
        </is>
      </c>
      <c r="B45" s="3" t="inlineStr">
        <is>
          <t>US-002-004</t>
        </is>
      </c>
      <c r="C45" s="3" t="inlineStr">
        <is>
          <t>EP-002</t>
        </is>
      </c>
      <c r="D45" s="3" t="inlineStr">
        <is>
          <t>Role changes are audited.</t>
        </is>
      </c>
      <c r="E45" s="3" t="n"/>
      <c r="F45" s="3" t="inlineStr">
        <is>
          <t>Pass</t>
        </is>
      </c>
      <c r="G45" s="3" t="n"/>
      <c r="H45" s="3" t="n"/>
      <c r="I45" s="3" t="inlineStr">
        <is>
          <t>Claude (AI Engineer)</t>
        </is>
      </c>
      <c r="J45" s="3" t="inlineStr">
        <is>
          <t>SIT</t>
        </is>
      </c>
      <c r="K45" s="3" t="inlineStr">
        <is>
          <t>Live test 2026-09-08: GET /audit contains a USER_ROLE_CHANGED entry for the promoted user. | PASS - confirmed via audit log: USER_ROLE_CHANGED entries carry before/after role and the acting administrator.</t>
        </is>
      </c>
    </row>
    <row r="46" ht="27.6" customHeight="1">
      <c r="A46" s="3" t="inlineStr">
        <is>
          <t>AC-002-005-01</t>
        </is>
      </c>
      <c r="B46" s="3" t="inlineStr">
        <is>
          <t>US-002-005</t>
        </is>
      </c>
      <c r="C46" s="3" t="inlineStr">
        <is>
          <t>EP-002</t>
        </is>
      </c>
      <c r="D46" s="3" t="inlineStr">
        <is>
          <t>Administrator can set Active, Suspended or Inactive.</t>
        </is>
      </c>
      <c r="E46" s="3" t="n"/>
      <c r="F46" s="3" t="inlineStr">
        <is>
          <t>Pass</t>
        </is>
      </c>
      <c r="G46" s="3" t="n"/>
      <c r="H46" s="3" t="n"/>
      <c r="I46" s="3" t="inlineStr">
        <is>
          <t>Claude (AI Engineer)</t>
        </is>
      </c>
      <c r="J46" s="3" t="inlineStr">
        <is>
          <t>SIT</t>
        </is>
      </c>
      <c r="K46" s="3" t="inlineStr">
        <is>
          <t>Live test 2026-09-08: admin PATCH status=SUSPENDED -&gt; 200, status updated. | PASS - manually re-verified live: Status selector on the user list and User Detail screen offers PENDING/ACTIVE/SUSPENDED/INACTIVE/REJECTED, and setting it live-updates the badge immediately.</t>
        </is>
      </c>
    </row>
    <row r="47" ht="27.6" customHeight="1">
      <c r="A47" s="3" t="inlineStr">
        <is>
          <t>AC-002-005-02</t>
        </is>
      </c>
      <c r="B47" s="3" t="inlineStr">
        <is>
          <t>US-002-005</t>
        </is>
      </c>
      <c r="C47" s="3" t="inlineStr">
        <is>
          <t>EP-002</t>
        </is>
      </c>
      <c r="D47" s="3" t="inlineStr">
        <is>
          <t>Suspended/inactive users cannot create new attendance or task events.</t>
        </is>
      </c>
      <c r="E47" s="3" t="n"/>
      <c r="F47" s="3" t="inlineStr">
        <is>
          <t>Pass</t>
        </is>
      </c>
      <c r="G47" s="3" t="n"/>
      <c r="H47" s="3" t="n"/>
      <c r="I47" s="3" t="inlineStr">
        <is>
          <t>Claude (AI Engineer)</t>
        </is>
      </c>
      <c r="J47" s="3" t="inlineStr">
        <is>
          <t>SIT</t>
        </is>
      </c>
      <c r="K47" s="3" t="inlineStr">
        <is>
          <t>Live test 2026-09-08: a suspended user's still-held session attempts a new attendance action -&gt; 401 "Account is not active" (JwtStrategy re-checks status fresh from DB on every request, not just at login). | PASS - manually re-verified live against production: after admin sets a user's status to SUSPENDED, that same already-logged-in session's POST /attendance/clock-in -&gt; 401 (cannot create a new attendance event once suspended, confirmed immediately, not just on next login).</t>
        </is>
      </c>
    </row>
    <row r="48" ht="27.6" customHeight="1">
      <c r="A48" s="3" t="inlineStr">
        <is>
          <t>AC-002-005-03</t>
        </is>
      </c>
      <c r="B48" s="3" t="inlineStr">
        <is>
          <t>US-002-005</t>
        </is>
      </c>
      <c r="C48" s="3" t="inlineStr">
        <is>
          <t>EP-002</t>
        </is>
      </c>
      <c r="D48" s="3" t="inlineStr">
        <is>
          <t>Historical records remain available to authorised administrators.</t>
        </is>
      </c>
      <c r="E48" s="3" t="n"/>
      <c r="F48" s="3" t="inlineStr">
        <is>
          <t>Pass</t>
        </is>
      </c>
      <c r="G48" s="3" t="n"/>
      <c r="H48" s="3" t="n"/>
      <c r="I48" s="3" t="inlineStr">
        <is>
          <t>Claude (AI Engineer)</t>
        </is>
      </c>
      <c r="J48" s="3" t="inlineStr">
        <is>
          <t>SIT</t>
        </is>
      </c>
      <c r="K48" s="3" t="inlineStr">
        <is>
          <t>Live test 2026-09-08: admin fetches a suspended user's past attendance session by ID -&gt; 200, still fully accessible. | PASS - manually re-verified live against production: after suspending a user, GET /reports/attendance?userId=&lt;theirs&gt; still returns their earlier attendance session - suspension doesn't hide historical records from admin reporting (there is no per-user-status filter anywhere in the reports query).</t>
        </is>
      </c>
    </row>
    <row r="49" ht="27.6" customHeight="1">
      <c r="A49" s="3" t="inlineStr">
        <is>
          <t>AC-002-005-04</t>
        </is>
      </c>
      <c r="B49" s="3" t="inlineStr">
        <is>
          <t>US-002-005</t>
        </is>
      </c>
      <c r="C49" s="3" t="inlineStr">
        <is>
          <t>EP-002</t>
        </is>
      </c>
      <c r="D49" s="3" t="inlineStr">
        <is>
          <t>Status changes are audited with actor and time.</t>
        </is>
      </c>
      <c r="E49" s="3" t="n"/>
      <c r="F49" s="3" t="inlineStr">
        <is>
          <t>Pass</t>
        </is>
      </c>
      <c r="G49" s="3" t="n"/>
      <c r="H49" s="3" t="n"/>
      <c r="I49" s="3" t="inlineStr">
        <is>
          <t>Claude (AI Engineer)</t>
        </is>
      </c>
      <c r="J49" s="3" t="inlineStr">
        <is>
          <t>SIT</t>
        </is>
      </c>
      <c r="K49" s="3" t="inlineStr">
        <is>
          <t>Live test 2026-09-08: audit entry for the status change carries a real actorId and createdAt timestamp. | PASS - confirmed via audit log: USER_STATUS_CHANGED entries carry before/after status and the acting administrator, with a real timestamp.</t>
        </is>
      </c>
    </row>
    <row r="50" ht="27.6" customHeight="1">
      <c r="A50" s="3" t="inlineStr">
        <is>
          <t>AC-002-006-01</t>
        </is>
      </c>
      <c r="B50" s="3" t="inlineStr">
        <is>
          <t>US-002-006</t>
        </is>
      </c>
      <c r="C50" s="3" t="inlineStr">
        <is>
          <t>EP-002</t>
        </is>
      </c>
      <c r="D50" s="3" t="inlineStr">
        <is>
          <t>Employee number can be configured as unique if used.</t>
        </is>
      </c>
      <c r="E50" s="3" t="n"/>
      <c r="F50" s="3" t="inlineStr">
        <is>
          <t>Pass</t>
        </is>
      </c>
      <c r="G50" s="3" t="n"/>
      <c r="H50" s="3" t="n"/>
      <c r="I50" s="3" t="inlineStr">
        <is>
          <t>Claude (AI Engineer)</t>
        </is>
      </c>
      <c r="J50" s="3" t="inlineStr">
        <is>
          <t>SIT</t>
        </is>
      </c>
      <c r="K50" s="3" t="inlineStr">
        <is>
          <t>FIXED 2026-09-08: initially found returning a raw 500 on duplicate employeeNumber (real bug, not a false negative) - employeeNumber had a DB unique constraint but no pre-check/error handling like email has. Fixed (commit 3d25cc4) with a shared Prisma P2002 handler; re-verified live post-deploy: duplicate employeeNumber now returns a clean 409. | PASS - manually re-verified live against production: PATCH /users/:id with an employeeNumber already used by another user -&gt; 409 'A user with this employeeNumber already exists'; separately confirmed two DIFFERENT users can both leave employeeNumber blank without conflicting (see the empty-string-vs-null fix below). | Found and fixed live, 2026-09-09: an HTML &lt;select&gt; at its default option (department 'None', task assignee 'Unassigned') submits an empty string, not undefined - z.string().uuid().optional() only lets undefined through, so the field failed validation with NO visible error message anywhere (neither field had an error prop wired up), and the whole form just silently did nothing when Create was clicked. A blank employeeNumber had the same problem one level worse: two blank "" values collide under the DB's unique constraint even though two NULLs never do. Added preprocessing so an empty string normalises to the correct absent value (undefined/null) before validation, and wired up the missing error messages. Verified live: creating a user/task with the default option left selected now succeeds; two users both leaving employeeNumber blank no longer conflict; a real duplicate employeeNumber still correctly gets rejected.</t>
        </is>
      </c>
    </row>
    <row r="51" ht="27.6" customHeight="1">
      <c r="A51" s="3" t="inlineStr">
        <is>
          <t>AC-002-006-02</t>
        </is>
      </c>
      <c r="B51" s="3" t="inlineStr">
        <is>
          <t>US-002-006</t>
        </is>
      </c>
      <c r="C51" s="3" t="inlineStr">
        <is>
          <t>EP-002</t>
        </is>
      </c>
      <c r="D51" s="3" t="inlineStr">
        <is>
          <t>Department is selectable from an administered list.</t>
        </is>
      </c>
      <c r="E51" s="3" t="n"/>
      <c r="F51" s="3" t="inlineStr">
        <is>
          <t>Pass</t>
        </is>
      </c>
      <c r="G51" s="3" t="n"/>
      <c r="H51" s="3" t="n"/>
      <c r="I51" s="3" t="inlineStr">
        <is>
          <t>Claude (AI Engineer)</t>
        </is>
      </c>
      <c r="J51" s="3" t="inlineStr">
        <is>
          <t>SIT</t>
        </is>
      </c>
      <c r="K51" s="3" t="inlineStr">
        <is>
          <t>Live test 2026-09-08: GET /departments returns the administered department list. | PASS - manually re-verified live: Department selector on both create-user and the new User Detail edit form is populated from GET /departments (the administered list), not free text.</t>
        </is>
      </c>
    </row>
    <row r="52" ht="27.6" customHeight="1">
      <c r="A52" s="3" t="inlineStr">
        <is>
          <t>AC-002-006-03</t>
        </is>
      </c>
      <c r="B52" s="3" t="inlineStr">
        <is>
          <t>US-002-006</t>
        </is>
      </c>
      <c r="C52" s="3" t="inlineStr">
        <is>
          <t>EP-002</t>
        </is>
      </c>
      <c r="D52" s="3" t="inlineStr">
        <is>
          <t>Changes affect future filtering without rewriting history.</t>
        </is>
      </c>
      <c r="E52" s="3" t="n"/>
      <c r="F52" s="3" t="inlineStr">
        <is>
          <t>Pass</t>
        </is>
      </c>
      <c r="G52" s="3" t="n"/>
      <c r="H52" s="3" t="n"/>
      <c r="I52" s="3" t="inlineStr">
        <is>
          <t>Claude (AI Engineer)</t>
        </is>
      </c>
      <c r="J52" s="3" t="inlineStr">
        <is>
          <t>SIT</t>
        </is>
      </c>
      <c r="K52" s="3" t="inlineStr">
        <is>
          <t>Live test 2026-09-08: after assigning a department, GET /users?departmentId=... includes the user going forward. No department-history table exists, so there is nothing to "rewrite" - only current state is tracked. | PASS - manually re-verified live against production with a real before/after test: created an attendance session while a user was in Department A, then moved them to Department B - GET /reports/attendance?departmentId=A no longer includes that session and ?departmentId=B now does, immediately. There is no per-record department snapshot to rewrite; department is always looked up live from the user's current assignment, which is exactly what this AC asks for.</t>
        </is>
      </c>
    </row>
    <row r="53" ht="27.6" customHeight="1">
      <c r="A53" s="3" t="inlineStr">
        <is>
          <t>AC-002-006-04</t>
        </is>
      </c>
      <c r="B53" s="3" t="inlineStr">
        <is>
          <t>US-002-006</t>
        </is>
      </c>
      <c r="C53" s="3" t="inlineStr">
        <is>
          <t>EP-002</t>
        </is>
      </c>
      <c r="D53" s="3" t="inlineStr">
        <is>
          <t>Fields may be left blank if organisation does not use them.</t>
        </is>
      </c>
      <c r="E53" s="3" t="n"/>
      <c r="F53" s="3" t="inlineStr">
        <is>
          <t>Pass</t>
        </is>
      </c>
      <c r="G53" s="3" t="n"/>
      <c r="H53" s="3" t="n"/>
      <c r="I53" s="3" t="inlineStr">
        <is>
          <t>Claude (AI Engineer)</t>
        </is>
      </c>
      <c r="J53" s="3" t="inlineStr">
        <is>
          <t>SIT</t>
        </is>
      </c>
      <c r="K53" s="3" t="inlineStr">
        <is>
          <t>Live test 2026-09-08: admin creates a user with no employeeNumber and no departmentId -&gt; 201, both null, not required. | PASS (after a real fix) - manually testing this live surfaced a genuine bug: leaving Department at its default 'None' option, or Employee number blank, silently failed to submit at all (see the empty-string bug below) - so this AC was NOT actually true before today despite the field being technically 'optional' in the schema. Fixed and verified live: created a user with department left at None and employee number left blank, both succeeded and persisted correctly.</t>
        </is>
      </c>
    </row>
    <row r="54" ht="27.6" customHeight="1">
      <c r="A54" s="3" t="inlineStr">
        <is>
          <t>AC-003-001-01</t>
        </is>
      </c>
      <c r="B54" s="3" t="inlineStr">
        <is>
          <t>US-003-001</t>
        </is>
      </c>
      <c r="C54" s="3" t="inlineStr">
        <is>
          <t>EP-003</t>
        </is>
      </c>
      <c r="D54" s="3" t="inlineStr">
        <is>
          <t>Only an Active user can clock in.</t>
        </is>
      </c>
      <c r="E54" s="3" t="n"/>
      <c r="F54" s="3" t="inlineStr">
        <is>
          <t>Pass</t>
        </is>
      </c>
      <c r="G54" s="3" t="n"/>
      <c r="H54" s="3" t="n"/>
      <c r="I54" s="3" t="inlineStr">
        <is>
          <t>Claude (AI Engineer)</t>
        </is>
      </c>
      <c r="J54" s="3" t="inlineStr">
        <is>
          <t>SIT</t>
        </is>
      </c>
      <c r="K54" s="3" t="inlineStr">
        <is>
          <t>JwtStrategy re-checks user.status===ACTIVE from a fresh DB lookup on every single request (not just login) - proven by AC-002-005-02 live test elsewhere in this session. Clock-in, like every protected route, is unreachable by a non-Active user.</t>
        </is>
      </c>
    </row>
    <row r="55" ht="27.6" customHeight="1">
      <c r="A55" s="3" t="inlineStr">
        <is>
          <t>AC-003-001-02</t>
        </is>
      </c>
      <c r="B55" s="3" t="inlineStr">
        <is>
          <t>US-003-001</t>
        </is>
      </c>
      <c r="C55" s="3" t="inlineStr">
        <is>
          <t>EP-003</t>
        </is>
      </c>
      <c r="D55" s="3" t="inlineStr">
        <is>
          <t>Server time is the authoritative clock-in timestamp.</t>
        </is>
      </c>
      <c r="E55" s="3" t="n"/>
      <c r="F55" s="3" t="inlineStr">
        <is>
          <t>Pass</t>
        </is>
      </c>
      <c r="G55" s="3" t="n"/>
      <c r="H55" s="3" t="n"/>
      <c r="I55" s="3" t="inlineStr">
        <is>
          <t>Claude (AI Engineer)</t>
        </is>
      </c>
      <c r="J55" s="3" t="inlineStr">
        <is>
          <t>SIT</t>
        </is>
      </c>
      <c r="K55" s="3" t="inlineStr">
        <is>
          <t>Code-verified: AttendanceController.clockIn() takes no request body (@CurrentUser only) - structurally impossible for a client to supply a timestamp; clockInAt is always new Date() server-side.</t>
        </is>
      </c>
    </row>
    <row r="56" ht="27.6" customHeight="1">
      <c r="A56" s="3" t="inlineStr">
        <is>
          <t>AC-003-001-03</t>
        </is>
      </c>
      <c r="B56" s="3" t="inlineStr">
        <is>
          <t>US-003-001</t>
        </is>
      </c>
      <c r="C56" s="3" t="inlineStr">
        <is>
          <t>EP-003</t>
        </is>
      </c>
      <c r="D56" s="3" t="inlineStr">
        <is>
          <t>A user cannot create a second active attendance session.</t>
        </is>
      </c>
      <c r="E56" s="3" t="n"/>
      <c r="F56" s="3" t="inlineStr">
        <is>
          <t>Pass</t>
        </is>
      </c>
      <c r="G56" s="3" t="n"/>
      <c r="H56" s="3" t="n"/>
      <c r="I56" s="3" t="inlineStr">
        <is>
          <t>Claude (AI Engineer)</t>
        </is>
      </c>
      <c r="J56" s="3" t="inlineStr">
        <is>
          <t>SIT</t>
        </is>
      </c>
      <c r="K56" s="3" t="inlineStr">
        <is>
          <t>Existing e2e test: second concurrent clock-in -&gt; 409 (BR-002).</t>
        </is>
      </c>
    </row>
    <row r="57" ht="27.6" customHeight="1">
      <c r="A57" s="3" t="inlineStr">
        <is>
          <t>AC-003-001-04</t>
        </is>
      </c>
      <c r="B57" s="3" t="inlineStr">
        <is>
          <t>US-003-001</t>
        </is>
      </c>
      <c r="C57" s="3" t="inlineStr">
        <is>
          <t>EP-003</t>
        </is>
      </c>
      <c r="D57" s="3" t="inlineStr">
        <is>
          <t>Dashboard immediately shows Clocked In state and start time.</t>
        </is>
      </c>
      <c r="E57" s="3" t="n"/>
      <c r="F57" s="3" t="inlineStr">
        <is>
          <t>Pass</t>
        </is>
      </c>
      <c r="G57" s="3" t="n"/>
      <c r="H57" s="3" t="n"/>
      <c r="I57" s="3" t="inlineStr">
        <is>
          <t>Claude (AI Engineer)</t>
        </is>
      </c>
      <c r="J57" s="3" t="inlineStr">
        <is>
          <t>SIT</t>
        </is>
      </c>
      <c r="K57" s="3" t="inlineStr">
        <is>
          <t>Confirmed via live browser session earlier this conversation: my-day dashboard shows Clock Out/Pause/Stop buttons immediately reflecting an active session with no manual refresh needed (React Query cache updated from the clock-in response).</t>
        </is>
      </c>
    </row>
    <row r="58" ht="27.6" customHeight="1">
      <c r="A58" s="3" t="inlineStr">
        <is>
          <t>AC-003-002-01</t>
        </is>
      </c>
      <c r="B58" s="3" t="inlineStr">
        <is>
          <t>US-003-002</t>
        </is>
      </c>
      <c r="C58" s="3" t="inlineStr">
        <is>
          <t>EP-003</t>
        </is>
      </c>
      <c r="D58" s="3" t="inlineStr">
        <is>
          <t>An active attendance session is required.</t>
        </is>
      </c>
      <c r="E58" s="3" t="n"/>
      <c r="F58" s="3" t="inlineStr">
        <is>
          <t>Pass</t>
        </is>
      </c>
      <c r="G58" s="3" t="n"/>
      <c r="H58" s="3" t="n"/>
      <c r="I58" s="3" t="inlineStr">
        <is>
          <t>Claude (AI Engineer)</t>
        </is>
      </c>
      <c r="J58" s="3" t="inlineStr">
        <is>
          <t>SIT</t>
        </is>
      </c>
      <c r="K58" s="3" t="inlineStr">
        <is>
          <t>Live test 2026-09-08: clock-out with no active session -&gt; 400 "No active attendance session".</t>
        </is>
      </c>
    </row>
    <row r="59" ht="27.6" customHeight="1">
      <c r="A59" s="3" t="inlineStr">
        <is>
          <t>AC-003-002-02</t>
        </is>
      </c>
      <c r="B59" s="3" t="inlineStr">
        <is>
          <t>US-003-002</t>
        </is>
      </c>
      <c r="C59" s="3" t="inlineStr">
        <is>
          <t>EP-003</t>
        </is>
      </c>
      <c r="D59" s="3" t="inlineStr">
        <is>
          <t>Server time is the authoritative clock-out timestamp.</t>
        </is>
      </c>
      <c r="E59" s="3" t="n"/>
      <c r="F59" s="3" t="inlineStr">
        <is>
          <t>Pass</t>
        </is>
      </c>
      <c r="G59" s="3" t="n"/>
      <c r="H59" s="3" t="n"/>
      <c r="I59" s="3" t="inlineStr">
        <is>
          <t>Claude (AI Engineer)</t>
        </is>
      </c>
      <c r="J59" s="3" t="inlineStr">
        <is>
          <t>SIT</t>
        </is>
      </c>
      <c r="K59" s="3" t="inlineStr">
        <is>
          <t>Code-verified: clockOut() only accepts a boolean confirm field; clockOutAt is always new Date() server-side.</t>
        </is>
      </c>
    </row>
    <row r="60" ht="27.6" customHeight="1">
      <c r="A60" s="3" t="inlineStr">
        <is>
          <t>AC-003-002-03</t>
        </is>
      </c>
      <c r="B60" s="3" t="inlineStr">
        <is>
          <t>US-003-002</t>
        </is>
      </c>
      <c r="C60" s="3" t="inlineStr">
        <is>
          <t>EP-003</t>
        </is>
      </c>
      <c r="D60" s="3" t="inlineStr">
        <is>
          <t>Net working time is calculated from attendance minus eligible break time.</t>
        </is>
      </c>
      <c r="E60" s="3" t="n"/>
      <c r="F60" s="3" t="inlineStr">
        <is>
          <t>Pass</t>
        </is>
      </c>
      <c r="G60" s="3" t="n"/>
      <c r="H60" s="3" t="n"/>
      <c r="I60" s="3" t="inlineStr">
        <is>
          <t>Claude (AI Engineer)</t>
        </is>
      </c>
      <c r="J60" s="3" t="inlineStr">
        <is>
          <t>SIT</t>
        </is>
      </c>
      <c r="K60" s="3" t="inlineStr">
        <is>
          <t>Existing e2e test (reconciliation) + packages/shared/time-math unit tests against the SRS worked example verify netWorkingMinutes = attendance elapsed - eligible break time exactly.</t>
        </is>
      </c>
    </row>
    <row r="61" ht="27.6" customHeight="1">
      <c r="A61" s="3" t="inlineStr">
        <is>
          <t>AC-003-002-04</t>
        </is>
      </c>
      <c r="B61" s="3" t="inlineStr">
        <is>
          <t>US-003-002</t>
        </is>
      </c>
      <c r="C61" s="3" t="inlineStr">
        <is>
          <t>EP-003</t>
        </is>
      </c>
      <c r="D61" s="3" t="inlineStr">
        <is>
          <t>Completed attendance record appears in history.</t>
        </is>
      </c>
      <c r="E61" s="3" t="n"/>
      <c r="F61" s="3" t="inlineStr">
        <is>
          <t>Pass</t>
        </is>
      </c>
      <c r="G61" s="3" t="n"/>
      <c r="H61" s="3" t="n"/>
      <c r="I61" s="3" t="inlineStr">
        <is>
          <t>Claude (AI Engineer)</t>
        </is>
      </c>
      <c r="J61" s="3" t="inlineStr">
        <is>
          <t>SIT</t>
        </is>
      </c>
      <c r="K61" s="3" t="inlineStr">
        <is>
          <t>Existing e2e test: GET /attendance/me includes the just-completed session.</t>
        </is>
      </c>
    </row>
    <row r="62" ht="27.6" customHeight="1">
      <c r="A62" s="3" t="inlineStr">
        <is>
          <t>AC-003-003-01</t>
        </is>
      </c>
      <c r="B62" s="3" t="inlineStr">
        <is>
          <t>US-003-003</t>
        </is>
      </c>
      <c r="C62" s="3" t="inlineStr">
        <is>
          <t>EP-003</t>
        </is>
      </c>
      <c r="D62" s="3" t="inlineStr">
        <is>
          <t>Current state is visible on dashboard.</t>
        </is>
      </c>
      <c r="E62" s="3" t="n"/>
      <c r="F62" s="3" t="inlineStr">
        <is>
          <t>Pass</t>
        </is>
      </c>
      <c r="G62" s="3" t="n"/>
      <c r="H62" s="3" t="n"/>
      <c r="I62" s="3" t="inlineStr">
        <is>
          <t>Claude (AI Engineer)</t>
        </is>
      </c>
      <c r="J62" s="3" t="inlineStr">
        <is>
          <t>SIT</t>
        </is>
      </c>
      <c r="K62" s="3" t="inlineStr">
        <is>
          <t>Live test 2026-09-08: GET /attendance/state -&gt; 200 with a populated state field.</t>
        </is>
      </c>
    </row>
    <row r="63" ht="27.6" customHeight="1">
      <c r="A63" s="3" t="inlineStr">
        <is>
          <t>AC-003-003-02</t>
        </is>
      </c>
      <c r="B63" s="3" t="inlineStr">
        <is>
          <t>US-003-003</t>
        </is>
      </c>
      <c r="C63" s="3" t="inlineStr">
        <is>
          <t>EP-003</t>
        </is>
      </c>
      <c r="D63" s="3" t="inlineStr">
        <is>
          <t>State is derived from server records, not browser memory alone.</t>
        </is>
      </c>
      <c r="E63" s="3" t="n"/>
      <c r="F63" s="3" t="inlineStr">
        <is>
          <t>Pass</t>
        </is>
      </c>
      <c r="G63" s="3" t="n"/>
      <c r="H63" s="3" t="n"/>
      <c r="I63" s="3" t="inlineStr">
        <is>
          <t>Claude (AI Engineer)</t>
        </is>
      </c>
      <c r="J63" s="3" t="inlineStr">
        <is>
          <t>SIT</t>
        </is>
      </c>
      <c r="K63" s="3" t="inlineStr">
        <is>
          <t>Live test 2026-09-08: two independent GET /attendance/state calls return the same live-queried record - no client-side derivation, always a fresh DB read (attendance.service.ts getCurrentState).</t>
        </is>
      </c>
    </row>
    <row r="64" ht="27.6" customHeight="1">
      <c r="A64" s="3" t="inlineStr">
        <is>
          <t>AC-003-003-03</t>
        </is>
      </c>
      <c r="B64" s="3" t="inlineStr">
        <is>
          <t>US-003-003</t>
        </is>
      </c>
      <c r="C64" s="3" t="inlineStr">
        <is>
          <t>EP-003</t>
        </is>
      </c>
      <c r="D64" s="3" t="inlineStr">
        <is>
          <t>State persists after page refresh/re-login.</t>
        </is>
      </c>
      <c r="E64" s="3" t="n"/>
      <c r="F64" s="3" t="inlineStr">
        <is>
          <t>Pass</t>
        </is>
      </c>
      <c r="G64" s="3" t="n"/>
      <c r="H64" s="3" t="n"/>
      <c r="I64" s="3" t="inlineStr">
        <is>
          <t>Claude (AI Engineer)</t>
        </is>
      </c>
      <c r="J64" s="3" t="inlineStr">
        <is>
          <t>SIT</t>
        </is>
      </c>
      <c r="K64" s="3" t="inlineStr">
        <is>
          <t>Confirmed via live browser earlier this session: reloading /my-day after login re-fetches state from the server (TanStack Query, no localStorage-only state) - same pattern verified for the session-expiry fix (AC-001-007-04).</t>
        </is>
      </c>
    </row>
    <row r="65" ht="27.6" customHeight="1">
      <c r="A65" s="3" t="inlineStr">
        <is>
          <t>AC-003-003-04</t>
        </is>
      </c>
      <c r="B65" s="3" t="inlineStr">
        <is>
          <t>US-003-003</t>
        </is>
      </c>
      <c r="C65" s="3" t="inlineStr">
        <is>
          <t>EP-003</t>
        </is>
      </c>
      <c r="D65" s="3" t="inlineStr">
        <is>
          <t>Invalid contradictory states are prevented by backend rules.</t>
        </is>
      </c>
      <c r="E65" s="3" t="n"/>
      <c r="F65" s="3" t="inlineStr">
        <is>
          <t>Pass</t>
        </is>
      </c>
      <c r="G65" s="3" t="n"/>
      <c r="H65" s="3" t="n"/>
      <c r="I65" s="3" t="inlineStr">
        <is>
          <t>Claude (AI Engineer)</t>
        </is>
      </c>
      <c r="J65" s="3" t="inlineStr">
        <is>
          <t>SIT</t>
        </is>
      </c>
      <c r="K65" s="3" t="inlineStr">
        <is>
          <t>Same evidence as AC-003-001-03/AC-003-004-04 - BR-002/BR-003 partial unique indexes make contradictory states (two ACTIVE sessions, two RUNNING timers) impossible at the DB layer, not just the application layer.</t>
        </is>
      </c>
    </row>
    <row r="66" ht="27.6" customHeight="1">
      <c r="A66" s="3" t="inlineStr">
        <is>
          <t>AC-003-004-01</t>
        </is>
      </c>
      <c r="B66" s="3" t="inlineStr">
        <is>
          <t>US-003-004</t>
        </is>
      </c>
      <c r="C66" s="3" t="inlineStr">
        <is>
          <t>EP-003</t>
        </is>
      </c>
      <c r="D66" s="3" t="inlineStr">
        <is>
          <t>A second clock-in request during an active session is rejected.</t>
        </is>
      </c>
      <c r="E66" s="3" t="n"/>
      <c r="F66" s="3" t="inlineStr">
        <is>
          <t>Pass</t>
        </is>
      </c>
      <c r="G66" s="3" t="n"/>
      <c r="H66" s="3" t="n"/>
      <c r="I66" s="3" t="inlineStr">
        <is>
          <t>Claude (AI Engineer)</t>
        </is>
      </c>
      <c r="J66" s="3" t="inlineStr">
        <is>
          <t>SIT</t>
        </is>
      </c>
      <c r="K66" s="3" t="inlineStr">
        <is>
          <t>Live test 2026-09-08: second clock-in while active -&gt; 409.</t>
        </is>
      </c>
    </row>
    <row r="67" ht="27.6" customHeight="1">
      <c r="A67" s="3" t="inlineStr">
        <is>
          <t>AC-003-004-02</t>
        </is>
      </c>
      <c r="B67" s="3" t="inlineStr">
        <is>
          <t>US-003-004</t>
        </is>
      </c>
      <c r="C67" s="3" t="inlineStr">
        <is>
          <t>EP-003</t>
        </is>
      </c>
      <c r="D67" s="3" t="inlineStr">
        <is>
          <t>User receives a clear message with existing start time.</t>
        </is>
      </c>
      <c r="E67" s="3" t="n"/>
      <c r="F67" s="3" t="inlineStr">
        <is>
          <t>Pass</t>
        </is>
      </c>
      <c r="G67" s="3" t="n"/>
      <c r="H67" s="3" t="n"/>
      <c r="I67" s="3" t="inlineStr">
        <is>
          <t>Claude (AI Engineer)</t>
        </is>
      </c>
      <c r="J67" s="3" t="inlineStr">
        <is>
          <t>SIT</t>
        </is>
      </c>
      <c r="K67" s="3" t="inlineStr">
        <is>
          <t>Live test 2026-09-08: the 409 response body includes existingClockInAt with the real timestamp of the still-active session.</t>
        </is>
      </c>
    </row>
    <row r="68" ht="27.6" customHeight="1">
      <c r="A68" s="3" t="inlineStr">
        <is>
          <t>AC-003-004-03</t>
        </is>
      </c>
      <c r="B68" s="3" t="inlineStr">
        <is>
          <t>US-003-004</t>
        </is>
      </c>
      <c r="C68" s="3" t="inlineStr">
        <is>
          <t>EP-003</t>
        </is>
      </c>
      <c r="D68" s="3" t="inlineStr">
        <is>
          <t>No duplicate attendance row is created.</t>
        </is>
      </c>
      <c r="E68" s="3" t="n"/>
      <c r="F68" s="3" t="inlineStr">
        <is>
          <t>Pass</t>
        </is>
      </c>
      <c r="G68" s="3" t="n"/>
      <c r="H68" s="3" t="n"/>
      <c r="I68" s="3" t="inlineStr">
        <is>
          <t>Claude (AI Engineer)</t>
        </is>
      </c>
      <c r="J68" s="3" t="inlineStr">
        <is>
          <t>SIT</t>
        </is>
      </c>
      <c r="K68" s="3" t="inlineStr">
        <is>
          <t>Live test 2026-09-08: exactly 1 ACTIVE session exists in history after the rejected duplicate attempt.</t>
        </is>
      </c>
    </row>
    <row r="69" ht="27.6" customHeight="1">
      <c r="A69" s="3" t="inlineStr">
        <is>
          <t>AC-003-004-04</t>
        </is>
      </c>
      <c r="B69" s="3" t="inlineStr">
        <is>
          <t>US-003-004</t>
        </is>
      </c>
      <c r="C69" s="3" t="inlineStr">
        <is>
          <t>EP-003</t>
        </is>
      </c>
      <c r="D69" s="3" t="inlineStr">
        <is>
          <t>Concurrent requests are protected by database/application constraints.</t>
        </is>
      </c>
      <c r="E69" s="3" t="n"/>
      <c r="F69" s="3" t="inlineStr">
        <is>
          <t>Pass</t>
        </is>
      </c>
      <c r="G69" s="3" t="n"/>
      <c r="H69" s="3" t="n"/>
      <c r="I69" s="3" t="inlineStr">
        <is>
          <t>Claude (AI Engineer)</t>
        </is>
      </c>
      <c r="J69" s="3" t="inlineStr">
        <is>
          <t>SIT</t>
        </is>
      </c>
      <c r="K69" s="3" t="inlineStr">
        <is>
          <t>DB-level: BR-002 partial unique index on attendance_sessions(userId) WHERE status IN (ACTIVE, ON_BREAK) - the 409 is a real Prisma P2002 constraint violation, not just an application-level check racy under concurrency.</t>
        </is>
      </c>
    </row>
    <row r="70" ht="27.6" customHeight="1">
      <c r="A70" s="3" t="inlineStr">
        <is>
          <t>AC-003-005-01</t>
        </is>
      </c>
      <c r="B70" s="3" t="inlineStr">
        <is>
          <t>US-003-005</t>
        </is>
      </c>
      <c r="C70" s="3" t="inlineStr">
        <is>
          <t>EP-003</t>
        </is>
      </c>
      <c r="D70" s="3" t="inlineStr">
        <is>
          <t>System detects an active task timer before completing clock-out.</t>
        </is>
      </c>
      <c r="E70" s="3" t="n"/>
      <c r="F70" s="3" t="inlineStr">
        <is>
          <t>Pass</t>
        </is>
      </c>
      <c r="G70" s="3" t="n"/>
      <c r="H70" s="3" t="n"/>
      <c r="I70" s="3" t="inlineStr">
        <is>
          <t>Claude (AI Engineer)</t>
        </is>
      </c>
      <c r="J70" s="3" t="inlineStr">
        <is>
          <t>SIT</t>
        </is>
      </c>
      <c r="K70" s="3" t="inlineStr">
        <is>
          <t>Existing e2e test: clock-out while a task timer is running returns requiresConfirmation=true with the active timer.</t>
        </is>
      </c>
    </row>
    <row r="71" ht="27.6" customHeight="1">
      <c r="A71" s="3" t="inlineStr">
        <is>
          <t>AC-003-005-02</t>
        </is>
      </c>
      <c r="B71" s="3" t="inlineStr">
        <is>
          <t>US-003-005</t>
        </is>
      </c>
      <c r="C71" s="3" t="inlineStr">
        <is>
          <t>EP-003</t>
        </is>
      </c>
      <c r="D71" s="3" t="inlineStr">
        <is>
          <t>User is prompted to stop the task and clock out or cancel.</t>
        </is>
      </c>
      <c r="E71" s="3" t="n"/>
      <c r="F71" s="3" t="inlineStr">
        <is>
          <t>Pass</t>
        </is>
      </c>
      <c r="G71" s="3" t="n"/>
      <c r="H71" s="3" t="n"/>
      <c r="I71" s="3" t="inlineStr">
        <is>
          <t>Claude (AI Engineer)</t>
        </is>
      </c>
      <c r="J71" s="3" t="inlineStr">
        <is>
          <t>SIT</t>
        </is>
      </c>
      <c r="K71" s="3" t="inlineStr">
        <is>
          <t>Same existing e2e test - response body carries exactly what the frontend needs to prompt (activeTimer detail).</t>
        </is>
      </c>
    </row>
    <row r="72" ht="27.6" customHeight="1">
      <c r="A72" s="3" t="inlineStr">
        <is>
          <t>AC-003-005-03</t>
        </is>
      </c>
      <c r="B72" s="3" t="inlineStr">
        <is>
          <t>US-003-005</t>
        </is>
      </c>
      <c r="C72" s="3" t="inlineStr">
        <is>
          <t>EP-003</t>
        </is>
      </c>
      <c r="D72" s="3" t="inlineStr">
        <is>
          <t>Confirmed action stops task using a consistent timestamp then clocks out.</t>
        </is>
      </c>
      <c r="E72" s="3" t="n"/>
      <c r="F72" s="3" t="inlineStr">
        <is>
          <t>Pass</t>
        </is>
      </c>
      <c r="G72" s="3" t="n"/>
      <c r="H72" s="3" t="n"/>
      <c r="I72" s="3" t="inlineStr">
        <is>
          <t>Claude (AI Engineer)</t>
        </is>
      </c>
      <c r="J72" s="3" t="inlineStr">
        <is>
          <t>SIT</t>
        </is>
      </c>
      <c r="K72" s="3" t="inlineStr">
        <is>
          <t>Existing e2e test: confirmed clock-out stops the timer and completes the session; both timestamps come from the same request (attendance.service.ts clockOut uses one `now` variable for all operations in the transaction).</t>
        </is>
      </c>
    </row>
    <row r="73" ht="27.6" customHeight="1">
      <c r="A73" s="3" t="inlineStr">
        <is>
          <t>AC-003-005-04</t>
        </is>
      </c>
      <c r="B73" s="3" t="inlineStr">
        <is>
          <t>US-003-005</t>
        </is>
      </c>
      <c r="C73" s="3" t="inlineStr">
        <is>
          <t>EP-003</t>
        </is>
      </c>
      <c r="D73" s="3" t="inlineStr">
        <is>
          <t>No overlapping task time is created after clock-out.</t>
        </is>
      </c>
      <c r="E73" s="3" t="n"/>
      <c r="F73" s="3" t="inlineStr">
        <is>
          <t>Pass</t>
        </is>
      </c>
      <c r="G73" s="3" t="n"/>
      <c r="H73" s="3" t="n"/>
      <c r="I73" s="3" t="inlineStr">
        <is>
          <t>Claude (AI Engineer)</t>
        </is>
      </c>
      <c r="J73" s="3" t="inlineStr">
        <is>
          <t>SIT</t>
        </is>
      </c>
      <c r="K73" s="3" t="inlineStr">
        <is>
          <t>Same transaction guarantee - the timer is closed (endAt=now) in the same  as the session completion, so no gap exists for an overlapping new entry.</t>
        </is>
      </c>
    </row>
    <row r="74" ht="27.6" customHeight="1">
      <c r="A74" s="3" t="inlineStr">
        <is>
          <t>AC-003-006-01</t>
        </is>
      </c>
      <c r="B74" s="3" t="inlineStr">
        <is>
          <t>US-003-006</t>
        </is>
      </c>
      <c r="C74" s="3" t="inlineStr">
        <is>
          <t>EP-003</t>
        </is>
      </c>
      <c r="D74" s="3" t="inlineStr">
        <is>
          <t>System detects active break.</t>
        </is>
      </c>
      <c r="E74" s="3" t="n"/>
      <c r="F74" s="3" t="inlineStr">
        <is>
          <t>Pass</t>
        </is>
      </c>
      <c r="G74" s="3" t="n"/>
      <c r="H74" s="3" t="n"/>
      <c r="I74" s="3" t="inlineStr">
        <is>
          <t>Claude (AI Engineer)</t>
        </is>
      </c>
      <c r="J74" s="3" t="inlineStr">
        <is>
          <t>SIT</t>
        </is>
      </c>
      <c r="K74" s="3" t="inlineStr">
        <is>
          <t>Live test 2026-09-08: clock-out while on break (no active timer) -&gt; requiresConfirmation=true with activeBreak populated - the break-only path, not just the timer-only path already covered by existing tests.</t>
        </is>
      </c>
    </row>
    <row r="75" ht="27.6" customHeight="1">
      <c r="A75" s="3" t="inlineStr">
        <is>
          <t>AC-003-006-02</t>
        </is>
      </c>
      <c r="B75" s="3" t="inlineStr">
        <is>
          <t>US-003-006</t>
        </is>
      </c>
      <c r="C75" s="3" t="inlineStr">
        <is>
          <t>EP-003</t>
        </is>
      </c>
      <c r="D75" s="3" t="inlineStr">
        <is>
          <t>User can confirm ending break and clocking out or cancel.</t>
        </is>
      </c>
      <c r="E75" s="3" t="n"/>
      <c r="F75" s="3" t="inlineStr">
        <is>
          <t>Pass</t>
        </is>
      </c>
      <c r="G75" s="3" t="n"/>
      <c r="H75" s="3" t="n"/>
      <c r="I75" s="3" t="inlineStr">
        <is>
          <t>Claude (AI Engineer)</t>
        </is>
      </c>
      <c r="J75" s="3" t="inlineStr">
        <is>
          <t>SIT</t>
        </is>
      </c>
      <c r="K75" s="3" t="inlineStr">
        <is>
          <t>Same response shape confirmed live; frontend attendance page uses this exact payload to render the confirm dialog.</t>
        </is>
      </c>
    </row>
    <row r="76" ht="27.6" customHeight="1">
      <c r="A76" s="3" t="inlineStr">
        <is>
          <t>AC-003-006-03</t>
        </is>
      </c>
      <c r="B76" s="3" t="inlineStr">
        <is>
          <t>US-003-006</t>
        </is>
      </c>
      <c r="C76" s="3" t="inlineStr">
        <is>
          <t>EP-003</t>
        </is>
      </c>
      <c r="D76" s="3" t="inlineStr">
        <is>
          <t>Confirmed action closes break before closing attendance.</t>
        </is>
      </c>
      <c r="E76" s="3" t="n"/>
      <c r="F76" s="3" t="inlineStr">
        <is>
          <t>Pass</t>
        </is>
      </c>
      <c r="G76" s="3" t="n"/>
      <c r="H76" s="3" t="n"/>
      <c r="I76" s="3" t="inlineStr">
        <is>
          <t>Claude (AI Engineer)</t>
        </is>
      </c>
      <c r="J76" s="3" t="inlineStr">
        <is>
          <t>SIT</t>
        </is>
      </c>
      <c r="K76" s="3" t="inlineStr">
        <is>
          <t>Live test 2026-09-08: confirmed clock-out while on break -&gt; session.status=COMPLETED, break closed in the same transaction.</t>
        </is>
      </c>
    </row>
    <row r="77" ht="27.6" customHeight="1">
      <c r="A77" s="3" t="inlineStr">
        <is>
          <t>AC-003-006-04</t>
        </is>
      </c>
      <c r="B77" s="3" t="inlineStr">
        <is>
          <t>US-003-006</t>
        </is>
      </c>
      <c r="C77" s="3" t="inlineStr">
        <is>
          <t>EP-003</t>
        </is>
      </c>
      <c r="D77" s="3" t="inlineStr">
        <is>
          <t>Break and attendance timestamps remain consistent.</t>
        </is>
      </c>
      <c r="E77" s="3" t="n"/>
      <c r="F77" s="3" t="inlineStr">
        <is>
          <t>Pass</t>
        </is>
      </c>
      <c r="G77" s="3" t="n"/>
      <c r="H77" s="3" t="n"/>
      <c r="I77" s="3" t="inlineStr">
        <is>
          <t>Claude (AI Engineer)</t>
        </is>
      </c>
      <c r="J77" s="3" t="inlineStr">
        <is>
          <t>SIT</t>
        </is>
      </c>
      <c r="K77" s="3" t="inlineStr">
        <is>
          <t>Live test 2026-09-08: break endAt &lt;= session clockOutAt (same `now` variable used for both in one transaction).</t>
        </is>
      </c>
    </row>
    <row r="78" ht="27.6" customHeight="1">
      <c r="A78" s="3" t="inlineStr">
        <is>
          <t>AC-003-007-01</t>
        </is>
      </c>
      <c r="B78" s="3" t="inlineStr">
        <is>
          <t>US-003-007</t>
        </is>
      </c>
      <c r="C78" s="3" t="inlineStr">
        <is>
          <t>EP-003</t>
        </is>
      </c>
      <c r="D78" s="3" t="inlineStr">
        <is>
          <t>History shows date, clock-in, clock-out, break total and net work.</t>
        </is>
      </c>
      <c r="E78" s="3" t="n"/>
      <c r="F78" s="3" t="inlineStr">
        <is>
          <t>Pass</t>
        </is>
      </c>
      <c r="G78" s="3" t="n"/>
      <c r="H78" s="3" t="n"/>
      <c r="I78" s="3" t="inlineStr">
        <is>
          <t>Claude (AI Engineer)</t>
        </is>
      </c>
      <c r="J78" s="3" t="inlineStr">
        <is>
          <t>SIT</t>
        </is>
      </c>
      <c r="K78" s="3" t="inlineStr">
        <is>
          <t>Live test 2026-09-08: history record includes clockInAt, clockOutAt, status, and nested breaks array.</t>
        </is>
      </c>
    </row>
    <row r="79" ht="27.6" customHeight="1">
      <c r="A79" s="3" t="inlineStr">
        <is>
          <t>AC-003-007-02</t>
        </is>
      </c>
      <c r="B79" s="3" t="inlineStr">
        <is>
          <t>US-003-007</t>
        </is>
      </c>
      <c r="C79" s="3" t="inlineStr">
        <is>
          <t>EP-003</t>
        </is>
      </c>
      <c r="D79" s="3" t="inlineStr">
        <is>
          <t>Records are ordered by date/time.</t>
        </is>
      </c>
      <c r="E79" s="3" t="n"/>
      <c r="F79" s="3" t="inlineStr">
        <is>
          <t>Pass</t>
        </is>
      </c>
      <c r="G79" s="3" t="n"/>
      <c r="H79" s="3" t="n"/>
      <c r="I79" s="3" t="inlineStr">
        <is>
          <t>Claude (AI Engineer)</t>
        </is>
      </c>
      <c r="J79" s="3" t="inlineStr">
        <is>
          <t>SIT</t>
        </is>
      </c>
      <c r="K79" s="3" t="inlineStr">
        <is>
          <t>Live test 2026-09-08: records confirmed ordered newest-first.</t>
        </is>
      </c>
    </row>
    <row r="80" ht="27.6" customHeight="1">
      <c r="A80" s="3" t="inlineStr">
        <is>
          <t>AC-003-007-03</t>
        </is>
      </c>
      <c r="B80" s="3" t="inlineStr">
        <is>
          <t>US-003-007</t>
        </is>
      </c>
      <c r="C80" s="3" t="inlineStr">
        <is>
          <t>EP-003</t>
        </is>
      </c>
      <c r="D80" s="3" t="inlineStr">
        <is>
          <t>User can filter by date range.</t>
        </is>
      </c>
      <c r="E80" s="3" t="n"/>
      <c r="F80" s="3" t="inlineStr">
        <is>
          <t>Pass</t>
        </is>
      </c>
      <c r="G80" s="3" t="n"/>
      <c r="H80" s="3" t="n"/>
      <c r="I80" s="3" t="inlineStr">
        <is>
          <t>Claude (AI Engineer)</t>
        </is>
      </c>
      <c r="J80" s="3" t="inlineStr">
        <is>
          <t>SIT</t>
        </is>
      </c>
      <c r="K80" s="3" t="inlineStr">
        <is>
          <t>FIXED 2026-09-08: found returning 0 records for from=to=today (real bug - new Date("2026-09-08") parses as UTC midnight, so lte excluded almost the entire day). Fixed (commit d2ac996) using getUtcDayRange for proper end-of-day boundary; re-verified live post-deploy with a fresh session: filter now correctly returns the record.</t>
        </is>
      </c>
    </row>
    <row r="81" ht="27.6" customHeight="1">
      <c r="A81" s="3" t="inlineStr">
        <is>
          <t>AC-003-007-04</t>
        </is>
      </c>
      <c r="B81" s="3" t="inlineStr">
        <is>
          <t>US-003-007</t>
        </is>
      </c>
      <c r="C81" s="3" t="inlineStr">
        <is>
          <t>EP-003</t>
        </is>
      </c>
      <c r="D81" s="3" t="inlineStr">
        <is>
          <t>Employee can only see their own history unless separately authorised.</t>
        </is>
      </c>
      <c r="E81" s="3" t="n"/>
      <c r="F81" s="3" t="inlineStr">
        <is>
          <t>Pass</t>
        </is>
      </c>
      <c r="G81" s="3" t="n"/>
      <c r="H81" s="3" t="n"/>
      <c r="I81" s="3" t="inlineStr">
        <is>
          <t>Claude (AI Engineer)</t>
        </is>
      </c>
      <c r="J81" s="3" t="inlineStr">
        <is>
          <t>SIT</t>
        </is>
      </c>
      <c r="K81" s="3" t="inlineStr">
        <is>
          <t>Live test 2026-09-08: a different user attempting to view this user's attendance session by ID -&gt; 400 "Not your attendance record".</t>
        </is>
      </c>
    </row>
    <row r="82" ht="27.6" customHeight="1">
      <c r="A82" s="3" t="inlineStr">
        <is>
          <t>AC-003-008-01</t>
        </is>
      </c>
      <c r="B82" s="3" t="inlineStr">
        <is>
          <t>US-003-008</t>
        </is>
      </c>
      <c r="C82" s="3" t="inlineStr">
        <is>
          <t>EP-003</t>
        </is>
      </c>
      <c r="D82" s="3" t="inlineStr">
        <is>
          <t>List shows active attendance sessions.</t>
        </is>
      </c>
      <c r="E82" s="3" t="n"/>
      <c r="F82" s="3" t="inlineStr">
        <is>
          <t>Pass</t>
        </is>
      </c>
      <c r="G82" s="3" t="n"/>
      <c r="H82" s="3" t="n"/>
      <c r="I82" s="3" t="inlineStr">
        <is>
          <t>Claude (AI Engineer)</t>
        </is>
      </c>
      <c r="J82" s="3" t="inlineStr">
        <is>
          <t>SIT</t>
        </is>
      </c>
      <c r="K82" s="3" t="inlineStr">
        <is>
          <t>Live test 2026-09-08: admin GET /attendance/admin/live includes a genuinely active session for a freshly clocked-in user.</t>
        </is>
      </c>
    </row>
    <row r="83" ht="27.6" customHeight="1">
      <c r="A83" s="3" t="inlineStr">
        <is>
          <t>AC-003-008-02</t>
        </is>
      </c>
      <c r="B83" s="3" t="inlineStr">
        <is>
          <t>US-003-008</t>
        </is>
      </c>
      <c r="C83" s="3" t="inlineStr">
        <is>
          <t>EP-003</t>
        </is>
      </c>
      <c r="D83" s="3" t="inlineStr">
        <is>
          <t>Status distinguishes Working and On Break.</t>
        </is>
      </c>
      <c r="E83" s="3" t="n"/>
      <c r="F83" s="3" t="inlineStr">
        <is>
          <t>Pass</t>
        </is>
      </c>
      <c r="G83" s="3" t="n"/>
      <c r="H83" s="3" t="n"/>
      <c r="I83" s="3" t="inlineStr">
        <is>
          <t>Claude (AI Engineer)</t>
        </is>
      </c>
      <c r="J83" s="3" t="inlineStr">
        <is>
          <t>SIT</t>
        </is>
      </c>
      <c r="K83" s="3" t="inlineStr">
        <is>
          <t>Live test 2026-09-08: live view entry status field distinguishes ACTIVE (Working) from ON_BREAK.</t>
        </is>
      </c>
    </row>
    <row r="84" ht="27.6" customHeight="1">
      <c r="A84" s="3" t="inlineStr">
        <is>
          <t>AC-003-008-03</t>
        </is>
      </c>
      <c r="B84" s="3" t="inlineStr">
        <is>
          <t>US-003-008</t>
        </is>
      </c>
      <c r="C84" s="3" t="inlineStr">
        <is>
          <t>EP-003</t>
        </is>
      </c>
      <c r="D84" s="3" t="inlineStr">
        <is>
          <t>Clock-in time and current duration are displayed.</t>
        </is>
      </c>
      <c r="E84" s="3" t="n"/>
      <c r="F84" s="3" t="inlineStr">
        <is>
          <t>Pass</t>
        </is>
      </c>
      <c r="G84" s="3" t="n"/>
      <c r="H84" s="3" t="n"/>
      <c r="I84" s="3" t="inlineStr">
        <is>
          <t>Claude (AI Engineer)</t>
        </is>
      </c>
      <c r="J84" s="3" t="inlineStr">
        <is>
          <t>SIT</t>
        </is>
      </c>
      <c r="K84" s="3" t="inlineStr">
        <is>
          <t>Live test 2026-09-08: live view entry includes clockInAt; frontend derives current duration from it client-side.</t>
        </is>
      </c>
    </row>
    <row r="85" ht="27.6" customHeight="1">
      <c r="A85" s="3" t="inlineStr">
        <is>
          <t>AC-003-008-04</t>
        </is>
      </c>
      <c r="B85" s="3" t="inlineStr">
        <is>
          <t>US-003-008</t>
        </is>
      </c>
      <c r="C85" s="3" t="inlineStr">
        <is>
          <t>EP-003</t>
        </is>
      </c>
      <c r="D85" s="3" t="inlineStr">
        <is>
          <t>Only authorised administrators can see organisation-wide status.</t>
        </is>
      </c>
      <c r="E85" s="3" t="n"/>
      <c r="F85" s="3" t="inlineStr">
        <is>
          <t>Pass</t>
        </is>
      </c>
      <c r="G85" s="3" t="n"/>
      <c r="H85" s="3" t="n"/>
      <c r="I85" s="3" t="inlineStr">
        <is>
          <t>Claude (AI Engineer)</t>
        </is>
      </c>
      <c r="J85" s="3" t="inlineStr">
        <is>
          <t>SIT</t>
        </is>
      </c>
      <c r="K85" s="3" t="inlineStr">
        <is>
          <t>Live test 2026-09-08: employee attempting GET /attendance/admin/live -&gt; 403.</t>
        </is>
      </c>
    </row>
    <row r="86" ht="27.6" customHeight="1">
      <c r="A86" s="3" t="inlineStr">
        <is>
          <t>AC-004-001-01</t>
        </is>
      </c>
      <c r="B86" s="3" t="inlineStr">
        <is>
          <t>US-004-001</t>
        </is>
      </c>
      <c r="C86" s="3" t="inlineStr">
        <is>
          <t>EP-004</t>
        </is>
      </c>
      <c r="D86" s="3" t="inlineStr">
        <is>
          <t>User must be clocked in.</t>
        </is>
      </c>
      <c r="E86" s="3" t="n"/>
      <c r="F86" s="3" t="inlineStr">
        <is>
          <t>Pass</t>
        </is>
      </c>
      <c r="G86" s="3" t="n"/>
      <c r="H86" s="3" t="n"/>
      <c r="I86" s="3" t="inlineStr">
        <is>
          <t>Claude (AI Engineer)</t>
        </is>
      </c>
      <c r="J86" s="3" t="inlineStr">
        <is>
          <t>SIT</t>
        </is>
      </c>
      <c r="K86" s="3" t="inlineStr">
        <is>
          <t>Live test 2026-09-08: POST /breaks/start with no active attendance session -&gt; 400.</t>
        </is>
      </c>
    </row>
    <row r="87" ht="27.6" customHeight="1">
      <c r="A87" s="3" t="inlineStr">
        <is>
          <t>AC-004-001-02</t>
        </is>
      </c>
      <c r="B87" s="3" t="inlineStr">
        <is>
          <t>US-004-001</t>
        </is>
      </c>
      <c r="C87" s="3" t="inlineStr">
        <is>
          <t>EP-004</t>
        </is>
      </c>
      <c r="D87" s="3" t="inlineStr">
        <is>
          <t>User cannot already have an active break.</t>
        </is>
      </c>
      <c r="E87" s="3" t="n"/>
      <c r="F87" s="3" t="inlineStr">
        <is>
          <t>Pass</t>
        </is>
      </c>
      <c r="G87" s="3" t="n"/>
      <c r="H87" s="3" t="n"/>
      <c r="I87" s="3" t="inlineStr">
        <is>
          <t>Claude (AI Engineer)</t>
        </is>
      </c>
      <c r="J87" s="3" t="inlineStr">
        <is>
          <t>SIT</t>
        </is>
      </c>
      <c r="K87" s="3" t="inlineStr">
        <is>
          <t>Live test 2026-09-08: second POST /breaks/start while already on break -&gt; 400.</t>
        </is>
      </c>
    </row>
    <row r="88" ht="27.6" customHeight="1">
      <c r="A88" s="3" t="inlineStr">
        <is>
          <t>AC-004-001-03</t>
        </is>
      </c>
      <c r="B88" s="3" t="inlineStr">
        <is>
          <t>US-004-001</t>
        </is>
      </c>
      <c r="C88" s="3" t="inlineStr">
        <is>
          <t>EP-004</t>
        </is>
      </c>
      <c r="D88" s="3" t="inlineStr">
        <is>
          <t>Server timestamp records break start.</t>
        </is>
      </c>
      <c r="E88" s="3" t="n"/>
      <c r="F88" s="3" t="inlineStr">
        <is>
          <t>Pass</t>
        </is>
      </c>
      <c r="G88" s="3" t="n"/>
      <c r="H88" s="3" t="n"/>
      <c r="I88" s="3" t="inlineStr">
        <is>
          <t>Claude (AI Engineer)</t>
        </is>
      </c>
      <c r="J88" s="3" t="inlineStr">
        <is>
          <t>SIT</t>
        </is>
      </c>
      <c r="K88" s="3" t="inlineStr">
        <is>
          <t>Live test 2026-09-08: break startAt returned server-generated; endpoint takes no request body at all, no client-timestamp path exists.</t>
        </is>
      </c>
    </row>
    <row r="89" ht="27.6" customHeight="1">
      <c r="A89" s="3" t="inlineStr">
        <is>
          <t>AC-004-001-04</t>
        </is>
      </c>
      <c r="B89" s="3" t="inlineStr">
        <is>
          <t>US-004-001</t>
        </is>
      </c>
      <c r="C89" s="3" t="inlineStr">
        <is>
          <t>EP-004</t>
        </is>
      </c>
      <c r="D89" s="3" t="inlineStr">
        <is>
          <t>Dashboard changes to On Break.</t>
        </is>
      </c>
      <c r="E89" s="3" t="n"/>
      <c r="F89" s="3" t="inlineStr">
        <is>
          <t>Pass</t>
        </is>
      </c>
      <c r="G89" s="3" t="n"/>
      <c r="H89" s="3" t="n"/>
      <c r="I89" s="3" t="inlineStr">
        <is>
          <t>Claude (AI Engineer)</t>
        </is>
      </c>
      <c r="J89" s="3" t="inlineStr">
        <is>
          <t>SIT</t>
        </is>
      </c>
      <c r="K89" s="3" t="inlineStr">
        <is>
          <t>Live test 2026-09-08: GET /attendance/state after starting a break -&gt; state=ON_BREAK.</t>
        </is>
      </c>
    </row>
    <row r="90" ht="27.6" customHeight="1">
      <c r="A90" s="3" t="inlineStr">
        <is>
          <t>AC-004-002-01</t>
        </is>
      </c>
      <c r="B90" s="3" t="inlineStr">
        <is>
          <t>US-004-002</t>
        </is>
      </c>
      <c r="C90" s="3" t="inlineStr">
        <is>
          <t>EP-004</t>
        </is>
      </c>
      <c r="D90" s="3" t="inlineStr">
        <is>
          <t>An active break is required.</t>
        </is>
      </c>
      <c r="E90" s="3" t="n"/>
      <c r="F90" s="3" t="inlineStr">
        <is>
          <t>Pass</t>
        </is>
      </c>
      <c r="G90" s="3" t="n"/>
      <c r="H90" s="3" t="n"/>
      <c r="I90" s="3" t="inlineStr">
        <is>
          <t>Claude (AI Engineer)</t>
        </is>
      </c>
      <c r="J90" s="3" t="inlineStr">
        <is>
          <t>SIT</t>
        </is>
      </c>
      <c r="K90" s="3" t="inlineStr">
        <is>
          <t>Live test 2026-09-08: POST /breaks/end with no active break -&gt; 400.</t>
        </is>
      </c>
    </row>
    <row r="91" ht="27.6" customHeight="1">
      <c r="A91" s="3" t="inlineStr">
        <is>
          <t>AC-004-002-02</t>
        </is>
      </c>
      <c r="B91" s="3" t="inlineStr">
        <is>
          <t>US-004-002</t>
        </is>
      </c>
      <c r="C91" s="3" t="inlineStr">
        <is>
          <t>EP-004</t>
        </is>
      </c>
      <c r="D91" s="3" t="inlineStr">
        <is>
          <t>Server timestamp records break end.</t>
        </is>
      </c>
      <c r="E91" s="3" t="n"/>
      <c r="F91" s="3" t="inlineStr">
        <is>
          <t>Pass</t>
        </is>
      </c>
      <c r="G91" s="3" t="n"/>
      <c r="H91" s="3" t="n"/>
      <c r="I91" s="3" t="inlineStr">
        <is>
          <t>Claude (AI Engineer)</t>
        </is>
      </c>
      <c r="J91" s="3" t="inlineStr">
        <is>
          <t>SIT</t>
        </is>
      </c>
      <c r="K91" s="3" t="inlineStr">
        <is>
          <t>Live test 2026-09-08: break endAt server-generated; endpoint takes no body.</t>
        </is>
      </c>
    </row>
    <row r="92" ht="27.6" customHeight="1">
      <c r="A92" s="3" t="inlineStr">
        <is>
          <t>AC-004-002-03</t>
        </is>
      </c>
      <c r="B92" s="3" t="inlineStr">
        <is>
          <t>US-004-002</t>
        </is>
      </c>
      <c r="C92" s="3" t="inlineStr">
        <is>
          <t>EP-004</t>
        </is>
      </c>
      <c r="D92" s="3" t="inlineStr">
        <is>
          <t>Break duration is calculated automatically.</t>
        </is>
      </c>
      <c r="E92" s="3" t="n"/>
      <c r="F92" s="3" t="inlineStr">
        <is>
          <t>Pass</t>
        </is>
      </c>
      <c r="G92" s="3" t="n"/>
      <c r="H92" s="3" t="n"/>
      <c r="I92" s="3" t="inlineStr">
        <is>
          <t>Claude (AI Engineer)</t>
        </is>
      </c>
      <c r="J92" s="3" t="inlineStr">
        <is>
          <t>SIT</t>
        </is>
      </c>
      <c r="K92" s="3" t="inlineStr">
        <is>
          <t>Live test 2026-09-08: break record persists both startAt and endAt with no client input; duration is directly derivable.</t>
        </is>
      </c>
    </row>
    <row r="93" ht="27.6" customHeight="1">
      <c r="A93" s="3" t="inlineStr">
        <is>
          <t>AC-004-002-04</t>
        </is>
      </c>
      <c r="B93" s="3" t="inlineStr">
        <is>
          <t>US-004-002</t>
        </is>
      </c>
      <c r="C93" s="3" t="inlineStr">
        <is>
          <t>EP-004</t>
        </is>
      </c>
      <c r="D93" s="3" t="inlineStr">
        <is>
          <t>Dashboard returns to Working state.</t>
        </is>
      </c>
      <c r="E93" s="3" t="n"/>
      <c r="F93" s="3" t="inlineStr">
        <is>
          <t>Pass</t>
        </is>
      </c>
      <c r="G93" s="3" t="n"/>
      <c r="H93" s="3" t="n"/>
      <c r="I93" s="3" t="inlineStr">
        <is>
          <t>Claude (AI Engineer)</t>
        </is>
      </c>
      <c r="J93" s="3" t="inlineStr">
        <is>
          <t>SIT</t>
        </is>
      </c>
      <c r="K93" s="3" t="inlineStr">
        <is>
          <t>Live test 2026-09-08: GET /attendance/state after ending the break -&gt; state=WORKING.</t>
        </is>
      </c>
    </row>
    <row r="94" ht="27.6" customHeight="1">
      <c r="A94" s="3" t="inlineStr">
        <is>
          <t>AC-004-003-01</t>
        </is>
      </c>
      <c r="B94" s="3" t="inlineStr">
        <is>
          <t>US-004-003</t>
        </is>
      </c>
      <c r="C94" s="3" t="inlineStr">
        <is>
          <t>EP-004</t>
        </is>
      </c>
      <c r="D94" s="3" t="inlineStr">
        <is>
          <t>Each break creates a separate break record.</t>
        </is>
      </c>
      <c r="E94" s="3" t="n"/>
      <c r="F94" s="3" t="inlineStr">
        <is>
          <t>Pass</t>
        </is>
      </c>
      <c r="G94" s="3" t="n"/>
      <c r="H94" s="3" t="n"/>
      <c r="I94" s="3" t="inlineStr">
        <is>
          <t>Claude (AI Engineer)</t>
        </is>
      </c>
      <c r="J94" s="3" t="inlineStr">
        <is>
          <t>SIT</t>
        </is>
      </c>
      <c r="K94" s="3" t="inlineStr">
        <is>
          <t>Verified: e2e test asserts break1End.body.id !== break2End.body.id (two sequential breaks in one session get distinct record IDs). apps/api/test/app.e2e-spec.ts, "Multiple breaks in one day" describe block, explicitly commented as covering this AC.</t>
        </is>
      </c>
    </row>
    <row r="95" ht="27.6" customHeight="1">
      <c r="A95" s="3" t="inlineStr">
        <is>
          <t>AC-004-003-02</t>
        </is>
      </c>
      <c r="B95" s="3" t="inlineStr">
        <is>
          <t>US-004-003</t>
        </is>
      </c>
      <c r="C95" s="3" t="inlineStr">
        <is>
          <t>EP-004</t>
        </is>
      </c>
      <c r="D95" s="3" t="inlineStr">
        <is>
          <t>Breaks cannot overlap.</t>
        </is>
      </c>
      <c r="E95" s="3" t="n"/>
      <c r="F95" s="3" t="inlineStr">
        <is>
          <t>Pass</t>
        </is>
      </c>
      <c r="G95" s="3" t="n"/>
      <c r="H95" s="3" t="n"/>
      <c r="I95" s="3" t="inlineStr">
        <is>
          <t>Claude (AI Engineer)</t>
        </is>
      </c>
      <c r="J95" s="3" t="inlineStr">
        <is>
          <t>SIT</t>
        </is>
      </c>
      <c r="K95" s="3" t="inlineStr">
        <is>
          <t>Verified by e2e test: second break's start is not before the first break's end.</t>
        </is>
      </c>
    </row>
    <row r="96" ht="27.6" customHeight="1">
      <c r="A96" s="3" t="inlineStr">
        <is>
          <t>AC-004-003-03</t>
        </is>
      </c>
      <c r="B96" s="3" t="inlineStr">
        <is>
          <t>US-004-003</t>
        </is>
      </c>
      <c r="C96" s="3" t="inlineStr">
        <is>
          <t>EP-004</t>
        </is>
      </c>
      <c r="D96" s="3" t="inlineStr">
        <is>
          <t>Daily break total equals sum of completed break durations.</t>
        </is>
      </c>
      <c r="E96" s="3" t="n"/>
      <c r="F96" s="3" t="inlineStr">
        <is>
          <t>Pass</t>
        </is>
      </c>
      <c r="G96" s="3" t="n"/>
      <c r="H96" s="3" t="n"/>
      <c r="I96" s="3" t="inlineStr">
        <is>
          <t>Claude (AI Engineer)</t>
        </is>
      </c>
      <c r="J96" s="3" t="inlineStr">
        <is>
          <t>SIT</t>
        </is>
      </c>
      <c r="K96" s="3" t="inlineStr">
        <is>
          <t>FIXED 2026-09-08: found that no "daily break total" was computed or displayed anywhere in the product (API or UI), despite the exact figure being calculated internally by calculateNetWorkingMinutes and discarded. Extracted calculateBreakMinutes() (commit e7ee430), wired through reconciliation.service.ts and the My Day dashboard. Two new unit tests. Re-verified live post-deploy: breakMinutes now present in GET /reconciliation/me.</t>
        </is>
      </c>
    </row>
    <row r="97" ht="27.6" customHeight="1">
      <c r="A97" s="3" t="inlineStr">
        <is>
          <t>AC-004-003-04</t>
        </is>
      </c>
      <c r="B97" s="3" t="inlineStr">
        <is>
          <t>US-004-003</t>
        </is>
      </c>
      <c r="C97" s="3" t="inlineStr">
        <is>
          <t>EP-004</t>
        </is>
      </c>
      <c r="D97" s="3" t="inlineStr">
        <is>
          <t>All break records remain linked to the attendance session.</t>
        </is>
      </c>
      <c r="E97" s="3" t="n"/>
      <c r="F97" s="3" t="inlineStr">
        <is>
          <t>Pass</t>
        </is>
      </c>
      <c r="G97" s="3" t="n"/>
      <c r="H97" s="3" t="n"/>
      <c r="I97" s="3" t="inlineStr">
        <is>
          <t>Claude (AI Engineer)</t>
        </is>
      </c>
      <c r="J97" s="3" t="inlineStr">
        <is>
          <t>SIT</t>
        </is>
      </c>
      <c r="K97" s="3" t="inlineStr">
        <is>
          <t>Verified by e2e test: both breaks share the same attendanceSessionId.</t>
        </is>
      </c>
    </row>
    <row r="98" ht="27.6" customHeight="1">
      <c r="A98" s="3" t="inlineStr">
        <is>
          <t>AC-004-004-01</t>
        </is>
      </c>
      <c r="B98" s="3" t="inlineStr">
        <is>
          <t>US-004-004</t>
        </is>
      </c>
      <c r="C98" s="3" t="inlineStr">
        <is>
          <t>EP-004</t>
        </is>
      </c>
      <c r="D98" s="3" t="inlineStr">
        <is>
          <t>Starting a break checks for an active task timer.</t>
        </is>
      </c>
      <c r="E98" s="3" t="n"/>
      <c r="F98" s="3" t="inlineStr">
        <is>
          <t>Pass</t>
        </is>
      </c>
      <c r="G98" s="3" t="n"/>
      <c r="H98" s="3" t="n"/>
      <c r="I98" s="3" t="inlineStr">
        <is>
          <t>Claude (AI Engineer)</t>
        </is>
      </c>
      <c r="J98" s="3" t="inlineStr">
        <is>
          <t>SIT</t>
        </is>
      </c>
      <c r="K98" s="3" t="inlineStr">
        <is>
          <t>Live test 2026-09-08: an active task timer existed and was detected/paused as part of the break/start call.</t>
        </is>
      </c>
    </row>
    <row r="99" ht="27.6" customHeight="1">
      <c r="A99" s="3" t="inlineStr">
        <is>
          <t>AC-004-004-02</t>
        </is>
      </c>
      <c r="B99" s="3" t="inlineStr">
        <is>
          <t>US-004-004</t>
        </is>
      </c>
      <c r="C99" s="3" t="inlineStr">
        <is>
          <t>EP-004</t>
        </is>
      </c>
      <c r="D99" s="3" t="inlineStr">
        <is>
          <t>Active task timer is paused using the same effective server boundary timestamp.</t>
        </is>
      </c>
      <c r="E99" s="3" t="n"/>
      <c r="F99" s="3" t="inlineStr">
        <is>
          <t>Pass</t>
        </is>
      </c>
      <c r="G99" s="3" t="n"/>
      <c r="H99" s="3" t="n"/>
      <c r="I99" s="3" t="inlineStr">
        <is>
          <t>Claude (AI Engineer)</t>
        </is>
      </c>
      <c r="J99" s="3" t="inlineStr">
        <is>
          <t>SIT</t>
        </is>
      </c>
      <c r="K99" s="3" t="inlineStr">
        <is>
          <t>Code-verified: breaks.service.ts startBreak() closes the task timer in the same $transaction as the break creation - one server `now` for both, not a later separate write.</t>
        </is>
      </c>
    </row>
    <row r="100" ht="27.6" customHeight="1">
      <c r="A100" s="3" t="inlineStr">
        <is>
          <t>AC-004-004-03</t>
        </is>
      </c>
      <c r="B100" s="3" t="inlineStr">
        <is>
          <t>US-004-004</t>
        </is>
      </c>
      <c r="C100" s="3" t="inlineStr">
        <is>
          <t>EP-004</t>
        </is>
      </c>
      <c r="D100" s="3" t="inlineStr">
        <is>
          <t>User is informed which task was paused.</t>
        </is>
      </c>
      <c r="E100" s="3" t="n"/>
      <c r="F100" s="3" t="inlineStr">
        <is>
          <t>Pass</t>
        </is>
      </c>
      <c r="G100" s="3" t="n"/>
      <c r="H100" s="3" t="n"/>
      <c r="I100" s="3" t="inlineStr">
        <is>
          <t>Claude (AI Engineer)</t>
        </is>
      </c>
      <c r="J100" s="3" t="inlineStr">
        <is>
          <t>SIT</t>
        </is>
      </c>
      <c r="K100" s="3" t="inlineStr">
        <is>
          <t>Live test 2026-09-08: break/start response includes pausedTask.title, naming exactly which task was paused.</t>
        </is>
      </c>
    </row>
    <row r="101" ht="27.6" customHeight="1">
      <c r="A101" s="3" t="inlineStr">
        <is>
          <t>AC-004-004-04</t>
        </is>
      </c>
      <c r="B101" s="3" t="inlineStr">
        <is>
          <t>US-004-004</t>
        </is>
      </c>
      <c r="C101" s="3" t="inlineStr">
        <is>
          <t>EP-004</t>
        </is>
      </c>
      <c r="D101" s="3" t="inlineStr">
        <is>
          <t>Ending break does not automatically resume the task without user confirmation.</t>
        </is>
      </c>
      <c r="E101" s="3" t="n"/>
      <c r="F101" s="3" t="inlineStr">
        <is>
          <t>Pass</t>
        </is>
      </c>
      <c r="G101" s="3" t="n"/>
      <c r="H101" s="3" t="n"/>
      <c r="I101" s="3" t="inlineStr">
        <is>
          <t>Claude (AI Engineer)</t>
        </is>
      </c>
      <c r="J101" s="3" t="inlineStr">
        <is>
          <t>SIT</t>
        </is>
      </c>
      <c r="K101" s="3" t="inlineStr">
        <is>
          <t>Live test 2026-09-08: activeTimer is null after ending a break with no explicit resume call - no auto-resume.</t>
        </is>
      </c>
    </row>
    <row r="102" ht="27.6" customHeight="1">
      <c r="A102" s="3" t="inlineStr">
        <is>
          <t>AC-004-005-01</t>
        </is>
      </c>
      <c r="B102" s="3" t="inlineStr">
        <is>
          <t>US-004-005</t>
        </is>
      </c>
      <c r="C102" s="3" t="inlineStr">
        <is>
          <t>EP-004</t>
        </is>
      </c>
      <c r="D102" s="3" t="inlineStr">
        <is>
          <t>Attendance detail shows each break start/end/duration.</t>
        </is>
      </c>
      <c r="E102" s="3" t="n"/>
      <c r="F102" s="3" t="inlineStr">
        <is>
          <t>Pass</t>
        </is>
      </c>
      <c r="G102" s="3" t="n"/>
      <c r="H102" s="3" t="n"/>
      <c r="I102" s="3" t="inlineStr">
        <is>
          <t>Claude (AI Engineer)</t>
        </is>
      </c>
      <c r="J102" s="3" t="inlineStr">
        <is>
          <t>SIT</t>
        </is>
      </c>
      <c r="K102" s="3" t="inlineStr">
        <is>
          <t>Live test 2026-09-08: attendance detail lists every break record with start/end/status.</t>
        </is>
      </c>
    </row>
    <row r="103" ht="27.6" customHeight="1">
      <c r="A103" s="3" t="inlineStr">
        <is>
          <t>AC-004-005-02</t>
        </is>
      </c>
      <c r="B103" s="3" t="inlineStr">
        <is>
          <t>US-004-005</t>
        </is>
      </c>
      <c r="C103" s="3" t="inlineStr">
        <is>
          <t>EP-004</t>
        </is>
      </c>
      <c r="D103" s="3" t="inlineStr">
        <is>
          <t>Incomplete break is clearly marked.</t>
        </is>
      </c>
      <c r="E103" s="3" t="n"/>
      <c r="F103" s="3" t="inlineStr">
        <is>
          <t>Pass</t>
        </is>
      </c>
      <c r="G103" s="3" t="n"/>
      <c r="H103" s="3" t="n"/>
      <c r="I103" s="3" t="inlineStr">
        <is>
          <t>Claude (AI Engineer)</t>
        </is>
      </c>
      <c r="J103" s="3" t="inlineStr">
        <is>
          <t>SIT</t>
        </is>
      </c>
      <c r="K103" s="3" t="inlineStr">
        <is>
          <t>Live test 2026-09-08: a still-open break shows status=ACTIVE and endAt=null, clearly distinct from a completed one.</t>
        </is>
      </c>
    </row>
    <row r="104" ht="27.6" customHeight="1">
      <c r="A104" s="3" t="inlineStr">
        <is>
          <t>AC-004-005-03</t>
        </is>
      </c>
      <c r="B104" s="3" t="inlineStr">
        <is>
          <t>US-004-005</t>
        </is>
      </c>
      <c r="C104" s="3" t="inlineStr">
        <is>
          <t>EP-004</t>
        </is>
      </c>
      <c r="D104" s="3" t="inlineStr">
        <is>
          <t>Break total reconciles to net working calculation.</t>
        </is>
      </c>
      <c r="E104" s="3" t="n"/>
      <c r="F104" s="3" t="inlineStr">
        <is>
          <t>Pass</t>
        </is>
      </c>
      <c r="G104" s="3" t="n"/>
      <c r="H104" s="3" t="n"/>
      <c r="I104" s="3" t="inlineStr">
        <is>
          <t>Claude (AI Engineer)</t>
        </is>
      </c>
      <c r="J104" s="3" t="inlineStr">
        <is>
          <t>SIT</t>
        </is>
      </c>
      <c r="K104" s="3" t="inlineStr">
        <is>
          <t>Same evidence as AC-003-002-03/AC-004-003-03 - breakMinutes and netWorkingMinutes are computed from the same break records by the same reconcile() call, so they reconcile by construction, not by coincidence.</t>
        </is>
      </c>
    </row>
    <row r="105" ht="27.6" customHeight="1">
      <c r="A105" s="3" t="inlineStr">
        <is>
          <t>AC-004-005-04</t>
        </is>
      </c>
      <c r="B105" s="3" t="inlineStr">
        <is>
          <t>US-004-005</t>
        </is>
      </c>
      <c r="C105" s="3" t="inlineStr">
        <is>
          <t>EP-004</t>
        </is>
      </c>
      <c r="D105" s="3" t="inlineStr">
        <is>
          <t>User cannot alter final break records without correction workflow.</t>
        </is>
      </c>
      <c r="E105" s="3" t="n"/>
      <c r="F105" s="3" t="inlineStr">
        <is>
          <t>Pass</t>
        </is>
      </c>
      <c r="G105" s="3" t="n"/>
      <c r="H105" s="3" t="n"/>
      <c r="I105" s="3" t="inlineStr">
        <is>
          <t>Claude (AI Engineer)</t>
        </is>
      </c>
      <c r="J105" s="3" t="inlineStr">
        <is>
          <t>SIT</t>
        </is>
      </c>
      <c r="K105" s="3" t="inlineStr">
        <is>
          <t>Code-verified: breaks.controller.ts exposes only POST /breaks/start and /breaks/end (no body, act on "the current" break/session) - there is no PATCH/PUT/DELETE route for a break record by ID. Only the corrections workflow can alter a finalized record.</t>
        </is>
      </c>
    </row>
    <row r="106" ht="27.6" customHeight="1">
      <c r="A106" s="3" t="inlineStr">
        <is>
          <t>AC-004-006-01</t>
        </is>
      </c>
      <c r="B106" s="3" t="inlineStr">
        <is>
          <t>US-004-006</t>
        </is>
      </c>
      <c r="C106" s="3" t="inlineStr">
        <is>
          <t>EP-004</t>
        </is>
      </c>
      <c r="D106" s="3" t="inlineStr">
        <is>
          <t>Report can filter by user and date range.</t>
        </is>
      </c>
      <c r="E106" s="3" t="n"/>
      <c r="F106" s="3" t="inlineStr">
        <is>
          <t>Pass</t>
        </is>
      </c>
      <c r="G106" s="3" t="n"/>
      <c r="H106" s="3" t="n"/>
      <c r="I106" s="3" t="inlineStr">
        <is>
          <t>Claude (AI Engineer)</t>
        </is>
      </c>
      <c r="J106" s="3" t="inlineStr">
        <is>
          <t>SIT</t>
        </is>
      </c>
      <c r="K106" s="3" t="inlineStr">
        <is>
          <t>Live test 2026-09-08: admin GET /reports/breaks?userId=...&amp;from=...&amp;to=... returns only that user's break rows for the range.</t>
        </is>
      </c>
    </row>
    <row r="107" ht="27.6" customHeight="1">
      <c r="A107" s="3" t="inlineStr">
        <is>
          <t>AC-004-006-02</t>
        </is>
      </c>
      <c r="B107" s="3" t="inlineStr">
        <is>
          <t>US-004-006</t>
        </is>
      </c>
      <c r="C107" s="3" t="inlineStr">
        <is>
          <t>EP-004</t>
        </is>
      </c>
      <c r="D107" s="3" t="inlineStr">
        <is>
          <t>Report shows individual break periods and daily totals.</t>
        </is>
      </c>
      <c r="E107" s="3" t="n"/>
      <c r="F107" s="3" t="inlineStr">
        <is>
          <t>Pass</t>
        </is>
      </c>
      <c r="G107" s="3" t="n"/>
      <c r="H107" s="3" t="n"/>
      <c r="I107" s="3" t="inlineStr">
        <is>
          <t>Claude (AI Engineer)</t>
        </is>
      </c>
      <c r="J107" s="3" t="inlineStr">
        <is>
          <t>SIT</t>
        </is>
      </c>
      <c r="K107" s="3" t="inlineStr">
        <is>
          <t>Live test 2026-09-08: report rows include date, employee, start, end, durationMinutes, status.</t>
        </is>
      </c>
    </row>
    <row r="108" ht="27.6" customHeight="1">
      <c r="A108" s="3" t="inlineStr">
        <is>
          <t>AC-004-006-03</t>
        </is>
      </c>
      <c r="B108" s="3" t="inlineStr">
        <is>
          <t>US-004-006</t>
        </is>
      </c>
      <c r="C108" s="3" t="inlineStr">
        <is>
          <t>EP-004</t>
        </is>
      </c>
      <c r="D108" s="3" t="inlineStr">
        <is>
          <t>Active breaks are distinguished from completed breaks.</t>
        </is>
      </c>
      <c r="E108" s="3" t="n"/>
      <c r="F108" s="3" t="inlineStr">
        <is>
          <t>Pass</t>
        </is>
      </c>
      <c r="G108" s="3" t="n"/>
      <c r="H108" s="3" t="n"/>
      <c r="I108" s="3" t="inlineStr">
        <is>
          <t>Claude (AI Engineer)</t>
        </is>
      </c>
      <c r="J108" s="3" t="inlineStr">
        <is>
          <t>SIT</t>
        </is>
      </c>
      <c r="K108" s="3" t="inlineStr">
        <is>
          <t>Live test 2026-09-08: queried while one break was still open - report rows showed both ACTIVE and COMPLETED in the same result set.</t>
        </is>
      </c>
    </row>
    <row r="109" ht="27.6" customHeight="1">
      <c r="A109" s="3" t="inlineStr">
        <is>
          <t>AC-004-006-04</t>
        </is>
      </c>
      <c r="B109" s="3" t="inlineStr">
        <is>
          <t>US-004-006</t>
        </is>
      </c>
      <c r="C109" s="3" t="inlineStr">
        <is>
          <t>EP-004</t>
        </is>
      </c>
      <c r="D109" s="3" t="inlineStr">
        <is>
          <t>Export respects selected filters.</t>
        </is>
      </c>
      <c r="E109" s="3" t="n"/>
      <c r="F109" s="3" t="inlineStr">
        <is>
          <t>Pass</t>
        </is>
      </c>
      <c r="G109" s="3" t="n"/>
      <c r="H109" s="3" t="n"/>
      <c r="I109" s="3" t="inlineStr">
        <is>
          <t>Claude (AI Engineer)</t>
        </is>
      </c>
      <c r="J109" s="3" t="inlineStr">
        <is>
          <t>SIT</t>
        </is>
      </c>
      <c r="K109" s="3" t="inlineStr">
        <is>
          <t>Live test 2026-09-08: format=csv returns content-type text/csv (same filtered query as the JSON request).</t>
        </is>
      </c>
    </row>
    <row r="110" ht="27.6" customHeight="1">
      <c r="A110" s="3" t="inlineStr">
        <is>
          <t>AC-005-001-01</t>
        </is>
      </c>
      <c r="B110" s="3" t="inlineStr">
        <is>
          <t>US-005-001</t>
        </is>
      </c>
      <c r="C110" s="3" t="inlineStr">
        <is>
          <t>EP-005</t>
        </is>
      </c>
      <c r="D110" s="3" t="inlineStr">
        <is>
          <t>Task requires a title.</t>
        </is>
      </c>
      <c r="E110" s="3" t="n"/>
      <c r="F110" s="3" t="inlineStr">
        <is>
          <t>Pass</t>
        </is>
      </c>
      <c r="G110" s="3" t="n"/>
      <c r="H110" s="3" t="n"/>
      <c r="I110" s="3" t="inlineStr">
        <is>
          <t>Claude (AI Engineer)</t>
        </is>
      </c>
      <c r="J110" s="3" t="inlineStr">
        <is>
          <t>SIT</t>
        </is>
      </c>
      <c r="K110" s="3" t="inlineStr">
        <is>
          <t>Live test 2026-09-08: POST /tasks with empty title -&gt; 400.</t>
        </is>
      </c>
    </row>
    <row r="111" ht="27.6" customHeight="1">
      <c r="A111" s="3" t="inlineStr">
        <is>
          <t>AC-005-001-02</t>
        </is>
      </c>
      <c r="B111" s="3" t="inlineStr">
        <is>
          <t>US-005-001</t>
        </is>
      </c>
      <c r="C111" s="3" t="inlineStr">
        <is>
          <t>EP-005</t>
        </is>
      </c>
      <c r="D111" s="3" t="inlineStr">
        <is>
          <t>Task may include description, priority, due date and estimated time.</t>
        </is>
      </c>
      <c r="E111" s="3" t="n"/>
      <c r="F111" s="3" t="inlineStr">
        <is>
          <t>Pass</t>
        </is>
      </c>
      <c r="G111" s="3" t="n"/>
      <c r="H111" s="3" t="n"/>
      <c r="I111" s="3" t="inlineStr">
        <is>
          <t>Claude (AI Engineer)</t>
        </is>
      </c>
      <c r="J111" s="3" t="inlineStr">
        <is>
          <t>SIT</t>
        </is>
      </c>
      <c r="K111" s="3" t="inlineStr">
        <is>
          <t>Live test 2026-09-08: POST /tasks with description/priority/dueDate/estimatedMinutes -&gt; 201, all fields persisted exactly.</t>
        </is>
      </c>
    </row>
    <row r="112" ht="27.6" customHeight="1">
      <c r="A112" s="3" t="inlineStr">
        <is>
          <t>AC-005-001-03</t>
        </is>
      </c>
      <c r="B112" s="3" t="inlineStr">
        <is>
          <t>US-005-001</t>
        </is>
      </c>
      <c r="C112" s="3" t="inlineStr">
        <is>
          <t>EP-005</t>
        </is>
      </c>
      <c r="D112" s="3" t="inlineStr">
        <is>
          <t>New task receives a unique ID.</t>
        </is>
      </c>
      <c r="E112" s="3" t="n"/>
      <c r="F112" s="3" t="inlineStr">
        <is>
          <t>Pass</t>
        </is>
      </c>
      <c r="G112" s="3" t="n"/>
      <c r="H112" s="3" t="n"/>
      <c r="I112" s="3" t="inlineStr">
        <is>
          <t>Claude (AI Engineer)</t>
        </is>
      </c>
      <c r="J112" s="3" t="inlineStr">
        <is>
          <t>SIT</t>
        </is>
      </c>
      <c r="K112" s="3" t="inlineStr">
        <is>
          <t>Live test 2026-09-08: new task returns a real UUID id.</t>
        </is>
      </c>
    </row>
    <row r="113" ht="27.6" customHeight="1">
      <c r="A113" s="3" t="inlineStr">
        <is>
          <t>AC-005-001-04</t>
        </is>
      </c>
      <c r="B113" s="3" t="inlineStr">
        <is>
          <t>US-005-001</t>
        </is>
      </c>
      <c r="C113" s="3" t="inlineStr">
        <is>
          <t>EP-005</t>
        </is>
      </c>
      <c r="D113" s="3" t="inlineStr">
        <is>
          <t>Creation is audited.</t>
        </is>
      </c>
      <c r="E113" s="3" t="n"/>
      <c r="F113" s="3" t="inlineStr">
        <is>
          <t>Pass</t>
        </is>
      </c>
      <c r="G113" s="3" t="n"/>
      <c r="H113" s="3" t="n"/>
      <c r="I113" s="3" t="inlineStr">
        <is>
          <t>Claude (AI Engineer)</t>
        </is>
      </c>
      <c r="J113" s="3" t="inlineStr">
        <is>
          <t>SIT</t>
        </is>
      </c>
      <c r="K113" s="3" t="inlineStr">
        <is>
          <t>Live test 2026-09-08: GET /audit contains TASK_CREATED for the new task.</t>
        </is>
      </c>
    </row>
    <row r="114" ht="27.6" customHeight="1">
      <c r="A114" s="3" t="inlineStr">
        <is>
          <t>AC-005-002-01</t>
        </is>
      </c>
      <c r="B114" s="3" t="inlineStr">
        <is>
          <t>US-005-002</t>
        </is>
      </c>
      <c r="C114" s="3" t="inlineStr">
        <is>
          <t>EP-005</t>
        </is>
      </c>
      <c r="D114" s="3" t="inlineStr">
        <is>
          <t>Organisation setting controls whether employees may create tasks.</t>
        </is>
      </c>
      <c r="E114" s="3" t="n"/>
      <c r="F114" s="3" t="inlineStr">
        <is>
          <t>Pass</t>
        </is>
      </c>
      <c r="G114" s="3" t="n"/>
      <c r="H114" s="3" t="n"/>
      <c r="I114" s="3" t="inlineStr">
        <is>
          <t>Claude (AI Engineer)</t>
        </is>
      </c>
      <c r="J114" s="3" t="inlineStr">
        <is>
          <t>SIT</t>
        </is>
      </c>
      <c r="K114" s="3" t="inlineStr">
        <is>
          <t>Live test 2026-09-08: with employeesCanCreateTasks=false, employee POST /tasks -&gt; 403; restored the original setting value afterward.</t>
        </is>
      </c>
    </row>
    <row r="115" ht="27.6" customHeight="1">
      <c r="A115" s="3" t="inlineStr">
        <is>
          <t>AC-005-002-02</t>
        </is>
      </c>
      <c r="B115" s="3" t="inlineStr">
        <is>
          <t>US-005-002</t>
        </is>
      </c>
      <c r="C115" s="3" t="inlineStr">
        <is>
          <t>EP-005</t>
        </is>
      </c>
      <c r="D115" s="3" t="inlineStr">
        <is>
          <t>Employee-created task defaults to that employee unless reassigned by admin.</t>
        </is>
      </c>
      <c r="E115" s="3" t="n"/>
      <c r="F115" s="3" t="inlineStr">
        <is>
          <t>Pass</t>
        </is>
      </c>
      <c r="G115" s="3" t="n"/>
      <c r="H115" s="3" t="n"/>
      <c r="I115" s="3" t="inlineStr">
        <is>
          <t>Claude (AI Engineer)</t>
        </is>
      </c>
      <c r="J115" s="3" t="inlineStr">
        <is>
          <t>SIT</t>
        </is>
      </c>
      <c r="K115" s="3" t="inlineStr">
        <is>
          <t>Live test 2026-09-08: employee POST /tasks with no assigneeId -&gt; defaults to themself.</t>
        </is>
      </c>
    </row>
    <row r="116" ht="27.6" customHeight="1">
      <c r="A116" s="3" t="inlineStr">
        <is>
          <t>AC-005-002-03</t>
        </is>
      </c>
      <c r="B116" s="3" t="inlineStr">
        <is>
          <t>US-005-002</t>
        </is>
      </c>
      <c r="C116" s="3" t="inlineStr">
        <is>
          <t>EP-005</t>
        </is>
      </c>
      <c r="D116" s="3" t="inlineStr">
        <is>
          <t>Required task fields are validated.</t>
        </is>
      </c>
      <c r="E116" s="3" t="n"/>
      <c r="F116" s="3" t="inlineStr">
        <is>
          <t>Pass</t>
        </is>
      </c>
      <c r="G116" s="3" t="n"/>
      <c r="H116" s="3" t="n"/>
      <c r="I116" s="3" t="inlineStr">
        <is>
          <t>Claude (AI Engineer)</t>
        </is>
      </c>
      <c r="J116" s="3" t="inlineStr">
        <is>
          <t>SIT</t>
        </is>
      </c>
      <c r="K116" s="3" t="inlineStr">
        <is>
          <t>Live test 2026-09-08: employee POST /tasks with no title -&gt; 400 (same validation as admin-created tasks).</t>
        </is>
      </c>
    </row>
    <row r="117" ht="27.6" customHeight="1">
      <c r="A117" s="3" t="inlineStr">
        <is>
          <t>AC-005-002-04</t>
        </is>
      </c>
      <c r="B117" s="3" t="inlineStr">
        <is>
          <t>US-005-002</t>
        </is>
      </c>
      <c r="C117" s="3" t="inlineStr">
        <is>
          <t>EP-005</t>
        </is>
      </c>
      <c r="D117" s="3" t="inlineStr">
        <is>
          <t>Created task is immediately available for timer start.</t>
        </is>
      </c>
      <c r="E117" s="3" t="n"/>
      <c r="F117" s="3" t="inlineStr">
        <is>
          <t>Pass</t>
        </is>
      </c>
      <c r="G117" s="3" t="n"/>
      <c r="H117" s="3" t="n"/>
      <c r="I117" s="3" t="inlineStr">
        <is>
          <t>Claude (AI Engineer)</t>
        </is>
      </c>
      <c r="J117" s="3" t="inlineStr">
        <is>
          <t>SIT</t>
        </is>
      </c>
      <c r="K117" s="3" t="inlineStr">
        <is>
          <t>Live test 2026-09-08: POST /task-timers/start on the just-created task succeeded immediately (201), no propagation delay.</t>
        </is>
      </c>
    </row>
    <row r="118" ht="27.6" customHeight="1">
      <c r="A118" s="3" t="inlineStr">
        <is>
          <t>AC-005-003-01</t>
        </is>
      </c>
      <c r="B118" s="3" t="inlineStr">
        <is>
          <t>US-005-003</t>
        </is>
      </c>
      <c r="C118" s="3" t="inlineStr">
        <is>
          <t>EP-005</t>
        </is>
      </c>
      <c r="D118" s="3" t="inlineStr">
        <is>
          <t>Task can be assigned to an Active user.</t>
        </is>
      </c>
      <c r="E118" s="3" t="n"/>
      <c r="F118" s="3" t="inlineStr">
        <is>
          <t>Pass</t>
        </is>
      </c>
      <c r="G118" s="3" t="n"/>
      <c r="H118" s="3" t="n"/>
      <c r="I118" s="3" t="inlineStr">
        <is>
          <t>Claude (AI Engineer)</t>
        </is>
      </c>
      <c r="J118" s="3" t="inlineStr">
        <is>
          <t>SIT</t>
        </is>
      </c>
      <c r="K118" s="3" t="inlineStr">
        <is>
          <t>Live test 2026-09-08: task creation with assigneeId set to an ACTIVE user succeeded.</t>
        </is>
      </c>
    </row>
    <row r="119" ht="27.6" customHeight="1">
      <c r="A119" s="3" t="inlineStr">
        <is>
          <t>AC-005-003-02</t>
        </is>
      </c>
      <c r="B119" s="3" t="inlineStr">
        <is>
          <t>US-005-003</t>
        </is>
      </c>
      <c r="C119" s="3" t="inlineStr">
        <is>
          <t>EP-005</t>
        </is>
      </c>
      <c r="D119" s="3" t="inlineStr">
        <is>
          <t>Assignment is visible to the assignee.</t>
        </is>
      </c>
      <c r="E119" s="3" t="n"/>
      <c r="F119" s="3" t="inlineStr">
        <is>
          <t>Pass</t>
        </is>
      </c>
      <c r="G119" s="3" t="n"/>
      <c r="H119" s="3" t="n"/>
      <c r="I119" s="3" t="inlineStr">
        <is>
          <t>Claude (AI Engineer)</t>
        </is>
      </c>
      <c r="J119" s="3" t="inlineStr">
        <is>
          <t>SIT</t>
        </is>
      </c>
      <c r="K119" s="3" t="inlineStr">
        <is>
          <t>Live test 2026-09-08: the assignee can GET /tasks/:id for a task assigned to them.</t>
        </is>
      </c>
    </row>
    <row r="120" ht="27.6" customHeight="1">
      <c r="A120" s="3" t="inlineStr">
        <is>
          <t>AC-005-003-03</t>
        </is>
      </c>
      <c r="B120" s="3" t="inlineStr">
        <is>
          <t>US-005-003</t>
        </is>
      </c>
      <c r="C120" s="3" t="inlineStr">
        <is>
          <t>EP-005</t>
        </is>
      </c>
      <c r="D120" s="3" t="inlineStr">
        <is>
          <t>Reassignment does not change historical task time ownership.</t>
        </is>
      </c>
      <c r="E120" s="3" t="n"/>
      <c r="F120" s="3" t="inlineStr">
        <is>
          <t>Pass</t>
        </is>
      </c>
      <c r="G120" s="3" t="n"/>
      <c r="H120" s="3" t="n"/>
      <c r="I120" s="3" t="inlineStr">
        <is>
          <t>Claude (AI Engineer)</t>
        </is>
      </c>
      <c r="J120" s="3" t="inlineStr">
        <is>
          <t>SIT</t>
        </is>
      </c>
      <c r="K120" s="3" t="inlineStr">
        <is>
          <t>Structural: TaskTimeEntry rows reference the user who actually ran the timer (userId), not the task's current assigneeId - reassigning a task after time was logged does not retroactively change who owns that historical time entry.</t>
        </is>
      </c>
    </row>
    <row r="121" ht="27.6" customHeight="1">
      <c r="A121" s="3" t="inlineStr">
        <is>
          <t>AC-005-003-04</t>
        </is>
      </c>
      <c r="B121" s="3" t="inlineStr">
        <is>
          <t>US-005-003</t>
        </is>
      </c>
      <c r="C121" s="3" t="inlineStr">
        <is>
          <t>EP-005</t>
        </is>
      </c>
      <c r="D121" s="3" t="inlineStr">
        <is>
          <t>Assignment change can trigger notification.</t>
        </is>
      </c>
      <c r="E121" s="3" t="n"/>
      <c r="F121" s="3" t="inlineStr">
        <is>
          <t>Pass</t>
        </is>
      </c>
      <c r="G121" s="3" t="n"/>
      <c r="H121" s="3" t="n"/>
      <c r="I121" s="3" t="inlineStr">
        <is>
          <t>Claude (AI Engineer)</t>
        </is>
      </c>
      <c r="J121" s="3" t="inlineStr">
        <is>
          <t>SIT</t>
        </is>
      </c>
      <c r="K121" s="3" t="inlineStr">
        <is>
          <t>PASS - was Blocked pending EP-011 (Notifications), which is now built. Live test confirmed: reassigning a task to a different employee creates a real TASK_ASSIGNED notification for the new assignee (same evidence as AC-011-001-01/04). No longer blocked.</t>
        </is>
      </c>
    </row>
    <row r="122" ht="27.6" customHeight="1">
      <c r="A122" s="3" t="inlineStr">
        <is>
          <t>AC-005-004-01</t>
        </is>
      </c>
      <c r="B122" s="3" t="inlineStr">
        <is>
          <t>US-005-004</t>
        </is>
      </c>
      <c r="C122" s="3" t="inlineStr">
        <is>
          <t>EP-005</t>
        </is>
      </c>
      <c r="D122" s="3" t="inlineStr">
        <is>
          <t>Priority supports at least Low, Medium, High and Critical.</t>
        </is>
      </c>
      <c r="E122" s="3" t="n"/>
      <c r="F122" s="3" t="inlineStr">
        <is>
          <t>Pass</t>
        </is>
      </c>
      <c r="G122" s="3" t="n"/>
      <c r="H122" s="3" t="n"/>
      <c r="I122" s="3" t="inlineStr">
        <is>
          <t>Claude (AI Engineer)</t>
        </is>
      </c>
      <c r="J122" s="3" t="inlineStr">
        <is>
          <t>SIT</t>
        </is>
      </c>
      <c r="K122" s="3" t="inlineStr">
        <is>
          <t>TaskPriority enum defines LOW, MEDIUM, HIGH, CRITICAL.</t>
        </is>
      </c>
    </row>
    <row r="123" ht="27.6" customHeight="1">
      <c r="A123" s="3" t="inlineStr">
        <is>
          <t>AC-005-004-02</t>
        </is>
      </c>
      <c r="B123" s="3" t="inlineStr">
        <is>
          <t>US-005-004</t>
        </is>
      </c>
      <c r="C123" s="3" t="inlineStr">
        <is>
          <t>EP-005</t>
        </is>
      </c>
      <c r="D123" s="3" t="inlineStr">
        <is>
          <t>Priority is visible in task list/detail.</t>
        </is>
      </c>
      <c r="E123" s="3" t="n"/>
      <c r="F123" s="3" t="inlineStr">
        <is>
          <t>Pass</t>
        </is>
      </c>
      <c r="G123" s="3" t="n"/>
      <c r="H123" s="3" t="n"/>
      <c r="I123" s="3" t="inlineStr">
        <is>
          <t>Claude (AI Engineer)</t>
        </is>
      </c>
      <c r="J123" s="3" t="inlineStr">
        <is>
          <t>SIT</t>
        </is>
      </c>
      <c r="K123" s="3" t="inlineStr">
        <is>
          <t>Live test 2026-09-08: task detail includes priority.</t>
        </is>
      </c>
    </row>
    <row r="124" ht="27.6" customHeight="1">
      <c r="A124" s="3" t="inlineStr">
        <is>
          <t>AC-005-004-03</t>
        </is>
      </c>
      <c r="B124" s="3" t="inlineStr">
        <is>
          <t>US-005-004</t>
        </is>
      </c>
      <c r="C124" s="3" t="inlineStr">
        <is>
          <t>EP-005</t>
        </is>
      </c>
      <c r="D124" s="3" t="inlineStr">
        <is>
          <t>Task list can filter/sort by priority.</t>
        </is>
      </c>
      <c r="E124" s="3" t="n"/>
      <c r="F124" s="3" t="inlineStr">
        <is>
          <t>Pass</t>
        </is>
      </c>
      <c r="G124" s="3" t="n"/>
      <c r="H124" s="3" t="n"/>
      <c r="I124" s="3" t="inlineStr">
        <is>
          <t>Claude (AI Engineer)</t>
        </is>
      </c>
      <c r="J124" s="3" t="inlineStr">
        <is>
          <t>SIT</t>
        </is>
      </c>
      <c r="K124" s="3" t="inlineStr">
        <is>
          <t>Live test 2026-09-08: GET /tasks?priority=HIGH returns only HIGH-priority tasks.</t>
        </is>
      </c>
    </row>
    <row r="125" ht="27.6" customHeight="1">
      <c r="A125" s="3" t="inlineStr">
        <is>
          <t>AC-005-004-04</t>
        </is>
      </c>
      <c r="B125" s="3" t="inlineStr">
        <is>
          <t>US-005-004</t>
        </is>
      </c>
      <c r="C125" s="3" t="inlineStr">
        <is>
          <t>EP-005</t>
        </is>
      </c>
      <c r="D125" s="3" t="inlineStr">
        <is>
          <t>Priority changes are audited.</t>
        </is>
      </c>
      <c r="E125" s="3" t="n"/>
      <c r="F125" s="3" t="inlineStr">
        <is>
          <t>Pass</t>
        </is>
      </c>
      <c r="G125" s="3" t="n"/>
      <c r="H125" s="3" t="n"/>
      <c r="I125" s="3" t="inlineStr">
        <is>
          <t>Claude (AI Engineer)</t>
        </is>
      </c>
      <c r="J125" s="3" t="inlineStr">
        <is>
          <t>SIT</t>
        </is>
      </c>
      <c r="K125" s="3" t="inlineStr">
        <is>
          <t>Live test 2026-09-08: PATCH priority -&gt; audit log TASK_UPDATED entry with after.priority=CRITICAL confirmed.</t>
        </is>
      </c>
    </row>
    <row r="126" ht="27.6" customHeight="1">
      <c r="A126" s="3" t="inlineStr">
        <is>
          <t>AC-005-005-01</t>
        </is>
      </c>
      <c r="B126" s="3" t="inlineStr">
        <is>
          <t>US-005-005</t>
        </is>
      </c>
      <c r="C126" s="3" t="inlineStr">
        <is>
          <t>EP-005</t>
        </is>
      </c>
      <c r="D126" s="3" t="inlineStr">
        <is>
          <t>Estimated duration accepts positive time values.</t>
        </is>
      </c>
      <c r="E126" s="3" t="n"/>
      <c r="F126" s="3" t="inlineStr">
        <is>
          <t>Pass</t>
        </is>
      </c>
      <c r="G126" s="3" t="n"/>
      <c r="H126" s="3" t="n"/>
      <c r="I126" s="3" t="inlineStr">
        <is>
          <t>Claude (AI Engineer)</t>
        </is>
      </c>
      <c r="J126" s="3" t="inlineStr">
        <is>
          <t>SIT</t>
        </is>
      </c>
      <c r="K126" s="3" t="inlineStr">
        <is>
          <t>Live test 2026-09-08: POST /tasks with estimatedMinutes=-10 -&gt; 400 "Number must be greater than 0".</t>
        </is>
      </c>
    </row>
    <row r="127" ht="27.6" customHeight="1">
      <c r="A127" s="3" t="inlineStr">
        <is>
          <t>AC-005-005-02</t>
        </is>
      </c>
      <c r="B127" s="3" t="inlineStr">
        <is>
          <t>US-005-005</t>
        </is>
      </c>
      <c r="C127" s="3" t="inlineStr">
        <is>
          <t>EP-005</t>
        </is>
      </c>
      <c r="D127" s="3" t="inlineStr">
        <is>
          <t>Estimate is optional.</t>
        </is>
      </c>
      <c r="E127" s="3" t="n"/>
      <c r="F127" s="3" t="inlineStr">
        <is>
          <t>Pass</t>
        </is>
      </c>
      <c r="G127" s="3" t="n"/>
      <c r="H127" s="3" t="n"/>
      <c r="I127" s="3" t="inlineStr">
        <is>
          <t>Claude (AI Engineer)</t>
        </is>
      </c>
      <c r="J127" s="3" t="inlineStr">
        <is>
          <t>SIT</t>
        </is>
      </c>
      <c r="K127" s="3" t="inlineStr">
        <is>
          <t>Live test 2026-09-08: POST /tasks with no estimatedMinutes -&gt; 201, field is null, not required.</t>
        </is>
      </c>
    </row>
    <row r="128" ht="27.6" customHeight="1">
      <c r="A128" s="3" t="inlineStr">
        <is>
          <t>AC-005-005-03</t>
        </is>
      </c>
      <c r="B128" s="3" t="inlineStr">
        <is>
          <t>US-005-005</t>
        </is>
      </c>
      <c r="C128" s="3" t="inlineStr">
        <is>
          <t>EP-005</t>
        </is>
      </c>
      <c r="D128" s="3" t="inlineStr">
        <is>
          <t>Actual time is calculated from recorded task time entries.</t>
        </is>
      </c>
      <c r="E128" s="3" t="n"/>
      <c r="F128" s="3" t="inlineStr">
        <is>
          <t>Pass</t>
        </is>
      </c>
      <c r="G128" s="3" t="n"/>
      <c r="H128" s="3" t="n"/>
      <c r="I128" s="3" t="inlineStr">
        <is>
          <t>Claude (AI Engineer)</t>
        </is>
      </c>
      <c r="J128" s="3" t="inlineStr">
        <is>
          <t>SIT</t>
        </is>
      </c>
      <c r="K128" s="3" t="inlineStr">
        <is>
          <t>Code-verified: TasksService.getActualMinutes() always derives from real TaskTimeEntry rows, never a stored/directly-editable field.</t>
        </is>
      </c>
    </row>
    <row r="129" ht="27.6" customHeight="1">
      <c r="A129" s="3" t="inlineStr">
        <is>
          <t>AC-005-005-04</t>
        </is>
      </c>
      <c r="B129" s="3" t="inlineStr">
        <is>
          <t>US-005-005</t>
        </is>
      </c>
      <c r="C129" s="3" t="inlineStr">
        <is>
          <t>EP-005</t>
        </is>
      </c>
      <c r="D129" s="3" t="inlineStr">
        <is>
          <t>Task detail shows estimate versus actual when estimate exists.</t>
        </is>
      </c>
      <c r="E129" s="3" t="n"/>
      <c r="F129" s="3" t="inlineStr">
        <is>
          <t>Pass</t>
        </is>
      </c>
      <c r="G129" s="3" t="n"/>
      <c r="H129" s="3" t="n"/>
      <c r="I129" s="3" t="inlineStr">
        <is>
          <t>Claude (AI Engineer)</t>
        </is>
      </c>
      <c r="J129" s="3" t="inlineStr">
        <is>
          <t>SIT</t>
        </is>
      </c>
      <c r="K129" s="3" t="inlineStr">
        <is>
          <t>Task detail includes estimatedMinutes when set; frontend task detail page shows estimate vs. actual side by side.</t>
        </is>
      </c>
    </row>
    <row r="130" ht="27.6" customHeight="1">
      <c r="A130" s="3" t="inlineStr">
        <is>
          <t>AC-005-006-01</t>
        </is>
      </c>
      <c r="B130" s="3" t="inlineStr">
        <is>
          <t>US-005-006</t>
        </is>
      </c>
      <c r="C130" s="3" t="inlineStr">
        <is>
          <t>EP-005</t>
        </is>
      </c>
      <c r="D130" s="3" t="inlineStr">
        <is>
          <t>Status supports To Do, In Progress, Paused, Completed and Cancelled.</t>
        </is>
      </c>
      <c r="E130" s="3" t="n"/>
      <c r="F130" s="3" t="inlineStr">
        <is>
          <t>Pass</t>
        </is>
      </c>
      <c r="G130" s="3" t="n"/>
      <c r="H130" s="3" t="n"/>
      <c r="I130" s="3" t="inlineStr">
        <is>
          <t>Claude (AI Engineer)</t>
        </is>
      </c>
      <c r="J130" s="3" t="inlineStr">
        <is>
          <t>SIT</t>
        </is>
      </c>
      <c r="K130" s="3" t="inlineStr">
        <is>
          <t>TaskStatus enum defines TO_DO, IN_PROGRESS, PAUSED, COMPLETED, CANCELLED.</t>
        </is>
      </c>
    </row>
    <row r="131" ht="27.6" customHeight="1">
      <c r="A131" s="3" t="inlineStr">
        <is>
          <t>AC-005-006-02</t>
        </is>
      </c>
      <c r="B131" s="3" t="inlineStr">
        <is>
          <t>US-005-006</t>
        </is>
      </c>
      <c r="C131" s="3" t="inlineStr">
        <is>
          <t>EP-005</t>
        </is>
      </c>
      <c r="D131" s="3" t="inlineStr">
        <is>
          <t>Completed/Cancelled tasks cannot start new timers unless reopened by permitted user.</t>
        </is>
      </c>
      <c r="E131" s="3" t="n"/>
      <c r="F131" s="3" t="inlineStr">
        <is>
          <t>Pass</t>
        </is>
      </c>
      <c r="G131" s="3" t="n"/>
      <c r="H131" s="3" t="n"/>
      <c r="I131" s="3" t="inlineStr">
        <is>
          <t>Claude (AI Engineer)</t>
        </is>
      </c>
      <c r="J131" s="3" t="inlineStr">
        <is>
          <t>SIT</t>
        </is>
      </c>
      <c r="K131" s="3" t="inlineStr">
        <is>
          <t>Live test 2026-09-08 (redone properly after an initial test-design flaw where the task wasn't actually assigned to the tester): task genuinely assigned to the employee, cancelled by admin, employee's timer-start attempt -&gt; 400 "This task is completed or cancelled and cannot be timed" - the correct, specific block.</t>
        </is>
      </c>
    </row>
    <row r="132" ht="27.6" customHeight="1">
      <c r="A132" s="3" t="inlineStr">
        <is>
          <t>AC-005-006-03</t>
        </is>
      </c>
      <c r="B132" s="3" t="inlineStr">
        <is>
          <t>US-005-006</t>
        </is>
      </c>
      <c r="C132" s="3" t="inlineStr">
        <is>
          <t>EP-005</t>
        </is>
      </c>
      <c r="D132" s="3" t="inlineStr">
        <is>
          <t>Starting a timer may automatically set task to In Progress.</t>
        </is>
      </c>
      <c r="E132" s="3" t="n"/>
      <c r="F132" s="3" t="inlineStr">
        <is>
          <t>Pass</t>
        </is>
      </c>
      <c r="G132" s="3" t="n"/>
      <c r="H132" s="3" t="n"/>
      <c r="I132" s="3" t="inlineStr">
        <is>
          <t>Claude (AI Engineer)</t>
        </is>
      </c>
      <c r="J132" s="3" t="inlineStr">
        <is>
          <t>SIT</t>
        </is>
      </c>
      <c r="K132" s="3" t="inlineStr">
        <is>
          <t>Live test 2026-09-08: a TO_DO task's status becomes IN_PROGRESS immediately after starting its timer, with no explicit status PATCH.</t>
        </is>
      </c>
    </row>
    <row r="133" ht="27.6" customHeight="1">
      <c r="A133" s="3" t="inlineStr">
        <is>
          <t>AC-005-006-04</t>
        </is>
      </c>
      <c r="B133" s="3" t="inlineStr">
        <is>
          <t>US-005-006</t>
        </is>
      </c>
      <c r="C133" s="3" t="inlineStr">
        <is>
          <t>EP-005</t>
        </is>
      </c>
      <c r="D133" s="3" t="inlineStr">
        <is>
          <t>Status changes are auditable.</t>
        </is>
      </c>
      <c r="E133" s="3" t="n"/>
      <c r="F133" s="3" t="inlineStr">
        <is>
          <t>Pass</t>
        </is>
      </c>
      <c r="G133" s="3" t="n"/>
      <c r="H133" s="3" t="n"/>
      <c r="I133" s="3" t="inlineStr">
        <is>
          <t>Claude (AI Engineer)</t>
        </is>
      </c>
      <c r="J133" s="3" t="inlineStr">
        <is>
          <t>SIT</t>
        </is>
      </c>
      <c r="K133" s="3" t="inlineStr">
        <is>
          <t>FIXED 2026-09-08: found the automatic TO_DO-&gt;IN_PROGRESS transition (via timer start/switch) was never audited - TaskTimerService had no AuditService at all, unlike the equivalent explicit-PATCH path. Fixed (commit 9ef0b74), re-verified live post-deploy: a real TASK_STATUS_CHANGED entry now appears with trigger=timer_start metadata.</t>
        </is>
      </c>
    </row>
    <row r="134" ht="27.6" customHeight="1">
      <c r="A134" s="3" t="inlineStr">
        <is>
          <t>AC-005-007-01</t>
        </is>
      </c>
      <c r="B134" s="3" t="inlineStr">
        <is>
          <t>US-005-007</t>
        </is>
      </c>
      <c r="C134" s="3" t="inlineStr">
        <is>
          <t>EP-005</t>
        </is>
      </c>
      <c r="D134" s="3" t="inlineStr">
        <is>
          <t>Active timer for the task must be stopped before completion.</t>
        </is>
      </c>
      <c r="E134" s="3" t="n"/>
      <c r="F134" s="3" t="inlineStr">
        <is>
          <t>Pass</t>
        </is>
      </c>
      <c r="G134" s="3" t="n"/>
      <c r="H134" s="3" t="n"/>
      <c r="I134" s="3" t="inlineStr">
        <is>
          <t>Claude (AI Engineer)</t>
        </is>
      </c>
      <c r="J134" s="3" t="inlineStr">
        <is>
          <t>SIT</t>
        </is>
      </c>
      <c r="K134" s="3" t="inlineStr">
        <is>
          <t>Live test 2026-09-08: PATCH status=COMPLETED while the task's timer is still RUNNING -&gt; 400 "Stop the active timer on this task before completing it".</t>
        </is>
      </c>
    </row>
    <row r="135" ht="27.6" customHeight="1">
      <c r="A135" s="3" t="inlineStr">
        <is>
          <t>AC-005-007-02</t>
        </is>
      </c>
      <c r="B135" s="3" t="inlineStr">
        <is>
          <t>US-005-007</t>
        </is>
      </c>
      <c r="C135" s="3" t="inlineStr">
        <is>
          <t>EP-005</t>
        </is>
      </c>
      <c r="D135" s="3" t="inlineStr">
        <is>
          <t>Completion timestamp is recorded.</t>
        </is>
      </c>
      <c r="E135" s="3" t="n"/>
      <c r="F135" s="3" t="inlineStr">
        <is>
          <t>Pass</t>
        </is>
      </c>
      <c r="G135" s="3" t="n"/>
      <c r="H135" s="3" t="n"/>
      <c r="I135" s="3" t="inlineStr">
        <is>
          <t>Claude (AI Engineer)</t>
        </is>
      </c>
      <c r="J135" s="3" t="inlineStr">
        <is>
          <t>SIT</t>
        </is>
      </c>
      <c r="K135" s="3" t="inlineStr">
        <is>
          <t>Live test 2026-09-08: completedAt is set to a real server timestamp on successful completion.</t>
        </is>
      </c>
    </row>
    <row r="136" ht="27.6" customHeight="1">
      <c r="A136" s="3" t="inlineStr">
        <is>
          <t>AC-005-007-03</t>
        </is>
      </c>
      <c r="B136" s="3" t="inlineStr">
        <is>
          <t>US-005-007</t>
        </is>
      </c>
      <c r="C136" s="3" t="inlineStr">
        <is>
          <t>EP-005</t>
        </is>
      </c>
      <c r="D136" s="3" t="inlineStr">
        <is>
          <t>Task detail shows total actual time.</t>
        </is>
      </c>
      <c r="E136" s="3" t="n"/>
      <c r="F136" s="3" t="inlineStr">
        <is>
          <t>Pass</t>
        </is>
      </c>
      <c r="G136" s="3" t="n"/>
      <c r="H136" s="3" t="n"/>
      <c r="I136" s="3" t="inlineStr">
        <is>
          <t>Claude (AI Engineer)</t>
        </is>
      </c>
      <c r="J136" s="3" t="inlineStr">
        <is>
          <t>SIT</t>
        </is>
      </c>
      <c r="K136" s="3" t="inlineStr">
        <is>
          <t>Task detail remains fully fetchable after completion; actual time derives from the same always-live getActualMinutes() path.</t>
        </is>
      </c>
    </row>
    <row r="137" ht="27.6" customHeight="1">
      <c r="A137" s="3" t="inlineStr">
        <is>
          <t>AC-005-007-04</t>
        </is>
      </c>
      <c r="B137" s="3" t="inlineStr">
        <is>
          <t>US-005-007</t>
        </is>
      </c>
      <c r="C137" s="3" t="inlineStr">
        <is>
          <t>EP-005</t>
        </is>
      </c>
      <c r="D137" s="3" t="inlineStr">
        <is>
          <t>Completed task remains in historical reports.</t>
        </is>
      </c>
      <c r="E137" s="3" t="n"/>
      <c r="F137" s="3" t="inlineStr">
        <is>
          <t>Pass</t>
        </is>
      </c>
      <c r="G137" s="3" t="n"/>
      <c r="H137" s="3" t="n"/>
      <c r="I137" s="3" t="inlineStr">
        <is>
          <t>Claude (AI Engineer)</t>
        </is>
      </c>
      <c r="J137" s="3" t="inlineStr">
        <is>
          <t>SIT</t>
        </is>
      </c>
      <c r="K137" s="3" t="inlineStr">
        <is>
          <t>Structural: completion only changes Task.status - the row is never deleted, so it remains queryable by every report/history endpoint indefinitely.</t>
        </is>
      </c>
    </row>
    <row r="138" ht="27.6" customHeight="1">
      <c r="A138" s="3" t="inlineStr">
        <is>
          <t>AC-005-008-01</t>
        </is>
      </c>
      <c r="B138" s="3" t="inlineStr">
        <is>
          <t>US-005-008</t>
        </is>
      </c>
      <c r="C138" s="3" t="inlineStr">
        <is>
          <t>EP-005</t>
        </is>
      </c>
      <c r="D138" s="3" t="inlineStr">
        <is>
          <t>List defaults to active tasks assigned to user.</t>
        </is>
      </c>
      <c r="E138" s="3" t="n"/>
      <c r="F138" s="3" t="inlineStr">
        <is>
          <t>Pass</t>
        </is>
      </c>
      <c r="G138" s="3" t="n"/>
      <c r="H138" s="3" t="n"/>
      <c r="I138" s="3" t="inlineStr">
        <is>
          <t>Claude (AI Engineer)</t>
        </is>
      </c>
      <c r="J138" s="3" t="inlineStr">
        <is>
          <t>SIT</t>
        </is>
      </c>
      <c r="K138" s="3" t="inlineStr">
        <is>
          <t>Live test 2026-09-08: GET /tasks (no filters) as employee excludes COMPLETED/CANCELLED by default.</t>
        </is>
      </c>
    </row>
    <row r="139" ht="27.6" customHeight="1">
      <c r="A139" s="3" t="inlineStr">
        <is>
          <t>AC-005-008-02</t>
        </is>
      </c>
      <c r="B139" s="3" t="inlineStr">
        <is>
          <t>US-005-008</t>
        </is>
      </c>
      <c r="C139" s="3" t="inlineStr">
        <is>
          <t>EP-005</t>
        </is>
      </c>
      <c r="D139" s="3" t="inlineStr">
        <is>
          <t>User can filter by status and priority.</t>
        </is>
      </c>
      <c r="E139" s="3" t="n"/>
      <c r="F139" s="3" t="inlineStr">
        <is>
          <t>Pass</t>
        </is>
      </c>
      <c r="G139" s="3" t="n"/>
      <c r="H139" s="3" t="n"/>
      <c r="I139" s="3" t="inlineStr">
        <is>
          <t>Claude (AI Engineer)</t>
        </is>
      </c>
      <c r="J139" s="3" t="inlineStr">
        <is>
          <t>SIT</t>
        </is>
      </c>
      <c r="K139" s="3" t="inlineStr">
        <is>
          <t>Live test 2026-09-08: GET /tasks?status=CANCELLED returns only CANCELLED tasks.</t>
        </is>
      </c>
    </row>
    <row r="140" ht="27.6" customHeight="1">
      <c r="A140" s="3" t="inlineStr">
        <is>
          <t>AC-005-008-03</t>
        </is>
      </c>
      <c r="B140" s="3" t="inlineStr">
        <is>
          <t>US-005-008</t>
        </is>
      </c>
      <c r="C140" s="3" t="inlineStr">
        <is>
          <t>EP-005</t>
        </is>
      </c>
      <c r="D140" s="3" t="inlineStr">
        <is>
          <t>Task title, status, priority, due date and actual time are shown.</t>
        </is>
      </c>
      <c r="E140" s="3" t="n"/>
      <c r="F140" s="3" t="inlineStr">
        <is>
          <t>Pass</t>
        </is>
      </c>
      <c r="G140" s="3" t="n"/>
      <c r="H140" s="3" t="n"/>
      <c r="I140" s="3" t="inlineStr">
        <is>
          <t>Claude (AI Engineer)</t>
        </is>
      </c>
      <c r="J140" s="3" t="inlineStr">
        <is>
          <t>SIT</t>
        </is>
      </c>
      <c r="K140" s="3" t="inlineStr">
        <is>
          <t>Live test 2026-09-08: list rows include title, status, priority, dueDate, and support deriving actual time.</t>
        </is>
      </c>
    </row>
    <row r="141" ht="27.6" customHeight="1">
      <c r="A141" s="3" t="inlineStr">
        <is>
          <t>AC-005-008-04</t>
        </is>
      </c>
      <c r="B141" s="3" t="inlineStr">
        <is>
          <t>US-005-008</t>
        </is>
      </c>
      <c r="C141" s="3" t="inlineStr">
        <is>
          <t>EP-005</t>
        </is>
      </c>
      <c r="D141" s="3" t="inlineStr">
        <is>
          <t>Selecting a task opens task detail.</t>
        </is>
      </c>
      <c r="E141" s="3" t="n"/>
      <c r="F141" s="3" t="inlineStr">
        <is>
          <t>Pass</t>
        </is>
      </c>
      <c r="G141" s="3" t="n"/>
      <c r="H141" s="3" t="n"/>
      <c r="I141" s="3" t="inlineStr">
        <is>
          <t>Claude (AI Engineer)</t>
        </is>
      </c>
      <c r="J141" s="3" t="inlineStr">
        <is>
          <t>SIT</t>
        </is>
      </c>
      <c r="K141" s="3" t="inlineStr">
        <is>
          <t>Same GET /tasks/:id evidence as AC-005-003-02 - the list and detail views share the identical endpoint the frontend navigates to on selection.</t>
        </is>
      </c>
    </row>
    <row r="142" ht="27.6" customHeight="1">
      <c r="A142" s="3" t="inlineStr">
        <is>
          <t>AC-006-001-01</t>
        </is>
      </c>
      <c r="B142" s="3" t="inlineStr">
        <is>
          <t>US-006-001</t>
        </is>
      </c>
      <c r="C142" s="3" t="inlineStr">
        <is>
          <t>EP-006</t>
        </is>
      </c>
      <c r="D142" s="3" t="inlineStr">
        <is>
          <t>User must be clocked in and not on break.</t>
        </is>
      </c>
      <c r="E142" s="3" t="n"/>
      <c r="F142" s="3" t="inlineStr">
        <is>
          <t>Pass</t>
        </is>
      </c>
      <c r="G142" s="3" t="n"/>
      <c r="H142" s="3" t="n"/>
      <c r="I142" s="3" t="inlineStr">
        <is>
          <t>Claude (AI Engineer)</t>
        </is>
      </c>
      <c r="J142" s="3" t="inlineStr">
        <is>
          <t>SIT</t>
        </is>
      </c>
      <c r="K142" s="3" t="inlineStr">
        <is>
          <t>Live test 2026-09-08: timer start with no attendance session -&gt; 400; timer start while ON_BREAK -&gt; 400 "You must be clocked in and not on break".</t>
        </is>
      </c>
    </row>
    <row r="143" ht="27.6" customHeight="1">
      <c r="A143" s="3" t="inlineStr">
        <is>
          <t>AC-006-001-02</t>
        </is>
      </c>
      <c r="B143" s="3" t="inlineStr">
        <is>
          <t>US-006-001</t>
        </is>
      </c>
      <c r="C143" s="3" t="inlineStr">
        <is>
          <t>EP-006</t>
        </is>
      </c>
      <c r="D143" s="3" t="inlineStr">
        <is>
          <t>Task must be eligible for the user.</t>
        </is>
      </c>
      <c r="E143" s="3" t="n"/>
      <c r="F143" s="3" t="inlineStr">
        <is>
          <t>Pass</t>
        </is>
      </c>
      <c r="G143" s="3" t="n"/>
      <c r="H143" s="3" t="n"/>
      <c r="I143" s="3" t="inlineStr">
        <is>
          <t>Claude (AI Engineer)</t>
        </is>
      </c>
      <c r="J143" s="3" t="inlineStr">
        <is>
          <t>SIT</t>
        </is>
      </c>
      <c r="K143" s="3" t="inlineStr">
        <is>
          <t>Proven repeatedly across EP-005/EP-006 live tests: requireEligibleTask() blocks tasks not assigned to the caller and completed/cancelled tasks.</t>
        </is>
      </c>
    </row>
    <row r="144" ht="27.6" customHeight="1">
      <c r="A144" s="3" t="inlineStr">
        <is>
          <t>AC-006-001-03</t>
        </is>
      </c>
      <c r="B144" s="3" t="inlineStr">
        <is>
          <t>US-006-001</t>
        </is>
      </c>
      <c r="C144" s="3" t="inlineStr">
        <is>
          <t>EP-006</t>
        </is>
      </c>
      <c r="D144" s="3" t="inlineStr">
        <is>
          <t>Server timestamp is authoritative.</t>
        </is>
      </c>
      <c r="E144" s="3" t="n"/>
      <c r="F144" s="3" t="inlineStr">
        <is>
          <t>Pass</t>
        </is>
      </c>
      <c r="G144" s="3" t="n"/>
      <c r="H144" s="3" t="n"/>
      <c r="I144" s="3" t="inlineStr">
        <is>
          <t>Claude (AI Engineer)</t>
        </is>
      </c>
      <c r="J144" s="3" t="inlineStr">
        <is>
          <t>SIT</t>
        </is>
      </c>
      <c r="K144" s="3" t="inlineStr">
        <is>
          <t>Live test 2026-09-08: startAt is server-generated; the endpoint only accepts taskId in its body.</t>
        </is>
      </c>
    </row>
    <row r="145" ht="27.6" customHeight="1">
      <c r="A145" s="3" t="inlineStr">
        <is>
          <t>AC-006-001-04</t>
        </is>
      </c>
      <c r="B145" s="3" t="inlineStr">
        <is>
          <t>US-006-001</t>
        </is>
      </c>
      <c r="C145" s="3" t="inlineStr">
        <is>
          <t>EP-006</t>
        </is>
      </c>
      <c r="D145" s="3" t="inlineStr">
        <is>
          <t>Only one active task timer is allowed per user.</t>
        </is>
      </c>
      <c r="E145" s="3" t="n"/>
      <c r="F145" s="3" t="inlineStr">
        <is>
          <t>Pass</t>
        </is>
      </c>
      <c r="G145" s="3" t="n"/>
      <c r="H145" s="3" t="n"/>
      <c r="I145" s="3" t="inlineStr">
        <is>
          <t>Claude (AI Engineer)</t>
        </is>
      </c>
      <c r="J145" s="3" t="inlineStr">
        <is>
          <t>SIT</t>
        </is>
      </c>
      <c r="K145" s="3" t="inlineStr">
        <is>
          <t>Live test 2026-09-08: second timer-start attempt while one is running -&gt; 409.</t>
        </is>
      </c>
    </row>
    <row r="146" ht="27.6" customHeight="1">
      <c r="A146" s="3" t="inlineStr">
        <is>
          <t>AC-006-002-01</t>
        </is>
      </c>
      <c r="B146" s="3" t="inlineStr">
        <is>
          <t>US-006-002</t>
        </is>
      </c>
      <c r="C146" s="3" t="inlineStr">
        <is>
          <t>EP-006</t>
        </is>
      </c>
      <c r="D146" s="3" t="inlineStr">
        <is>
          <t>Active task name and elapsed time are visible on primary screens.</t>
        </is>
      </c>
      <c r="E146" s="3" t="n"/>
      <c r="F146" s="3" t="inlineStr">
        <is>
          <t>Pass</t>
        </is>
      </c>
      <c r="G146" s="3" t="n"/>
      <c r="H146" s="3" t="n"/>
      <c r="I146" s="3" t="inlineStr">
        <is>
          <t>Claude (AI Engineer)</t>
        </is>
      </c>
      <c r="J146" s="3" t="inlineStr">
        <is>
          <t>SIT</t>
        </is>
      </c>
      <c r="K146" s="3" t="inlineStr">
        <is>
          <t>Code-verified: GlobalTimerBar (shown on every logged-in page) renders the active task title and live elapsed duration.</t>
        </is>
      </c>
    </row>
    <row r="147" ht="27.6" customHeight="1">
      <c r="A147" s="3" t="inlineStr">
        <is>
          <t>AC-006-002-02</t>
        </is>
      </c>
      <c r="B147" s="3" t="inlineStr">
        <is>
          <t>US-006-002</t>
        </is>
      </c>
      <c r="C147" s="3" t="inlineStr">
        <is>
          <t>EP-006</t>
        </is>
      </c>
      <c r="D147" s="3" t="inlineStr">
        <is>
          <t>Display is calculated from authoritative start time and current server-synchronised time.</t>
        </is>
      </c>
      <c r="E147" s="3" t="n"/>
      <c r="F147" s="3" t="inlineStr">
        <is>
          <t>Pass</t>
        </is>
      </c>
      <c r="G147" s="3" t="n"/>
      <c r="H147" s="3" t="n"/>
      <c r="I147" s="3" t="inlineStr">
        <is>
          <t>Claude (AI Engineer)</t>
        </is>
      </c>
      <c r="J147" s="3" t="inlineStr">
        <is>
          <t>SIT</t>
        </is>
      </c>
      <c r="K147" s="3" t="inlineStr">
        <is>
          <t>Code-verified (use-elapsed.ts, explicitly commented for this AC): elapsed = Date.now() - startAt, recomputed client-side every second.</t>
        </is>
      </c>
    </row>
    <row r="148" ht="27.6" customHeight="1">
      <c r="A148" s="3" t="inlineStr">
        <is>
          <t>AC-006-002-03</t>
        </is>
      </c>
      <c r="B148" s="3" t="inlineStr">
        <is>
          <t>US-006-002</t>
        </is>
      </c>
      <c r="C148" s="3" t="inlineStr">
        <is>
          <t>EP-006</t>
        </is>
      </c>
      <c r="D148" s="3" t="inlineStr">
        <is>
          <t>Refresh/re-login restores active timer display.</t>
        </is>
      </c>
      <c r="E148" s="3" t="n"/>
      <c r="F148" s="3" t="inlineStr">
        <is>
          <t>Pass</t>
        </is>
      </c>
      <c r="G148" s="3" t="n"/>
      <c r="H148" s="3" t="n"/>
      <c r="I148" s="3" t="inlineStr">
        <is>
          <t>Claude (AI Engineer)</t>
        </is>
      </c>
      <c r="J148" s="3" t="inlineStr">
        <is>
          <t>SIT</t>
        </is>
      </c>
      <c r="K148" s="3" t="inlineStr">
        <is>
          <t>Same TanStack-Query refetch-on-mount pattern confirmed working live for AC-001-007-04 - a fresh page load always re-derives state from the server.</t>
        </is>
      </c>
    </row>
    <row r="149" ht="27.6" customHeight="1">
      <c r="A149" s="3" t="inlineStr">
        <is>
          <t>AC-006-002-04</t>
        </is>
      </c>
      <c r="B149" s="3" t="inlineStr">
        <is>
          <t>US-006-002</t>
        </is>
      </c>
      <c r="C149" s="3" t="inlineStr">
        <is>
          <t>EP-006</t>
        </is>
      </c>
      <c r="D149" s="3" t="inlineStr">
        <is>
          <t>Pause/Stop/Switch actions remain accessible.</t>
        </is>
      </c>
      <c r="E149" s="3" t="n"/>
      <c r="F149" s="3" t="inlineStr">
        <is>
          <t>Pass</t>
        </is>
      </c>
      <c r="G149" s="3" t="n"/>
      <c r="H149" s="3" t="n"/>
      <c r="I149" s="3" t="inlineStr">
        <is>
          <t>Claude (AI Engineer)</t>
        </is>
      </c>
      <c r="J149" s="3" t="inlineStr">
        <is>
          <t>SIT</t>
        </is>
      </c>
      <c r="K149" s="3" t="inlineStr">
        <is>
          <t>GlobalTimerBar renders unconditionally in AppShell alongside page content, not as a blocking modal.</t>
        </is>
      </c>
    </row>
    <row r="150" ht="27.6" customHeight="1">
      <c r="A150" s="3" t="inlineStr">
        <is>
          <t>AC-006-003-01</t>
        </is>
      </c>
      <c r="B150" s="3" t="inlineStr">
        <is>
          <t>US-006-003</t>
        </is>
      </c>
      <c r="C150" s="3" t="inlineStr">
        <is>
          <t>EP-006</t>
        </is>
      </c>
      <c r="D150" s="3" t="inlineStr">
        <is>
          <t>Only an active timer can be paused.</t>
        </is>
      </c>
      <c r="E150" s="3" t="n"/>
      <c r="F150" s="3" t="inlineStr">
        <is>
          <t>Pass</t>
        </is>
      </c>
      <c r="G150" s="3" t="n"/>
      <c r="H150" s="3" t="n"/>
      <c r="I150" s="3" t="inlineStr">
        <is>
          <t>Claude (AI Engineer)</t>
        </is>
      </c>
      <c r="J150" s="3" t="inlineStr">
        <is>
          <t>SIT</t>
        </is>
      </c>
      <c r="K150" s="3" t="inlineStr">
        <is>
          <t>Live test 2026-09-08: pause with no active timer -&gt; 400.</t>
        </is>
      </c>
    </row>
    <row r="151" ht="27.6" customHeight="1">
      <c r="A151" s="3" t="inlineStr">
        <is>
          <t>AC-006-003-02</t>
        </is>
      </c>
      <c r="B151" s="3" t="inlineStr">
        <is>
          <t>US-006-003</t>
        </is>
      </c>
      <c r="C151" s="3" t="inlineStr">
        <is>
          <t>EP-006</t>
        </is>
      </c>
      <c r="D151" s="3" t="inlineStr">
        <is>
          <t>Pause closes the current active timing segment.</t>
        </is>
      </c>
      <c r="E151" s="3" t="n"/>
      <c r="F151" s="3" t="inlineStr">
        <is>
          <t>Pass</t>
        </is>
      </c>
      <c r="G151" s="3" t="n"/>
      <c r="H151" s="3" t="n"/>
      <c r="I151" s="3" t="inlineStr">
        <is>
          <t>Claude (AI Engineer)</t>
        </is>
      </c>
      <c r="J151" s="3" t="inlineStr">
        <is>
          <t>SIT</t>
        </is>
      </c>
      <c r="K151" s="3" t="inlineStr">
        <is>
          <t>Live test 2026-09-08: pause closes the segment (status=CLOSED, endAt set).</t>
        </is>
      </c>
    </row>
    <row r="152" ht="27.6" customHeight="1">
      <c r="A152" s="3" t="inlineStr">
        <is>
          <t>AC-006-003-03</t>
        </is>
      </c>
      <c r="B152" s="3" t="inlineStr">
        <is>
          <t>US-006-003</t>
        </is>
      </c>
      <c r="C152" s="3" t="inlineStr">
        <is>
          <t>EP-006</t>
        </is>
      </c>
      <c r="D152" s="3" t="inlineStr">
        <is>
          <t>Elapsed duration excludes paused period.</t>
        </is>
      </c>
      <c r="E152" s="3" t="n"/>
      <c r="F152" s="3" t="inlineStr">
        <is>
          <t>Pass</t>
        </is>
      </c>
      <c r="G152" s="3" t="n"/>
      <c r="H152" s="3" t="n"/>
      <c r="I152" s="3" t="inlineStr">
        <is>
          <t>Claude (AI Engineer)</t>
        </is>
      </c>
      <c r="J152" s="3" t="inlineStr">
        <is>
          <t>SIT</t>
        </is>
      </c>
      <c r="K152" s="3" t="inlineStr">
        <is>
          <t>Structural: duration totals sum only CLOSED/RUNNING segments; the pause-to-resume gap is never itself a segment, excluded by construction.</t>
        </is>
      </c>
    </row>
    <row r="153" ht="27.6" customHeight="1">
      <c r="A153" s="3" t="inlineStr">
        <is>
          <t>AC-006-003-04</t>
        </is>
      </c>
      <c r="B153" s="3" t="inlineStr">
        <is>
          <t>US-006-003</t>
        </is>
      </c>
      <c r="C153" s="3" t="inlineStr">
        <is>
          <t>EP-006</t>
        </is>
      </c>
      <c r="D153" s="3" t="inlineStr">
        <is>
          <t>Task remains available to resume.</t>
        </is>
      </c>
      <c r="E153" s="3" t="n"/>
      <c r="F153" s="3" t="inlineStr">
        <is>
          <t>Pass</t>
        </is>
      </c>
      <c r="G153" s="3" t="n"/>
      <c r="H153" s="3" t="n"/>
      <c r="I153" s="3" t="inlineStr">
        <is>
          <t>Claude (AI Engineer)</t>
        </is>
      </c>
      <c r="J153" s="3" t="inlineStr">
        <is>
          <t>SIT</t>
        </is>
      </c>
      <c r="K153" s="3" t="inlineStr">
        <is>
          <t>Live test 2026-09-08: resume succeeded (201) after a pause.</t>
        </is>
      </c>
    </row>
    <row r="154" ht="27.6" customHeight="1">
      <c r="A154" s="3" t="inlineStr">
        <is>
          <t>AC-006-004-01</t>
        </is>
      </c>
      <c r="B154" s="3" t="inlineStr">
        <is>
          <t>US-006-004</t>
        </is>
      </c>
      <c r="C154" s="3" t="inlineStr">
        <is>
          <t>EP-006</t>
        </is>
      </c>
      <c r="D154" s="3" t="inlineStr">
        <is>
          <t>Task must be paused and user must be clocked in/not on break.</t>
        </is>
      </c>
      <c r="E154" s="3" t="n"/>
      <c r="F154" s="3" t="inlineStr">
        <is>
          <t>Pass</t>
        </is>
      </c>
      <c r="G154" s="3" t="n"/>
      <c r="H154" s="3" t="n"/>
      <c r="I154" s="3" t="inlineStr">
        <is>
          <t>Claude (AI Engineer)</t>
        </is>
      </c>
      <c r="J154" s="3" t="inlineStr">
        <is>
          <t>SIT</t>
        </is>
      </c>
      <c r="K154" s="3" t="inlineStr">
        <is>
          <t>Live test 2026-09-08: resume on a task never started before -&gt; 400; resume while ON_BREAK blocked by the same requireActiveWorkingSession() as start().</t>
        </is>
      </c>
    </row>
    <row r="155" ht="27.6" customHeight="1">
      <c r="A155" s="3" t="inlineStr">
        <is>
          <t>AC-006-004-02</t>
        </is>
      </c>
      <c r="B155" s="3" t="inlineStr">
        <is>
          <t>US-006-004</t>
        </is>
      </c>
      <c r="C155" s="3" t="inlineStr">
        <is>
          <t>EP-006</t>
        </is>
      </c>
      <c r="D155" s="3" t="inlineStr">
        <is>
          <t>Resume creates a new timing segment.</t>
        </is>
      </c>
      <c r="E155" s="3" t="n"/>
      <c r="F155" s="3" t="inlineStr">
        <is>
          <t>Pass</t>
        </is>
      </c>
      <c r="G155" s="3" t="n"/>
      <c r="H155" s="3" t="n"/>
      <c r="I155" s="3" t="inlineStr">
        <is>
          <t>Claude (AI Engineer)</t>
        </is>
      </c>
      <c r="J155" s="3" t="inlineStr">
        <is>
          <t>SIT</t>
        </is>
      </c>
      <c r="K155" s="3" t="inlineStr">
        <is>
          <t>Live test 2026-09-08: task had 2 distinct segments (pre-pause + post-resume) after resuming - a genuinely new row, not a reused one.</t>
        </is>
      </c>
    </row>
    <row r="156" ht="27.6" customHeight="1">
      <c r="A156" s="3" t="inlineStr">
        <is>
          <t>AC-006-004-03</t>
        </is>
      </c>
      <c r="B156" s="3" t="inlineStr">
        <is>
          <t>US-006-004</t>
        </is>
      </c>
      <c r="C156" s="3" t="inlineStr">
        <is>
          <t>EP-006</t>
        </is>
      </c>
      <c r="D156" s="3" t="inlineStr">
        <is>
          <t>Previous recorded duration is retained.</t>
        </is>
      </c>
      <c r="E156" s="3" t="n"/>
      <c r="F156" s="3" t="inlineStr">
        <is>
          <t>Pass</t>
        </is>
      </c>
      <c r="G156" s="3" t="n"/>
      <c r="H156" s="3" t="n"/>
      <c r="I156" s="3" t="inlineStr">
        <is>
          <t>Claude (AI Engineer)</t>
        </is>
      </c>
      <c r="J156" s="3" t="inlineStr">
        <is>
          <t>SIT</t>
        </is>
      </c>
      <c r="K156" s="3" t="inlineStr">
        <is>
          <t>Live test 2026-09-08: the pre-pause segment retained its own original start/end, unaffected by the later resume.</t>
        </is>
      </c>
    </row>
    <row r="157" ht="27.6" customHeight="1">
      <c r="A157" s="3" t="inlineStr">
        <is>
          <t>AC-006-004-04</t>
        </is>
      </c>
      <c r="B157" s="3" t="inlineStr">
        <is>
          <t>US-006-004</t>
        </is>
      </c>
      <c r="C157" s="3" t="inlineStr">
        <is>
          <t>EP-006</t>
        </is>
      </c>
      <c r="D157" s="3" t="inlineStr">
        <is>
          <t>Only one active timer exists after resume.</t>
        </is>
      </c>
      <c r="E157" s="3" t="n"/>
      <c r="F157" s="3" t="inlineStr">
        <is>
          <t>Pass</t>
        </is>
      </c>
      <c r="G157" s="3" t="n"/>
      <c r="H157" s="3" t="n"/>
      <c r="I157" s="3" t="inlineStr">
        <is>
          <t>Claude (AI Engineer)</t>
        </is>
      </c>
      <c r="J157" s="3" t="inlineStr">
        <is>
          <t>SIT</t>
        </is>
      </c>
      <c r="K157" s="3" t="inlineStr">
        <is>
          <t>Live test 2026-09-08: a second timer-start attempt after resuming -&gt; 409.</t>
        </is>
      </c>
    </row>
    <row r="158" ht="27.6" customHeight="1">
      <c r="A158" s="3" t="inlineStr">
        <is>
          <t>AC-006-005-01</t>
        </is>
      </c>
      <c r="B158" s="3" t="inlineStr">
        <is>
          <t>US-006-005</t>
        </is>
      </c>
      <c r="C158" s="3" t="inlineStr">
        <is>
          <t>EP-006</t>
        </is>
      </c>
      <c r="D158" s="3" t="inlineStr">
        <is>
          <t>Only an active timer can be stopped.</t>
        </is>
      </c>
      <c r="E158" s="3" t="n"/>
      <c r="F158" s="3" t="inlineStr">
        <is>
          <t>Pass</t>
        </is>
      </c>
      <c r="G158" s="3" t="n"/>
      <c r="H158" s="3" t="n"/>
      <c r="I158" s="3" t="inlineStr">
        <is>
          <t>Claude (AI Engineer)</t>
        </is>
      </c>
      <c r="J158" s="3" t="inlineStr">
        <is>
          <t>SIT</t>
        </is>
      </c>
      <c r="K158" s="3" t="inlineStr">
        <is>
          <t>Live test 2026-09-08: stop succeeded once (200), a second stop with nothing running -&gt; 400.</t>
        </is>
      </c>
    </row>
    <row r="159" ht="27.6" customHeight="1">
      <c r="A159" s="3" t="inlineStr">
        <is>
          <t>AC-006-005-02</t>
        </is>
      </c>
      <c r="B159" s="3" t="inlineStr">
        <is>
          <t>US-006-005</t>
        </is>
      </c>
      <c r="C159" s="3" t="inlineStr">
        <is>
          <t>EP-006</t>
        </is>
      </c>
      <c r="D159" s="3" t="inlineStr">
        <is>
          <t>Server time records stop timestamp.</t>
        </is>
      </c>
      <c r="E159" s="3" t="n"/>
      <c r="F159" s="3" t="inlineStr">
        <is>
          <t>Pass</t>
        </is>
      </c>
      <c r="G159" s="3" t="n"/>
      <c r="H159" s="3" t="n"/>
      <c r="I159" s="3" t="inlineStr">
        <is>
          <t>Claude (AI Engineer)</t>
        </is>
      </c>
      <c r="J159" s="3" t="inlineStr">
        <is>
          <t>SIT</t>
        </is>
      </c>
      <c r="K159" s="3" t="inlineStr">
        <is>
          <t>Live test 2026-09-08: stop response endAt is server-generated; endpoint takes no body.</t>
        </is>
      </c>
    </row>
    <row r="160" ht="27.6" customHeight="1">
      <c r="A160" s="3" t="inlineStr">
        <is>
          <t>AC-006-005-03</t>
        </is>
      </c>
      <c r="B160" s="3" t="inlineStr">
        <is>
          <t>US-006-005</t>
        </is>
      </c>
      <c r="C160" s="3" t="inlineStr">
        <is>
          <t>EP-006</t>
        </is>
      </c>
      <c r="D160" s="3" t="inlineStr">
        <is>
          <t>Actual task duration is updated immediately.</t>
        </is>
      </c>
      <c r="E160" s="3" t="n"/>
      <c r="F160" s="3" t="inlineStr">
        <is>
          <t>Pass</t>
        </is>
      </c>
      <c r="G160" s="3" t="n"/>
      <c r="H160" s="3" t="n"/>
      <c r="I160" s="3" t="inlineStr">
        <is>
          <t>Claude (AI Engineer)</t>
        </is>
      </c>
      <c r="J160" s="3" t="inlineStr">
        <is>
          <t>SIT</t>
        </is>
      </c>
      <c r="K160" s="3" t="inlineStr">
        <is>
          <t>Live test 2026-09-08: task detail actualMinutes available immediately after stop, no delay.</t>
        </is>
      </c>
    </row>
    <row r="161" ht="27.6" customHeight="1">
      <c r="A161" s="3" t="inlineStr">
        <is>
          <t>AC-006-005-04</t>
        </is>
      </c>
      <c r="B161" s="3" t="inlineStr">
        <is>
          <t>US-006-005</t>
        </is>
      </c>
      <c r="C161" s="3" t="inlineStr">
        <is>
          <t>EP-006</t>
        </is>
      </c>
      <c r="D161" s="3" t="inlineStr">
        <is>
          <t>Stopped interval appears in daily activity timeline.</t>
        </is>
      </c>
      <c r="E161" s="3" t="n"/>
      <c r="F161" s="3" t="inlineStr">
        <is>
          <t>Pass</t>
        </is>
      </c>
      <c r="G161" s="3" t="n"/>
      <c r="H161" s="3" t="n"/>
      <c r="I161" s="3" t="inlineStr">
        <is>
          <t>Claude (AI Engineer)</t>
        </is>
      </c>
      <c r="J161" s="3" t="inlineStr">
        <is>
          <t>SIT</t>
        </is>
      </c>
      <c r="K161" s="3" t="inlineStr">
        <is>
          <t>Live test 2026-09-08: the just-stopped segment appears in the same day's daily-log.</t>
        </is>
      </c>
    </row>
    <row r="162" ht="27.6" customHeight="1">
      <c r="A162" s="3" t="inlineStr">
        <is>
          <t>AC-006-006-01</t>
        </is>
      </c>
      <c r="B162" s="3" t="inlineStr">
        <is>
          <t>US-006-006</t>
        </is>
      </c>
      <c r="C162" s="3" t="inlineStr">
        <is>
          <t>EP-006</t>
        </is>
      </c>
      <c r="D162" s="3" t="inlineStr">
        <is>
          <t>System stops current task and starts selected task at one consistent boundary.</t>
        </is>
      </c>
      <c r="E162" s="3" t="n"/>
      <c r="F162" s="3" t="inlineStr">
        <is>
          <t>Pass</t>
        </is>
      </c>
      <c r="G162" s="3" t="n"/>
      <c r="H162" s="3" t="n"/>
      <c r="I162" s="3" t="inlineStr">
        <is>
          <t>Claude (AI Engineer)</t>
        </is>
      </c>
      <c r="J162" s="3" t="inlineStr">
        <is>
          <t>SIT</t>
        </is>
      </c>
      <c r="K162" s="3" t="inlineStr">
        <is>
          <t>Live test 2026-09-08: switch succeeded (201) while a different task's timer was running.</t>
        </is>
      </c>
    </row>
    <row r="163" ht="27.6" customHeight="1">
      <c r="A163" s="3" t="inlineStr">
        <is>
          <t>AC-006-006-02</t>
        </is>
      </c>
      <c r="B163" s="3" t="inlineStr">
        <is>
          <t>US-006-006</t>
        </is>
      </c>
      <c r="C163" s="3" t="inlineStr">
        <is>
          <t>EP-006</t>
        </is>
      </c>
      <c r="D163" s="3" t="inlineStr">
        <is>
          <t>No overlap is created.</t>
        </is>
      </c>
      <c r="E163" s="3" t="n"/>
      <c r="F163" s="3" t="inlineStr">
        <is>
          <t>Pass</t>
        </is>
      </c>
      <c r="G163" s="3" t="n"/>
      <c r="H163" s="3" t="n"/>
      <c r="I163" s="3" t="inlineStr">
        <is>
          <t>Claude (AI Engineer)</t>
        </is>
      </c>
      <c r="J163" s="3" t="inlineStr">
        <is>
          <t>SIT</t>
        </is>
      </c>
      <c r="K163" s="3" t="inlineStr">
        <is>
          <t>Live test 2026-09-08: the closed segment's endAt exactly equals the new segment's startAt - one shared server boundary, zero gap or overlap.</t>
        </is>
      </c>
    </row>
    <row r="164" ht="27.6" customHeight="1">
      <c r="A164" s="3" t="inlineStr">
        <is>
          <t>AC-006-006-03</t>
        </is>
      </c>
      <c r="B164" s="3" t="inlineStr">
        <is>
          <t>US-006-006</t>
        </is>
      </c>
      <c r="C164" s="3" t="inlineStr">
        <is>
          <t>EP-006</t>
        </is>
      </c>
      <c r="D164" s="3" t="inlineStr">
        <is>
          <t>New task must be eligible and active.</t>
        </is>
      </c>
      <c r="E164" s="3" t="n"/>
      <c r="F164" s="3" t="inlineStr">
        <is>
          <t>Pass</t>
        </is>
      </c>
      <c r="G164" s="3" t="n"/>
      <c r="H164" s="3" t="n"/>
      <c r="I164" s="3" t="inlineStr">
        <is>
          <t>Claude (AI Engineer)</t>
        </is>
      </c>
      <c r="J164" s="3" t="inlineStr">
        <is>
          <t>SIT</t>
        </is>
      </c>
      <c r="K164" s="3" t="inlineStr">
        <is>
          <t>Live test 2026-09-08: switching to a cancelled task -&gt; 400 "This task is completed or cancelled and cannot be timed".</t>
        </is>
      </c>
    </row>
    <row r="165" ht="27.6" customHeight="1">
      <c r="A165" s="3" t="inlineStr">
        <is>
          <t>AC-006-006-04</t>
        </is>
      </c>
      <c r="B165" s="3" t="inlineStr">
        <is>
          <t>US-006-006</t>
        </is>
      </c>
      <c r="C165" s="3" t="inlineStr">
        <is>
          <t>EP-006</t>
        </is>
      </c>
      <c r="D165" s="3" t="inlineStr">
        <is>
          <t>Both resulting records are visible in timeline.</t>
        </is>
      </c>
      <c r="E165" s="3" t="n"/>
      <c r="F165" s="3" t="inlineStr">
        <is>
          <t>Pass</t>
        </is>
      </c>
      <c r="G165" s="3" t="n"/>
      <c r="H165" s="3" t="n"/>
      <c r="I165" s="3" t="inlineStr">
        <is>
          <t>Claude (AI Engineer)</t>
        </is>
      </c>
      <c r="J165" s="3" t="inlineStr">
        <is>
          <t>SIT</t>
        </is>
      </c>
      <c r="K165" s="3" t="inlineStr">
        <is>
          <t>Live test 2026-09-08: both the closed and newly-running segments appear in the same daily-log response.</t>
        </is>
      </c>
    </row>
    <row r="166" ht="27.6" customHeight="1">
      <c r="A166" s="3" t="inlineStr">
        <is>
          <t>AC-006-007-01</t>
        </is>
      </c>
      <c r="B166" s="3" t="inlineStr">
        <is>
          <t>US-006-007</t>
        </is>
      </c>
      <c r="C166" s="3" t="inlineStr">
        <is>
          <t>EP-006</t>
        </is>
      </c>
      <c r="D166" s="3" t="inlineStr">
        <is>
          <t>Backend rejects attempts to create a second active timer.</t>
        </is>
      </c>
      <c r="E166" s="3" t="n"/>
      <c r="F166" s="3" t="inlineStr">
        <is>
          <t>Pass</t>
        </is>
      </c>
      <c r="G166" s="3" t="n"/>
      <c r="H166" s="3" t="n"/>
      <c r="I166" s="3" t="inlineStr">
        <is>
          <t>Claude (AI Engineer)</t>
        </is>
      </c>
      <c r="J166" s="3" t="inlineStr">
        <is>
          <t>SIT</t>
        </is>
      </c>
      <c r="K166" s="3" t="inlineStr">
        <is>
          <t>Same evidence as AC-006-001-04/AC-006-004-04 - every second-timer attempt returns 409.</t>
        </is>
      </c>
    </row>
    <row r="167" ht="27.6" customHeight="1">
      <c r="A167" s="3" t="inlineStr">
        <is>
          <t>AC-006-007-02</t>
        </is>
      </c>
      <c r="B167" s="3" t="inlineStr">
        <is>
          <t>US-006-007</t>
        </is>
      </c>
      <c r="C167" s="3" t="inlineStr">
        <is>
          <t>EP-006</t>
        </is>
      </c>
      <c r="D167" s="3" t="inlineStr">
        <is>
          <t>Database/application concurrency controls protect race conditions.</t>
        </is>
      </c>
      <c r="E167" s="3" t="n"/>
      <c r="F167" s="3" t="inlineStr">
        <is>
          <t>Pass</t>
        </is>
      </c>
      <c r="G167" s="3" t="n"/>
      <c r="H167" s="3" t="n"/>
      <c r="I167" s="3" t="inlineStr">
        <is>
          <t>Claude (AI Engineer)</t>
        </is>
      </c>
      <c r="J167" s="3" t="inlineStr">
        <is>
          <t>SIT</t>
        </is>
      </c>
      <c r="K167" s="3" t="inlineStr">
        <is>
          <t>DB-level: BR-003 partial unique index on task_time_entries(userId) WHERE status=RUNNING - the 409 is a real P2002 constraint violation.</t>
        </is>
      </c>
    </row>
    <row r="168" ht="27.6" customHeight="1">
      <c r="A168" s="3" t="inlineStr">
        <is>
          <t>AC-006-007-03</t>
        </is>
      </c>
      <c r="B168" s="3" t="inlineStr">
        <is>
          <t>US-006-007</t>
        </is>
      </c>
      <c r="C168" s="3" t="inlineStr">
        <is>
          <t>EP-006</t>
        </is>
      </c>
      <c r="D168" s="3" t="inlineStr">
        <is>
          <t>User receives existing active task information.</t>
        </is>
      </c>
      <c r="E168" s="3" t="n"/>
      <c r="F168" s="3" t="inlineStr">
        <is>
          <t>Pass</t>
        </is>
      </c>
      <c r="G168" s="3" t="n"/>
      <c r="H168" s="3" t="n"/>
      <c r="I168" s="3" t="inlineStr">
        <is>
          <t>Claude (AI Engineer)</t>
        </is>
      </c>
      <c r="J168" s="3" t="inlineStr">
        <is>
          <t>SIT</t>
        </is>
      </c>
      <c r="K168" s="3" t="inlineStr">
        <is>
          <t>Live test 2026-09-08: the 409 conflict response body includes the full activeTimer object.</t>
        </is>
      </c>
    </row>
    <row r="169" ht="27.6" customHeight="1">
      <c r="A169" s="3" t="inlineStr">
        <is>
          <t>AC-006-007-04</t>
        </is>
      </c>
      <c r="B169" s="3" t="inlineStr">
        <is>
          <t>US-006-007</t>
        </is>
      </c>
      <c r="C169" s="3" t="inlineStr">
        <is>
          <t>EP-006</t>
        </is>
      </c>
      <c r="D169" s="3" t="inlineStr">
        <is>
          <t>Administrator correction is used for genuine exceptions rather than parallel timers.</t>
        </is>
      </c>
      <c r="E169" s="3" t="n"/>
      <c r="F169" s="3" t="inlineStr">
        <is>
          <t>Pass</t>
        </is>
      </c>
      <c r="G169" s="3" t="n"/>
      <c r="H169" s="3" t="n"/>
      <c r="I169" s="3" t="inlineStr">
        <is>
          <t>Claude (AI Engineer)</t>
        </is>
      </c>
      <c r="J169" s="3" t="inlineStr">
        <is>
          <t>SIT</t>
        </is>
      </c>
      <c r="K169" s="3" t="inlineStr">
        <is>
          <t>Structural: the DB constraint makes a second parallel timer impossible under any code path; only the corrections workflow can adjust recorded task time after the fact.</t>
        </is>
      </c>
    </row>
    <row r="170" ht="27.6" customHeight="1">
      <c r="A170" s="3" t="inlineStr">
        <is>
          <t>AC-006-008-01</t>
        </is>
      </c>
      <c r="B170" s="3" t="inlineStr">
        <is>
          <t>US-006-008</t>
        </is>
      </c>
      <c r="C170" s="3" t="inlineStr">
        <is>
          <t>EP-006</t>
        </is>
      </c>
      <c r="D170" s="3" t="inlineStr">
        <is>
          <t>Timer state is stored on the server.</t>
        </is>
      </c>
      <c r="E170" s="3" t="n"/>
      <c r="F170" s="3" t="inlineStr">
        <is>
          <t>Pass</t>
        </is>
      </c>
      <c r="G170" s="3" t="n"/>
      <c r="H170" s="3" t="n"/>
      <c r="I170" s="3" t="inlineStr">
        <is>
          <t>Claude (AI Engineer)</t>
        </is>
      </c>
      <c r="J170" s="3" t="inlineStr">
        <is>
          <t>SIT</t>
        </is>
      </c>
      <c r="K170" s="3" t="inlineStr">
        <is>
          <t>Timer state is a real TaskTimeEntry database row, not client-side state of any kind.</t>
        </is>
      </c>
    </row>
    <row r="171" ht="27.6" customHeight="1">
      <c r="A171" s="3" t="inlineStr">
        <is>
          <t>AC-006-008-02</t>
        </is>
      </c>
      <c r="B171" s="3" t="inlineStr">
        <is>
          <t>US-006-008</t>
        </is>
      </c>
      <c r="C171" s="3" t="inlineStr">
        <is>
          <t>EP-006</t>
        </is>
      </c>
      <c r="D171" s="3" t="inlineStr">
        <is>
          <t>Closing browser does not stop the authoritative timer.</t>
        </is>
      </c>
      <c r="E171" s="3" t="n"/>
      <c r="F171" s="3" t="inlineStr">
        <is>
          <t>Pass</t>
        </is>
      </c>
      <c r="G171" s="3" t="n"/>
      <c r="H171" s="3" t="n"/>
      <c r="I171" s="3" t="inlineStr">
        <is>
          <t>Claude (AI Engineer)</t>
        </is>
      </c>
      <c r="J171" s="3" t="inlineStr">
        <is>
          <t>SIT</t>
        </is>
      </c>
      <c r="K171" s="3" t="inlineStr">
        <is>
          <t>Live test 2026-09-08: a brand-new login session (simulating a reopened browser) still sees the running timer via GET /attendance/state.</t>
        </is>
      </c>
    </row>
    <row r="172" ht="27.6" customHeight="1">
      <c r="A172" s="3" t="inlineStr">
        <is>
          <t>AC-006-008-03</t>
        </is>
      </c>
      <c r="B172" s="3" t="inlineStr">
        <is>
          <t>US-006-008</t>
        </is>
      </c>
      <c r="C172" s="3" t="inlineStr">
        <is>
          <t>EP-006</t>
        </is>
      </c>
      <c r="D172" s="3" t="inlineStr">
        <is>
          <t>On return, elapsed time is reconstructed from stored timestamps.</t>
        </is>
      </c>
      <c r="E172" s="3" t="n"/>
      <c r="F172" s="3" t="inlineStr">
        <is>
          <t>Pass</t>
        </is>
      </c>
      <c r="G172" s="3" t="n"/>
      <c r="H172" s="3" t="n"/>
      <c r="I172" s="3" t="inlineStr">
        <is>
          <t>Claude (AI Engineer)</t>
        </is>
      </c>
      <c r="J172" s="3" t="inlineStr">
        <is>
          <t>SIT</t>
        </is>
      </c>
      <c r="K172" s="3" t="inlineStr">
        <is>
          <t>Live test 2026-09-08: the reconstructed timer carries its real startAt for client-side elapsed computation.</t>
        </is>
      </c>
    </row>
    <row r="173" ht="27.6" customHeight="1">
      <c r="A173" s="3" t="inlineStr">
        <is>
          <t>AC-006-008-04</t>
        </is>
      </c>
      <c r="B173" s="3" t="inlineStr">
        <is>
          <t>US-006-008</t>
        </is>
      </c>
      <c r="C173" s="3" t="inlineStr">
        <is>
          <t>EP-006</t>
        </is>
      </c>
      <c r="D173" s="3" t="inlineStr">
        <is>
          <t>No per-second database writes are required to keep timer running.</t>
        </is>
      </c>
      <c r="E173" s="3" t="n"/>
      <c r="F173" s="3" t="inlineStr">
        <is>
          <t>Pass</t>
        </is>
      </c>
      <c r="G173" s="3" t="n"/>
      <c r="H173" s="3" t="n"/>
      <c r="I173" s="3" t="inlineStr">
        <is>
          <t>Claude (AI Engineer)</t>
        </is>
      </c>
      <c r="J173" s="3" t="inlineStr">
        <is>
          <t>SIT</t>
        </is>
      </c>
      <c r="K173" s="3" t="inlineStr">
        <is>
          <t>Code-verified: the only setInterval touching the timer (use-elapsed.ts) is purely client-side, no API call inside it.</t>
        </is>
      </c>
    </row>
    <row r="174" ht="27.6" customHeight="1">
      <c r="A174" s="3" t="inlineStr">
        <is>
          <t>AC-006-009-01</t>
        </is>
      </c>
      <c r="B174" s="3" t="inlineStr">
        <is>
          <t>US-006-009</t>
        </is>
      </c>
      <c r="C174" s="3" t="inlineStr">
        <is>
          <t>EP-006</t>
        </is>
      </c>
      <c r="D174" s="3" t="inlineStr">
        <is>
          <t>Log shows task, start, end and duration.</t>
        </is>
      </c>
      <c r="E174" s="3" t="n"/>
      <c r="F174" s="3" t="inlineStr">
        <is>
          <t>Pass</t>
        </is>
      </c>
      <c r="G174" s="3" t="n"/>
      <c r="H174" s="3" t="n"/>
      <c r="I174" s="3" t="inlineStr">
        <is>
          <t>Claude (AI Engineer)</t>
        </is>
      </c>
      <c r="J174" s="3" t="inlineStr">
        <is>
          <t>SIT</t>
        </is>
      </c>
      <c r="K174" s="3" t="inlineStr">
        <is>
          <t>Live test 2026-09-08: daily-log rows include task, startAt, endAt, status.</t>
        </is>
      </c>
    </row>
    <row r="175" ht="27.6" customHeight="1">
      <c r="A175" s="3" t="inlineStr">
        <is>
          <t>AC-006-009-02</t>
        </is>
      </c>
      <c r="B175" s="3" t="inlineStr">
        <is>
          <t>US-006-009</t>
        </is>
      </c>
      <c r="C175" s="3" t="inlineStr">
        <is>
          <t>EP-006</t>
        </is>
      </c>
      <c r="D175" s="3" t="inlineStr">
        <is>
          <t>Paused segments are excluded from duration.</t>
        </is>
      </c>
      <c r="E175" s="3" t="n"/>
      <c r="F175" s="3" t="inlineStr">
        <is>
          <t>Pass</t>
        </is>
      </c>
      <c r="G175" s="3" t="n"/>
      <c r="H175" s="3" t="n"/>
      <c r="I175" s="3" t="inlineStr">
        <is>
          <t>Claude (AI Engineer)</t>
        </is>
      </c>
      <c r="J175" s="3" t="inlineStr">
        <is>
          <t>SIT</t>
        </is>
      </c>
      <c r="K175" s="3" t="inlineStr">
        <is>
          <t>Same construction as AC-006-003-03 - paused gaps cannot appear in or inflate any duration total.</t>
        </is>
      </c>
    </row>
    <row r="176" ht="27.6" customHeight="1">
      <c r="A176" s="3" t="inlineStr">
        <is>
          <t>AC-006-009-03</t>
        </is>
      </c>
      <c r="B176" s="3" t="inlineStr">
        <is>
          <t>US-006-009</t>
        </is>
      </c>
      <c r="C176" s="3" t="inlineStr">
        <is>
          <t>EP-006</t>
        </is>
      </c>
      <c r="D176" s="3" t="inlineStr">
        <is>
          <t>Entries are ordered chronologically.</t>
        </is>
      </c>
      <c r="E176" s="3" t="n"/>
      <c r="F176" s="3" t="inlineStr">
        <is>
          <t>Pass</t>
        </is>
      </c>
      <c r="G176" s="3" t="n"/>
      <c r="H176" s="3" t="n"/>
      <c r="I176" s="3" t="inlineStr">
        <is>
          <t>Claude (AI Engineer)</t>
        </is>
      </c>
      <c r="J176" s="3" t="inlineStr">
        <is>
          <t>SIT</t>
        </is>
      </c>
      <c r="K176" s="3" t="inlineStr">
        <is>
          <t>Live test 2026-09-08: daily-log entries confirmed chronologically ordered.</t>
        </is>
      </c>
    </row>
    <row r="177" ht="27.6" customHeight="1">
      <c r="A177" s="3" t="inlineStr">
        <is>
          <t>AC-006-009-04</t>
        </is>
      </c>
      <c r="B177" s="3" t="inlineStr">
        <is>
          <t>US-006-009</t>
        </is>
      </c>
      <c r="C177" s="3" t="inlineStr">
        <is>
          <t>EP-006</t>
        </is>
      </c>
      <c r="D177" s="3" t="inlineStr">
        <is>
          <t>Totals reconcile to daily task-time total.</t>
        </is>
      </c>
      <c r="E177" s="3" t="n"/>
      <c r="F177" s="3" t="inlineStr">
        <is>
          <t>Pass</t>
        </is>
      </c>
      <c r="G177" s="3" t="n"/>
      <c r="H177" s="3" t="n"/>
      <c r="I177" s="3" t="inlineStr">
        <is>
          <t>Claude (AI Engineer)</t>
        </is>
      </c>
      <c r="J177" s="3" t="inlineStr">
        <is>
          <t>SIT</t>
        </is>
      </c>
      <c r="K177" s="3" t="inlineStr">
        <is>
          <t>Live test 2026-09-08: sum of daily-log segment durations matches reconciliation's taskMinutes exactly.</t>
        </is>
      </c>
    </row>
    <row r="178" ht="27.6" customHeight="1">
      <c r="A178" s="3" t="inlineStr">
        <is>
          <t>AC-006-010-01</t>
        </is>
      </c>
      <c r="B178" s="3" t="inlineStr">
        <is>
          <t>US-006-010</t>
        </is>
      </c>
      <c r="C178" s="3" t="inlineStr">
        <is>
          <t>EP-006</t>
        </is>
      </c>
      <c r="D178" s="3" t="inlineStr">
        <is>
          <t>Actual time is sum of valid task time segments.</t>
        </is>
      </c>
      <c r="E178" s="3" t="n"/>
      <c r="F178" s="3" t="inlineStr">
        <is>
          <t>Pass</t>
        </is>
      </c>
      <c r="G178" s="3" t="n"/>
      <c r="H178" s="3" t="n"/>
      <c r="I178" s="3" t="inlineStr">
        <is>
          <t>Claude (AI Engineer)</t>
        </is>
      </c>
      <c r="J178" s="3" t="inlineStr">
        <is>
          <t>SIT</t>
        </is>
      </c>
      <c r="K178" s="3" t="inlineStr">
        <is>
          <t>Confirmed via multiple independent cross-checks throughout this section - actualMinutes is always the real sum of TaskTimeEntry segments.</t>
        </is>
      </c>
    </row>
    <row r="179" ht="27.6" customHeight="1">
      <c r="A179" s="3" t="inlineStr">
        <is>
          <t>AC-006-010-02</t>
        </is>
      </c>
      <c r="B179" s="3" t="inlineStr">
        <is>
          <t>US-006-010</t>
        </is>
      </c>
      <c r="C179" s="3" t="inlineStr">
        <is>
          <t>EP-006</t>
        </is>
      </c>
      <c r="D179" s="3" t="inlineStr">
        <is>
          <t>Variance is shown when estimate exists.</t>
        </is>
      </c>
      <c r="E179" s="3" t="n"/>
      <c r="F179" s="3" t="inlineStr">
        <is>
          <t>Pass</t>
        </is>
      </c>
      <c r="G179" s="3" t="n"/>
      <c r="H179" s="3" t="n"/>
      <c r="I179" s="3" t="inlineStr">
        <is>
          <t>Claude (AI Engineer)</t>
        </is>
      </c>
      <c r="J179" s="3" t="inlineStr">
        <is>
          <t>SIT</t>
        </is>
      </c>
      <c r="K179" s="3" t="inlineStr">
        <is>
          <t>Code-verified (tasks/[id]/page.tsx): variance shown only when estimatedMinutes is set.</t>
        </is>
      </c>
    </row>
    <row r="180" ht="27.6" customHeight="1">
      <c r="A180" s="3" t="inlineStr">
        <is>
          <t>AC-006-010-03</t>
        </is>
      </c>
      <c r="B180" s="3" t="inlineStr">
        <is>
          <t>US-006-010</t>
        </is>
      </c>
      <c r="C180" s="3" t="inlineStr">
        <is>
          <t>EP-006</t>
        </is>
      </c>
      <c r="D180" s="3" t="inlineStr">
        <is>
          <t>Negative and positive variance are clearly identified.</t>
        </is>
      </c>
      <c r="E180" s="3" t="n"/>
      <c r="F180" s="3" t="inlineStr">
        <is>
          <t>Pass</t>
        </is>
      </c>
      <c r="G180" s="3" t="n"/>
      <c r="H180" s="3" t="n"/>
      <c r="I180" s="3" t="inlineStr">
        <is>
          <t>Claude (AI Engineer)</t>
        </is>
      </c>
      <c r="J180" s="3" t="inlineStr">
        <is>
          <t>SIT</t>
        </is>
      </c>
      <c r="K180" s="3" t="inlineStr">
        <is>
          <t>Code-verified: over-estimate renders red with a "+" prefix, at-or-under renders green - visually and textually distinct.</t>
        </is>
      </c>
    </row>
    <row r="181" ht="27.6" customHeight="1">
      <c r="A181" s="3" t="inlineStr">
        <is>
          <t>AC-006-010-04</t>
        </is>
      </c>
      <c r="B181" s="3" t="inlineStr">
        <is>
          <t>US-006-010</t>
        </is>
      </c>
      <c r="C181" s="3" t="inlineStr">
        <is>
          <t>EP-006</t>
        </is>
      </c>
      <c r="D181" s="3" t="inlineStr">
        <is>
          <t>Historical actual time remains unchanged by later estimate edits unless explicitly recalculated by policy.</t>
        </is>
      </c>
      <c r="E181" s="3" t="n"/>
      <c r="F181" s="3" t="inlineStr">
        <is>
          <t>Pass</t>
        </is>
      </c>
      <c r="G181" s="3" t="n"/>
      <c r="H181" s="3" t="n"/>
      <c r="I181" s="3" t="inlineStr">
        <is>
          <t>Claude (AI Engineer)</t>
        </is>
      </c>
      <c r="J181" s="3" t="inlineStr">
        <is>
          <t>SIT</t>
        </is>
      </c>
      <c r="K181" s="3" t="inlineStr">
        <is>
          <t>Live test 2026-09-08: actualMinutes unchanged after editing a task's estimatedMinutes - actual is derived purely from time entries.</t>
        </is>
      </c>
    </row>
    <row r="182" ht="27.6" customHeight="1">
      <c r="A182" s="3" t="inlineStr">
        <is>
          <t>AC-007-001-01</t>
        </is>
      </c>
      <c r="B182" s="3" t="inlineStr">
        <is>
          <t>US-007-001</t>
        </is>
      </c>
      <c r="C182" s="3" t="inlineStr">
        <is>
          <t>EP-007</t>
        </is>
      </c>
      <c r="D182" s="3" t="inlineStr">
        <is>
          <t>Net work equals attendance elapsed duration minus completed eligible breaks.</t>
        </is>
      </c>
      <c r="E182" s="3" t="n"/>
      <c r="F182" s="3" t="inlineStr">
        <is>
          <t>Pass</t>
        </is>
      </c>
      <c r="G182" s="3" t="n"/>
      <c r="H182" s="3" t="n"/>
      <c r="I182" s="3" t="inlineStr">
        <is>
          <t>Claude (AI Engineer)</t>
        </is>
      </c>
      <c r="J182" s="3" t="inlineStr">
        <is>
          <t>SIT</t>
        </is>
      </c>
      <c r="K182" s="3" t="inlineStr">
        <is>
          <t>time-math.test.ts unit tests + EP-003/EP-004 live tests already prove netWorkingMinutes = attendance elapsed - eligible completed break time.</t>
        </is>
      </c>
    </row>
    <row r="183" ht="27.6" customHeight="1">
      <c r="A183" s="3" t="inlineStr">
        <is>
          <t>AC-007-001-02</t>
        </is>
      </c>
      <c r="B183" s="3" t="inlineStr">
        <is>
          <t>US-007-001</t>
        </is>
      </c>
      <c r="C183" s="3" t="inlineStr">
        <is>
          <t>EP-007</t>
        </is>
      </c>
      <c r="D183" s="3" t="inlineStr">
        <is>
          <t>Incomplete break/attendance creates a visible incomplete state.</t>
        </is>
      </c>
      <c r="E183" s="3" t="n"/>
      <c r="F183" s="3" t="inlineStr">
        <is>
          <t>Pass</t>
        </is>
      </c>
      <c r="G183" s="3" t="n"/>
      <c r="H183" s="3" t="n"/>
      <c r="I183" s="3" t="inlineStr">
        <is>
          <t>Claude (AI Engineer)</t>
        </is>
      </c>
      <c r="J183" s="3" t="inlineStr">
        <is>
          <t>SIT</t>
        </is>
      </c>
      <c r="K183" s="3" t="inlineStr">
        <is>
          <t>Code-verified (my-day/page.tsx timeline rendering): any event with a null end renders "(ongoing)" instead of a timestamp - covers an incomplete break or still-open attendance session.</t>
        </is>
      </c>
    </row>
    <row r="184" ht="27.6" customHeight="1">
      <c r="A184" s="3" t="inlineStr">
        <is>
          <t>AC-007-001-03</t>
        </is>
      </c>
      <c r="B184" s="3" t="inlineStr">
        <is>
          <t>US-007-001</t>
        </is>
      </c>
      <c r="C184" s="3" t="inlineStr">
        <is>
          <t>EP-007</t>
        </is>
      </c>
      <c r="D184" s="3" t="inlineStr">
        <is>
          <t>Calculation uses authoritative timestamps.</t>
        </is>
      </c>
      <c r="E184" s="3" t="n"/>
      <c r="F184" s="3" t="inlineStr">
        <is>
          <t>Pass</t>
        </is>
      </c>
      <c r="G184" s="3" t="n"/>
      <c r="H184" s="3" t="n"/>
      <c r="I184" s="3" t="inlineStr">
        <is>
          <t>Claude (AI Engineer)</t>
        </is>
      </c>
      <c r="J184" s="3" t="inlineStr">
        <is>
          <t>SIT</t>
        </is>
      </c>
      <c r="K184" s="3" t="inlineStr">
        <is>
          <t>Every timestamp in the calculation is server-generated; no client-input path exists anywhere in the chain (same evidence as AC-003-001-02/002-02).</t>
        </is>
      </c>
    </row>
    <row r="185" ht="27.6" customHeight="1">
      <c r="A185" s="3" t="inlineStr">
        <is>
          <t>AC-007-001-04</t>
        </is>
      </c>
      <c r="B185" s="3" t="inlineStr">
        <is>
          <t>US-007-001</t>
        </is>
      </c>
      <c r="C185" s="3" t="inlineStr">
        <is>
          <t>EP-007</t>
        </is>
      </c>
      <c r="D185" s="3" t="inlineStr">
        <is>
          <t>Result is reproducible from stored events.</t>
        </is>
      </c>
      <c r="E185" s="3" t="n"/>
      <c r="F185" s="3" t="inlineStr">
        <is>
          <t>Pass</t>
        </is>
      </c>
      <c r="G185" s="3" t="n"/>
      <c r="H185" s="3" t="n"/>
      <c r="I185" s="3" t="inlineStr">
        <is>
          <t>Claude (AI Engineer)</t>
        </is>
      </c>
      <c r="J185" s="3" t="inlineStr">
        <is>
          <t>SIT</t>
        </is>
      </c>
      <c r="K185" s="3" t="inlineStr">
        <is>
          <t>reconcile() is a pure function of stored rows - identical inputs always produce identical output, confirmed by deterministic unit test assertions.</t>
        </is>
      </c>
    </row>
    <row r="186" ht="27.6" customHeight="1">
      <c r="A186" s="3" t="inlineStr">
        <is>
          <t>AC-007-002-01</t>
        </is>
      </c>
      <c r="B186" s="3" t="inlineStr">
        <is>
          <t>US-007-002</t>
        </is>
      </c>
      <c r="C186" s="3" t="inlineStr">
        <is>
          <t>EP-007</t>
        </is>
      </c>
      <c r="D186" s="3" t="inlineStr">
        <is>
          <t>Task total equals sum of valid non-overlapping task segments.</t>
        </is>
      </c>
      <c r="E186" s="3" t="n"/>
      <c r="F186" s="3" t="inlineStr">
        <is>
          <t>Pass</t>
        </is>
      </c>
      <c r="G186" s="3" t="n"/>
      <c r="H186" s="3" t="n"/>
      <c r="I186" s="3" t="inlineStr">
        <is>
          <t>Claude (AI Engineer)</t>
        </is>
      </c>
      <c r="J186" s="3" t="inlineStr">
        <is>
          <t>SIT</t>
        </is>
      </c>
      <c r="K186" s="3" t="inlineStr">
        <is>
          <t>calculateTaskMinutes unit-tested; EP-006 live testing directly confirmed actual time is always the real sum of TaskTimeEntry segments.</t>
        </is>
      </c>
    </row>
    <row r="187" ht="27.6" customHeight="1">
      <c r="A187" s="3" t="inlineStr">
        <is>
          <t>AC-007-002-02</t>
        </is>
      </c>
      <c r="B187" s="3" t="inlineStr">
        <is>
          <t>US-007-002</t>
        </is>
      </c>
      <c r="C187" s="3" t="inlineStr">
        <is>
          <t>EP-007</t>
        </is>
      </c>
      <c r="D187" s="3" t="inlineStr">
        <is>
          <t>Paused time is excluded.</t>
        </is>
      </c>
      <c r="E187" s="3" t="n"/>
      <c r="F187" s="3" t="inlineStr">
        <is>
          <t>Pass</t>
        </is>
      </c>
      <c r="G187" s="3" t="n"/>
      <c r="H187" s="3" t="n"/>
      <c r="I187" s="3" t="inlineStr">
        <is>
          <t>Claude (AI Engineer)</t>
        </is>
      </c>
      <c r="J187" s="3" t="inlineStr">
        <is>
          <t>SIT</t>
        </is>
      </c>
      <c r="K187" s="3" t="inlineStr">
        <is>
          <t>Same construction proven in EP-004/EP-006 - a closed segment's own duration counts, the gap after it does not.</t>
        </is>
      </c>
    </row>
    <row r="188" ht="27.6" customHeight="1">
      <c r="A188" s="3" t="inlineStr">
        <is>
          <t>AC-007-002-03</t>
        </is>
      </c>
      <c r="B188" s="3" t="inlineStr">
        <is>
          <t>US-007-002</t>
        </is>
      </c>
      <c r="C188" s="3" t="inlineStr">
        <is>
          <t>EP-007</t>
        </is>
      </c>
      <c r="D188" s="3" t="inlineStr">
        <is>
          <t>Task time outside an eligible attendance session is rejected or flagged according to correction policy.</t>
        </is>
      </c>
      <c r="E188" s="3" t="n"/>
      <c r="F188" s="3" t="inlineStr">
        <is>
          <t>Pass</t>
        </is>
      </c>
      <c r="G188" s="3" t="n"/>
      <c r="H188" s="3" t="n"/>
      <c r="I188" s="3" t="inlineStr">
        <is>
          <t>Claude (AI Engineer)</t>
        </is>
      </c>
      <c r="J188" s="3" t="inlineStr">
        <is>
          <t>SIT</t>
        </is>
      </c>
      <c r="K188" s="3" t="inlineStr">
        <is>
          <t>Live test 2026-09-08 + code review: TaskTimeEntry.attendanceSessionId is a required FK, always the caller's current ACTIVE session - task time outside an eligible session is structurally prevented, not just flagged after the fact.</t>
        </is>
      </c>
    </row>
    <row r="189" ht="27.6" customHeight="1">
      <c r="A189" s="3" t="inlineStr">
        <is>
          <t>AC-007-002-04</t>
        </is>
      </c>
      <c r="B189" s="3" t="inlineStr">
        <is>
          <t>US-007-002</t>
        </is>
      </c>
      <c r="C189" s="3" t="inlineStr">
        <is>
          <t>EP-007</t>
        </is>
      </c>
      <c r="D189" s="3" t="inlineStr">
        <is>
          <t>Daily total is reproducible.</t>
        </is>
      </c>
      <c r="E189" s="3" t="n"/>
      <c r="F189" s="3" t="inlineStr">
        <is>
          <t>Pass</t>
        </is>
      </c>
      <c r="G189" s="3" t="n"/>
      <c r="H189" s="3" t="n"/>
      <c r="I189" s="3" t="inlineStr">
        <is>
          <t>Claude (AI Engineer)</t>
        </is>
      </c>
      <c r="J189" s="3" t="inlineStr">
        <is>
          <t>SIT</t>
        </is>
      </c>
      <c r="K189" s="3" t="inlineStr">
        <is>
          <t>Same reproducibility argument as AC-007-001-04 - derived fresh from stored rows on every request.</t>
        </is>
      </c>
    </row>
    <row r="190" ht="27.6" customHeight="1">
      <c r="A190" s="3" t="inlineStr">
        <is>
          <t>AC-007-003-01</t>
        </is>
      </c>
      <c r="B190" s="3" t="inlineStr">
        <is>
          <t>US-007-003</t>
        </is>
      </c>
      <c r="C190" s="3" t="inlineStr">
        <is>
          <t>EP-007</t>
        </is>
      </c>
      <c r="D190" s="3" t="inlineStr">
        <is>
          <t>Unallocated time equals net working time minus eligible task time.</t>
        </is>
      </c>
      <c r="E190" s="3" t="n"/>
      <c r="F190" s="3" t="inlineStr">
        <is>
          <t>Pass</t>
        </is>
      </c>
      <c r="G190" s="3" t="n"/>
      <c r="H190" s="3" t="n"/>
      <c r="I190" s="3" t="inlineStr">
        <is>
          <t>Claude (AI Engineer)</t>
        </is>
      </c>
      <c r="J190" s="3" t="inlineStr">
        <is>
          <t>SIT</t>
        </is>
      </c>
      <c r="K190" s="3" t="inlineStr">
        <is>
          <t>reconcile() unit test matches the SRS worked example exactly (7h30m net - 6h45m task = 45m unallocated).</t>
        </is>
      </c>
    </row>
    <row r="191" ht="27.6" customHeight="1">
      <c r="A191" s="3" t="inlineStr">
        <is>
          <t>AC-007-003-02</t>
        </is>
      </c>
      <c r="B191" s="3" t="inlineStr">
        <is>
          <t>US-007-003</t>
        </is>
      </c>
      <c r="C191" s="3" t="inlineStr">
        <is>
          <t>EP-007</t>
        </is>
      </c>
      <c r="D191" s="3" t="inlineStr">
        <is>
          <t>Value cannot be negative without a data-quality exception.</t>
        </is>
      </c>
      <c r="E191" s="3" t="n"/>
      <c r="F191" s="3" t="inlineStr">
        <is>
          <t>Pass</t>
        </is>
      </c>
      <c r="G191" s="3" t="n"/>
      <c r="H191" s="3" t="n"/>
      <c r="I191" s="3" t="inlineStr">
        <is>
          <t>Claude (AI Engineer)</t>
        </is>
      </c>
      <c r="J191" s="3" t="inlineStr">
        <is>
          <t>SIT</t>
        </is>
      </c>
      <c r="K191" s="3" t="inlineStr">
        <is>
          <t>reconcile() unit test: unallocatedMinutes is clamped via Math.max(0, ...), hasDataQualityException flips true instead of going negative.</t>
        </is>
      </c>
    </row>
    <row r="192" ht="27.6" customHeight="1">
      <c r="A192" s="3" t="inlineStr">
        <is>
          <t>AC-007-003-03</t>
        </is>
      </c>
      <c r="B192" s="3" t="inlineStr">
        <is>
          <t>US-007-003</t>
        </is>
      </c>
      <c r="C192" s="3" t="inlineStr">
        <is>
          <t>EP-007</t>
        </is>
      </c>
      <c r="D192" s="3" t="inlineStr">
        <is>
          <t>Daily dashboard displays unallocated amount.</t>
        </is>
      </c>
      <c r="E192" s="3" t="n"/>
      <c r="F192" s="3" t="inlineStr">
        <is>
          <t>Pass</t>
        </is>
      </c>
      <c r="G192" s="3" t="n"/>
      <c r="H192" s="3" t="n"/>
      <c r="I192" s="3" t="inlineStr">
        <is>
          <t>Claude (AI Engineer)</t>
        </is>
      </c>
      <c r="J192" s="3" t="inlineStr">
        <is>
          <t>SIT</t>
        </is>
      </c>
      <c r="K192" s="3" t="inlineStr">
        <is>
          <t>Live test 2026-09-08: GET /reconciliation/me returns unallocatedMinutes; My Day dashboard renders it as one of its 5 stat tiles.</t>
        </is>
      </c>
    </row>
    <row r="193" ht="27.6" customHeight="1">
      <c r="A193" s="3" t="inlineStr">
        <is>
          <t>AC-007-003-04</t>
        </is>
      </c>
      <c r="B193" s="3" t="inlineStr">
        <is>
          <t>US-007-003</t>
        </is>
      </c>
      <c r="C193" s="3" t="inlineStr">
        <is>
          <t>EP-007</t>
        </is>
      </c>
      <c r="D193" s="3" t="inlineStr">
        <is>
          <t>Drill-down shows attendance and task components.</t>
        </is>
      </c>
      <c r="E193" s="3" t="n"/>
      <c r="F193" s="3" t="inlineStr">
        <is>
          <t>Pass</t>
        </is>
      </c>
      <c r="G193" s="3" t="n"/>
      <c r="H193" s="3" t="n"/>
      <c r="I193" s="3" t="inlineStr">
        <is>
          <t>Claude (AI Engineer)</t>
        </is>
      </c>
      <c r="J193" s="3" t="inlineStr">
        <is>
          <t>SIT</t>
        </is>
      </c>
      <c r="K193" s="3" t="inlineStr">
        <is>
          <t>Live test 2026-09-08: the same response's timeline array is the drill-down - attendance, break and task components all present and inspectable.</t>
        </is>
      </c>
    </row>
    <row r="194" ht="27.6" customHeight="1">
      <c r="A194" s="3" t="inlineStr">
        <is>
          <t>AC-007-004-01</t>
        </is>
      </c>
      <c r="B194" s="3" t="inlineStr">
        <is>
          <t>US-007-004</t>
        </is>
      </c>
      <c r="C194" s="3" t="inlineStr">
        <is>
          <t>EP-007</t>
        </is>
      </c>
      <c r="D194" s="3" t="inlineStr">
        <is>
          <t>System detects task time outside attendance or excessive overlap.</t>
        </is>
      </c>
      <c r="E194" s="3" t="n"/>
      <c r="F194" s="3" t="inlineStr">
        <is>
          <t>Pass</t>
        </is>
      </c>
      <c r="G194" s="3" t="n"/>
      <c r="H194" s="3" t="n"/>
      <c r="I194" s="3" t="inlineStr">
        <is>
          <t>Claude (AI Engineer)</t>
        </is>
      </c>
      <c r="J194" s="3" t="inlineStr">
        <is>
          <t>SIT</t>
        </is>
      </c>
      <c r="K194" s="3" t="inlineStr">
        <is>
          <t>hasDataQualityException flips true when task time exceeds net working time - unit-tested directly.</t>
        </is>
      </c>
    </row>
    <row r="195" ht="27.6" customHeight="1">
      <c r="A195" s="3" t="inlineStr">
        <is>
          <t>AC-007-004-02</t>
        </is>
      </c>
      <c r="B195" s="3" t="inlineStr">
        <is>
          <t>US-007-004</t>
        </is>
      </c>
      <c r="C195" s="3" t="inlineStr">
        <is>
          <t>EP-007</t>
        </is>
      </c>
      <c r="D195" s="3" t="inlineStr">
        <is>
          <t>Data-quality exception is visible to administrator.</t>
        </is>
      </c>
      <c r="E195" s="3" t="n"/>
      <c r="F195" s="3" t="inlineStr">
        <is>
          <t>Pass</t>
        </is>
      </c>
      <c r="G195" s="3" t="n"/>
      <c r="H195" s="3" t="n"/>
      <c r="I195" s="3" t="inlineStr">
        <is>
          <t>Claude (AI Engineer)</t>
        </is>
      </c>
      <c r="J195" s="3" t="inlineStr">
        <is>
          <t>SIT</t>
        </is>
      </c>
      <c r="K195" s="3" t="inlineStr">
        <is>
          <t>The Admin Reports &gt; Unallocated Time report includes a dataQualityException column per row (reports.service.ts unallocatedReport), reusing the same unit-tested reconciliation logic — no separate screen was needed.</t>
        </is>
      </c>
    </row>
    <row r="196" ht="27.6" customHeight="1">
      <c r="A196" s="3" t="inlineStr">
        <is>
          <t>AC-007-004-03</t>
        </is>
      </c>
      <c r="B196" s="3" t="inlineStr">
        <is>
          <t>US-007-004</t>
        </is>
      </c>
      <c r="C196" s="3" t="inlineStr">
        <is>
          <t>EP-007</t>
        </is>
      </c>
      <c r="D196" s="3" t="inlineStr">
        <is>
          <t>System does not silently alter original records.</t>
        </is>
      </c>
      <c r="E196" s="3" t="n"/>
      <c r="F196" s="3" t="inlineStr">
        <is>
          <t>Pass</t>
        </is>
      </c>
      <c r="G196" s="3" t="n"/>
      <c r="H196" s="3" t="n"/>
      <c r="I196" s="3" t="inlineStr">
        <is>
          <t>Claude (AI Engineer)</t>
        </is>
      </c>
      <c r="J196" s="3" t="inlineStr">
        <is>
          <t>SIT</t>
        </is>
      </c>
      <c r="K196" s="3" t="inlineStr">
        <is>
          <t>reconcile() only reads attendance/break/task rows - it has no write path at all, cannot alter any record even in principle.</t>
        </is>
      </c>
    </row>
    <row r="197" ht="27.6" customHeight="1">
      <c r="A197" s="3" t="inlineStr">
        <is>
          <t>AC-007-004-04</t>
        </is>
      </c>
      <c r="B197" s="3" t="inlineStr">
        <is>
          <t>US-007-004</t>
        </is>
      </c>
      <c r="C197" s="3" t="inlineStr">
        <is>
          <t>EP-007</t>
        </is>
      </c>
      <c r="D197" s="3" t="inlineStr">
        <is>
          <t>Correction workflow can resolve the issue.</t>
        </is>
      </c>
      <c r="E197" s="3" t="n"/>
      <c r="F197" s="3" t="inlineStr">
        <is>
          <t>Pass</t>
        </is>
      </c>
      <c r="G197" s="3" t="n"/>
      <c r="H197" s="3" t="n"/>
      <c r="I197" s="3" t="inlineStr">
        <is>
          <t>Claude (AI Engineer)</t>
        </is>
      </c>
      <c r="J197" s="3" t="inlineStr">
        <is>
          <t>SIT</t>
        </is>
      </c>
      <c r="K197" s="3" t="inlineStr">
        <is>
          <t>Corrections workflow (already proven working multiple times this session) is the mechanism that resolves reconciliation exceptions.</t>
        </is>
      </c>
    </row>
    <row r="198" ht="27.6" customHeight="1">
      <c r="A198" s="3" t="inlineStr">
        <is>
          <t>AC-007-005-01</t>
        </is>
      </c>
      <c r="B198" s="3" t="inlineStr">
        <is>
          <t>US-007-005</t>
        </is>
      </c>
      <c r="C198" s="3" t="inlineStr">
        <is>
          <t>EP-007</t>
        </is>
      </c>
      <c r="D198" s="3" t="inlineStr">
        <is>
          <t>Timeline includes clock-in/out, breaks and task intervals.</t>
        </is>
      </c>
      <c r="E198" s="3" t="n"/>
      <c r="F198" s="3" t="inlineStr">
        <is>
          <t>Pass</t>
        </is>
      </c>
      <c r="G198" s="3" t="n"/>
      <c r="H198" s="3" t="n"/>
      <c r="I198" s="3" t="inlineStr">
        <is>
          <t>Claude (AI Engineer)</t>
        </is>
      </c>
      <c r="J198" s="3" t="inlineStr">
        <is>
          <t>SIT</t>
        </is>
      </c>
      <c r="K198" s="3" t="inlineStr">
        <is>
          <t>Live test 2026-09-08: timeline includes ATTENDANCE, BREAK and TASK event types in one response.</t>
        </is>
      </c>
    </row>
    <row r="199" ht="27.6" customHeight="1">
      <c r="A199" s="3" t="inlineStr">
        <is>
          <t>AC-007-005-02</t>
        </is>
      </c>
      <c r="B199" s="3" t="inlineStr">
        <is>
          <t>US-007-005</t>
        </is>
      </c>
      <c r="C199" s="3" t="inlineStr">
        <is>
          <t>EP-007</t>
        </is>
      </c>
      <c r="D199" s="3" t="inlineStr">
        <is>
          <t>Events are ordered chronologically.</t>
        </is>
      </c>
      <c r="E199" s="3" t="n"/>
      <c r="F199" s="3" t="inlineStr">
        <is>
          <t>Pass</t>
        </is>
      </c>
      <c r="G199" s="3" t="n"/>
      <c r="H199" s="3" t="n"/>
      <c r="I199" s="3" t="inlineStr">
        <is>
          <t>Claude (AI Engineer)</t>
        </is>
      </c>
      <c r="J199" s="3" t="inlineStr">
        <is>
          <t>SIT</t>
        </is>
      </c>
      <c r="K199" s="3" t="inlineStr">
        <is>
          <t>Live test 2026-09-08: timeline events confirmed chronologically ordered.</t>
        </is>
      </c>
    </row>
    <row r="200" ht="27.6" customHeight="1">
      <c r="A200" s="3" t="inlineStr">
        <is>
          <t>AC-007-005-03</t>
        </is>
      </c>
      <c r="B200" s="3" t="inlineStr">
        <is>
          <t>US-007-005</t>
        </is>
      </c>
      <c r="C200" s="3" t="inlineStr">
        <is>
          <t>EP-007</t>
        </is>
      </c>
      <c r="D200" s="3" t="inlineStr">
        <is>
          <t>Gaps are visually identifiable.</t>
        </is>
      </c>
      <c r="E200" s="3" t="n"/>
      <c r="F200" s="3" t="inlineStr">
        <is>
          <t>Pass</t>
        </is>
      </c>
      <c r="G200" s="3" t="n"/>
      <c r="H200" s="3" t="n"/>
      <c r="I200" s="3" t="inlineStr">
        <is>
          <t>Claude (AI Engineer)</t>
        </is>
      </c>
      <c r="J200" s="3" t="inlineStr">
        <is>
          <t>SIT</t>
        </is>
      </c>
      <c r="K200" s="3" t="inlineStr">
        <is>
          <t>Live test 2026-09-08: a deliberate gap (clocked in, not on break, no task running) between two real events is identifiable from their explicit start/end timestamps; an open-ended event separately renders "(ongoing)".</t>
        </is>
      </c>
    </row>
    <row r="201" ht="27.6" customHeight="1">
      <c r="A201" s="3" t="inlineStr">
        <is>
          <t>AC-007-005-04</t>
        </is>
      </c>
      <c r="B201" s="3" t="inlineStr">
        <is>
          <t>US-007-005</t>
        </is>
      </c>
      <c r="C201" s="3" t="inlineStr">
        <is>
          <t>EP-007</t>
        </is>
      </c>
      <c r="D201" s="3" t="inlineStr">
        <is>
          <t>Timeline totals reconcile with summary metrics.</t>
        </is>
      </c>
      <c r="E201" s="3" t="n"/>
      <c r="F201" s="3" t="inlineStr">
        <is>
          <t>Pass</t>
        </is>
      </c>
      <c r="G201" s="3" t="n"/>
      <c r="H201" s="3" t="n"/>
      <c r="I201" s="3" t="inlineStr">
        <is>
          <t>Claude (AI Engineer)</t>
        </is>
      </c>
      <c r="J201" s="3" t="inlineStr">
        <is>
          <t>SIT</t>
        </is>
      </c>
      <c r="K201" s="3" t="inlineStr">
        <is>
          <t>Live test 2026-09-08: summary metrics and the timeline array come from the same reconcile() call over the same rows - cannot diverge from each other by construction.</t>
        </is>
      </c>
    </row>
    <row r="202" ht="27.6" customHeight="1">
      <c r="A202" s="3" t="inlineStr">
        <is>
          <t>AC-008-001-01</t>
        </is>
      </c>
      <c r="B202" s="3" t="inlineStr">
        <is>
          <t>US-008-001</t>
        </is>
      </c>
      <c r="C202" s="3" t="inlineStr">
        <is>
          <t>EP-008</t>
        </is>
      </c>
      <c r="D202" s="3" t="inlineStr">
        <is>
          <t>Dashboard shows current attendance state.</t>
        </is>
      </c>
      <c r="E202" s="3" t="n"/>
      <c r="F202" s="3" t="inlineStr">
        <is>
          <t>Pass</t>
        </is>
      </c>
      <c r="G202" s="3" t="n"/>
      <c r="H202" s="3" t="n"/>
      <c r="I202" s="3" t="inlineStr">
        <is>
          <t>Claude (AI Engineer)</t>
        </is>
      </c>
      <c r="J202" s="3" t="inlineStr">
        <is>
          <t>SIT</t>
        </is>
      </c>
      <c r="K202" s="3" t="inlineStr">
        <is>
          <t>GlobalTimerBar + My Day page both derive current attendance state live from GET /attendance/state on every load.</t>
        </is>
      </c>
    </row>
    <row r="203" ht="27.6" customHeight="1">
      <c r="A203" s="3" t="inlineStr">
        <is>
          <t>AC-008-001-02</t>
        </is>
      </c>
      <c r="B203" s="3" t="inlineStr">
        <is>
          <t>US-008-001</t>
        </is>
      </c>
      <c r="C203" s="3" t="inlineStr">
        <is>
          <t>EP-008</t>
        </is>
      </c>
      <c r="D203" s="3" t="inlineStr">
        <is>
          <t>Dashboard shows current break/task state.</t>
        </is>
      </c>
      <c r="E203" s="3" t="n"/>
      <c r="F203" s="3" t="inlineStr">
        <is>
          <t>Pass</t>
        </is>
      </c>
      <c r="G203" s="3" t="n"/>
      <c r="H203" s="3" t="n"/>
      <c r="I203" s="3" t="inlineStr">
        <is>
          <t>Claude (AI Engineer)</t>
        </is>
      </c>
      <c r="J203" s="3" t="inlineStr">
        <is>
          <t>SIT</t>
        </is>
      </c>
      <c r="K203" s="3" t="inlineStr">
        <is>
          <t>The same /attendance/state response includes activeBreak and activeTimer - both break and task state in one call.</t>
        </is>
      </c>
    </row>
    <row r="204" ht="27.6" customHeight="1">
      <c r="A204" s="3" t="inlineStr">
        <is>
          <t>AC-008-001-03</t>
        </is>
      </c>
      <c r="B204" s="3" t="inlineStr">
        <is>
          <t>US-008-001</t>
        </is>
      </c>
      <c r="C204" s="3" t="inlineStr">
        <is>
          <t>EP-008</t>
        </is>
      </c>
      <c r="D204" s="3" t="inlineStr">
        <is>
          <t>Worked, break, task and unallocated time are shown.</t>
        </is>
      </c>
      <c r="E204" s="3" t="n"/>
      <c r="F204" s="3" t="inlineStr">
        <is>
          <t>Pass</t>
        </is>
      </c>
      <c r="G204" s="3" t="n"/>
      <c r="H204" s="3" t="n"/>
      <c r="I204" s="3" t="inlineStr">
        <is>
          <t>Claude (AI Engineer)</t>
        </is>
      </c>
      <c r="J204" s="3" t="inlineStr">
        <is>
          <t>SIT</t>
        </is>
      </c>
      <c r="K204" s="3" t="inlineStr">
        <is>
          <t>Live-verified in EP-004/EP-007 testing: My Day's 5 stat tiles show Worked, Task time, Break time, Unallocated, Sessions.</t>
        </is>
      </c>
    </row>
    <row r="205" ht="27.6" customHeight="1">
      <c r="A205" s="3" t="inlineStr">
        <is>
          <t>AC-008-001-04</t>
        </is>
      </c>
      <c r="B205" s="3" t="inlineStr">
        <is>
          <t>US-008-001</t>
        </is>
      </c>
      <c r="C205" s="3" t="inlineStr">
        <is>
          <t>EP-008</t>
        </is>
      </c>
      <c r="D205" s="3" t="inlineStr">
        <is>
          <t>Primary actions are available without navigating to separate administration screens.</t>
        </is>
      </c>
      <c r="E205" s="3" t="n"/>
      <c r="F205" s="3" t="inlineStr">
        <is>
          <t>Pass</t>
        </is>
      </c>
      <c r="G205" s="3" t="n"/>
      <c r="H205" s="3" t="n"/>
      <c r="I205" s="3" t="inlineStr">
        <is>
          <t>Claude (AI Engineer)</t>
        </is>
      </c>
      <c r="J205" s="3" t="inlineStr">
        <is>
          <t>SIT</t>
        </is>
      </c>
      <c r="K205" s="3" t="inlineStr">
        <is>
          <t>My Day itself renders Clock In/Out, Break, and task timer Start/Pause/Stop/Switch controls directly - no navigation elsewhere required.</t>
        </is>
      </c>
    </row>
    <row r="206" ht="27.6" customHeight="1">
      <c r="A206" s="3" t="inlineStr">
        <is>
          <t>AC-008-002-01</t>
        </is>
      </c>
      <c r="B206" s="3" t="inlineStr">
        <is>
          <t>US-008-002</t>
        </is>
      </c>
      <c r="C206" s="3" t="inlineStr">
        <is>
          <t>EP-008</t>
        </is>
      </c>
      <c r="D206" s="3" t="inlineStr">
        <is>
          <t>Dashboard shows registered/active users, currently working, on break and not clocked in.</t>
        </is>
      </c>
      <c r="E206" s="3" t="n"/>
      <c r="F206" s="3" t="inlineStr">
        <is>
          <t>Pass</t>
        </is>
      </c>
      <c r="G206" s="3" t="n"/>
      <c r="H206" s="3" t="n"/>
      <c r="I206" s="3" t="inlineStr">
        <is>
          <t>Claude (AI Engineer)</t>
        </is>
      </c>
      <c r="J206" s="3" t="inlineStr">
        <is>
          <t>SIT</t>
        </is>
      </c>
      <c r="K206" s="3" t="inlineStr">
        <is>
          <t>Live test 2026-09-08: KPIs reflect a real just-clocked-in user (working, totalActiveUsers, notClockedIn all update).</t>
        </is>
      </c>
    </row>
    <row r="207" ht="27.6" customHeight="1">
      <c r="A207" s="3" t="inlineStr">
        <is>
          <t>AC-008-002-02</t>
        </is>
      </c>
      <c r="B207" s="3" t="inlineStr">
        <is>
          <t>US-008-002</t>
        </is>
      </c>
      <c r="C207" s="3" t="inlineStr">
        <is>
          <t>EP-008</t>
        </is>
      </c>
      <c r="D207" s="3" t="inlineStr">
        <is>
          <t>Dashboard shows active task timers.</t>
        </is>
      </c>
      <c r="E207" s="3" t="n"/>
      <c r="F207" s="3" t="inlineStr">
        <is>
          <t>Pass</t>
        </is>
      </c>
      <c r="G207" s="3" t="n"/>
      <c r="H207" s="3" t="n"/>
      <c r="I207" s="3" t="inlineStr">
        <is>
          <t>Claude (AI Engineer)</t>
        </is>
      </c>
      <c r="J207" s="3" t="inlineStr">
        <is>
          <t>SIT</t>
        </is>
      </c>
      <c r="K207" s="3" t="inlineStr">
        <is>
          <t>Live test 2026-09-08: runningTaskTimers present in the KPI response.</t>
        </is>
      </c>
    </row>
    <row r="208" ht="27.6" customHeight="1">
      <c r="A208" s="3" t="inlineStr">
        <is>
          <t>AC-008-002-03</t>
        </is>
      </c>
      <c r="B208" s="3" t="inlineStr">
        <is>
          <t>US-008-002</t>
        </is>
      </c>
      <c r="C208" s="3" t="inlineStr">
        <is>
          <t>EP-008</t>
        </is>
      </c>
      <c r="D208" s="3" t="inlineStr">
        <is>
          <t>Counts update on refresh and may update live where implemented.</t>
        </is>
      </c>
      <c r="E208" s="3" t="n"/>
      <c r="F208" s="3" t="inlineStr">
        <is>
          <t>Pass</t>
        </is>
      </c>
      <c r="G208" s="3" t="n"/>
      <c r="H208" s="3" t="n"/>
      <c r="I208" s="3" t="inlineStr">
        <is>
          <t>Claude (AI Engineer)</t>
        </is>
      </c>
      <c r="J208" s="3" t="inlineStr">
        <is>
          <t>SIT</t>
        </is>
      </c>
      <c r="K208" s="3" t="inlineStr">
        <is>
          <t>Code-verified: both admin/dashboard and admin/live use refetchInterval (20s/15s) - counts update automatically.</t>
        </is>
      </c>
    </row>
    <row r="209" ht="27.6" customHeight="1">
      <c r="A209" s="3" t="inlineStr">
        <is>
          <t>AC-008-002-04</t>
        </is>
      </c>
      <c r="B209" s="3" t="inlineStr">
        <is>
          <t>US-008-002</t>
        </is>
      </c>
      <c r="C209" s="3" t="inlineStr">
        <is>
          <t>EP-008</t>
        </is>
      </c>
      <c r="D209" s="3" t="inlineStr">
        <is>
          <t>KPIs link to filtered detail views.</t>
        </is>
      </c>
      <c r="E209" s="3" t="n"/>
      <c r="F209" s="3" t="inlineStr">
        <is>
          <t>Pass</t>
        </is>
      </c>
      <c r="G209" s="3" t="n"/>
      <c r="H209" s="3" t="n"/>
      <c r="I209" s="3" t="inlineStr">
        <is>
          <t>Claude (AI Engineer)</t>
        </is>
      </c>
      <c r="J209" s="3" t="inlineStr">
        <is>
          <t>SIT</t>
        </is>
      </c>
      <c r="K209" s="3" t="inlineStr">
        <is>
          <t>FIXED 2026-09-08: KPI tiles were static numbers with no link at all. Added real Links to filtered views (commit d1d8c6b); also fixed admin/tasks and admin/users silently ignoring URL query params entirely. Verified live: clicking a KPI navigates to the correctly pre-filtered list.</t>
        </is>
      </c>
    </row>
    <row r="210" ht="27.6" customHeight="1">
      <c r="A210" s="3" t="inlineStr">
        <is>
          <t>AC-008-003-01</t>
        </is>
      </c>
      <c r="B210" s="3" t="inlineStr">
        <is>
          <t>US-008-003</t>
        </is>
      </c>
      <c r="C210" s="3" t="inlineStr">
        <is>
          <t>EP-008</t>
        </is>
      </c>
      <c r="D210" s="3" t="inlineStr">
        <is>
          <t>Table shows user, attendance status, clock-in time, break status and current task.</t>
        </is>
      </c>
      <c r="E210" s="3" t="n"/>
      <c r="F210" s="3" t="inlineStr">
        <is>
          <t>Pass</t>
        </is>
      </c>
      <c r="G210" s="3" t="n"/>
      <c r="H210" s="3" t="n"/>
      <c r="I210" s="3" t="inlineStr">
        <is>
          <t>Claude (AI Engineer)</t>
        </is>
      </c>
      <c r="J210" s="3" t="inlineStr">
        <is>
          <t>SIT</t>
        </is>
      </c>
      <c r="K210" s="3" t="inlineStr">
        <is>
          <t>Live test 2026-09-08: live table row includes user, status, clockInAt, currentTask.</t>
        </is>
      </c>
    </row>
    <row r="211" ht="27.6" customHeight="1">
      <c r="A211" s="3" t="inlineStr">
        <is>
          <t>AC-008-003-02</t>
        </is>
      </c>
      <c r="B211" s="3" t="inlineStr">
        <is>
          <t>US-008-003</t>
        </is>
      </c>
      <c r="C211" s="3" t="inlineStr">
        <is>
          <t>EP-008</t>
        </is>
      </c>
      <c r="D211" s="3" t="inlineStr">
        <is>
          <t>Only authorised administrators can access it.</t>
        </is>
      </c>
      <c r="E211" s="3" t="n"/>
      <c r="F211" s="3" t="inlineStr">
        <is>
          <t>Pass</t>
        </is>
      </c>
      <c r="G211" s="3" t="n"/>
      <c r="H211" s="3" t="n"/>
      <c r="I211" s="3" t="inlineStr">
        <is>
          <t>Claude (AI Engineer)</t>
        </is>
      </c>
      <c r="J211" s="3" t="inlineStr">
        <is>
          <t>SIT</t>
        </is>
      </c>
      <c r="K211" s="3" t="inlineStr">
        <is>
          <t>Existing evidence (EP-003 AC-003-008-04): employee attempting GET /attendance/admin/live -&gt; 403.</t>
        </is>
      </c>
    </row>
    <row r="212" ht="27.6" customHeight="1">
      <c r="A212" s="3" t="inlineStr">
        <is>
          <t>AC-008-003-03</t>
        </is>
      </c>
      <c r="B212" s="3" t="inlineStr">
        <is>
          <t>US-008-003</t>
        </is>
      </c>
      <c r="C212" s="3" t="inlineStr">
        <is>
          <t>EP-008</t>
        </is>
      </c>
      <c r="D212" s="3" t="inlineStr">
        <is>
          <t>Inactive users are excluded by default.</t>
        </is>
      </c>
      <c r="E212" s="3" t="n"/>
      <c r="F212" s="3" t="inlineStr">
        <is>
          <t>Pass</t>
        </is>
      </c>
      <c r="G212" s="3" t="n"/>
      <c r="H212" s="3" t="n"/>
      <c r="I212" s="3" t="inlineStr">
        <is>
          <t>Claude (AI Engineer)</t>
        </is>
      </c>
      <c r="J212" s="3" t="inlineStr">
        <is>
          <t>SIT</t>
        </is>
      </c>
      <c r="K212" s="3" t="inlineStr">
        <is>
          <t>Structural: getLive() only queries sessions with status ACTIVE/ON_BREAK - a user who is inactive/suspended cannot have one (JwtStrategy blocks them from all writes), so exclusion is automatic, not a separate filter.</t>
        </is>
      </c>
    </row>
    <row r="213" ht="27.6" customHeight="1">
      <c r="A213" s="3" t="inlineStr">
        <is>
          <t>AC-008-003-04</t>
        </is>
      </c>
      <c r="B213" s="3" t="inlineStr">
        <is>
          <t>US-008-003</t>
        </is>
      </c>
      <c r="C213" s="3" t="inlineStr">
        <is>
          <t>EP-008</t>
        </is>
      </c>
      <c r="D213" s="3" t="inlineStr">
        <is>
          <t>Table can be searched/filter by user/department.</t>
        </is>
      </c>
      <c r="E213" s="3" t="n"/>
      <c r="F213" s="3" t="inlineStr">
        <is>
          <t>Pass</t>
        </is>
      </c>
      <c r="G213" s="3" t="n"/>
      <c r="H213" s="3" t="n"/>
      <c r="I213" s="3" t="inlineStr">
        <is>
          <t>Claude (AI Engineer)</t>
        </is>
      </c>
      <c r="J213" s="3" t="inlineStr">
        <is>
          <t>SIT</t>
        </is>
      </c>
      <c r="K213" s="3" t="inlineStr">
        <is>
          <t>FIXED 2026-09-08: found zero search/filter capability existed at all (confirmed via grep). Added department name to the API response (was only a raw id) and a name/email search box + department dropdown to the live table (commit c00e7b3). Verified live: UI renders correctly with real data.</t>
        </is>
      </c>
    </row>
    <row r="214" ht="27.6" customHeight="1">
      <c r="A214" s="3" t="inlineStr">
        <is>
          <t>AC-008-004-01</t>
        </is>
      </c>
      <c r="B214" s="3" t="inlineStr">
        <is>
          <t>US-008-004</t>
        </is>
      </c>
      <c r="C214" s="3" t="inlineStr">
        <is>
          <t>EP-008</t>
        </is>
      </c>
      <c r="D214" s="3" t="inlineStr">
        <is>
          <t>Dashboard shows tasks by status.</t>
        </is>
      </c>
      <c r="E214" s="3" t="n"/>
      <c r="F214" s="3" t="inlineStr">
        <is>
          <t>Pass</t>
        </is>
      </c>
      <c r="G214" s="3" t="n"/>
      <c r="H214" s="3" t="n"/>
      <c r="I214" s="3" t="inlineStr">
        <is>
          <t>Claude (AI Engineer)</t>
        </is>
      </c>
      <c r="J214" s="3" t="inlineStr">
        <is>
          <t>SIT</t>
        </is>
      </c>
      <c r="K214" s="3" t="inlineStr">
        <is>
          <t>Live test 2026-09-08: tasksByStatus reflects real task counts by status.</t>
        </is>
      </c>
    </row>
    <row r="215" ht="27.6" customHeight="1">
      <c r="A215" s="3" t="inlineStr">
        <is>
          <t>AC-008-004-02</t>
        </is>
      </c>
      <c r="B215" s="3" t="inlineStr">
        <is>
          <t>US-008-004</t>
        </is>
      </c>
      <c r="C215" s="3" t="inlineStr">
        <is>
          <t>EP-008</t>
        </is>
      </c>
      <c r="D215" s="3" t="inlineStr">
        <is>
          <t>Overdue task count uses due date and status.</t>
        </is>
      </c>
      <c r="E215" s="3" t="n"/>
      <c r="F215" s="3" t="inlineStr">
        <is>
          <t>Pass</t>
        </is>
      </c>
      <c r="G215" s="3" t="n"/>
      <c r="H215" s="3" t="n"/>
      <c r="I215" s="3" t="inlineStr">
        <is>
          <t>Claude (AI Engineer)</t>
        </is>
      </c>
      <c r="J215" s="3" t="inlineStr">
        <is>
          <t>SIT</t>
        </is>
      </c>
      <c r="K215" s="3" t="inlineStr">
        <is>
          <t>Live test 2026-09-08: overdueTaskCount correctly increments for a TO_DO task with a past due date (uses both fields, confirmed by the exact query in dashboard.controller.ts).</t>
        </is>
      </c>
    </row>
    <row r="216" ht="27.6" customHeight="1">
      <c r="A216" s="3" t="inlineStr">
        <is>
          <t>AC-008-004-03</t>
        </is>
      </c>
      <c r="B216" s="3" t="inlineStr">
        <is>
          <t>US-008-004</t>
        </is>
      </c>
      <c r="C216" s="3" t="inlineStr">
        <is>
          <t>EP-008</t>
        </is>
      </c>
      <c r="D216" s="3" t="inlineStr">
        <is>
          <t>Administrator can drill down to task list.</t>
        </is>
      </c>
      <c r="E216" s="3" t="n"/>
      <c r="F216" s="3" t="inlineStr">
        <is>
          <t>Pass</t>
        </is>
      </c>
      <c r="G216" s="3" t="n"/>
      <c r="H216" s="3" t="n"/>
      <c r="I216" s="3" t="inlineStr">
        <is>
          <t>Claude (AI Engineer)</t>
        </is>
      </c>
      <c r="J216" s="3" t="inlineStr">
        <is>
          <t>SIT</t>
        </is>
      </c>
      <c r="K216" s="3" t="inlineStr">
        <is>
          <t>Same fix/evidence as AC-008-002-04 - tasks-by-status entries and the overdue count are both real links to /admin/tasks with the matching filter applied.</t>
        </is>
      </c>
    </row>
    <row r="217" ht="27.6" customHeight="1">
      <c r="A217" s="3" t="inlineStr">
        <is>
          <t>AC-008-004-04</t>
        </is>
      </c>
      <c r="B217" s="3" t="inlineStr">
        <is>
          <t>US-008-004</t>
        </is>
      </c>
      <c r="C217" s="3" t="inlineStr">
        <is>
          <t>EP-008</t>
        </is>
      </c>
      <c r="D217" s="3" t="inlineStr">
        <is>
          <t>Actual task time is available where recorded.</t>
        </is>
      </c>
      <c r="E217" s="3" t="n"/>
      <c r="F217" s="3" t="inlineStr">
        <is>
          <t>Pass</t>
        </is>
      </c>
      <c r="G217" s="3" t="n"/>
      <c r="H217" s="3" t="n"/>
      <c r="I217" s="3" t="inlineStr">
        <is>
          <t>Claude (AI Engineer)</t>
        </is>
      </c>
      <c r="J217" s="3" t="inlineStr">
        <is>
          <t>SIT</t>
        </is>
      </c>
      <c r="K217" s="3" t="inlineStr">
        <is>
          <t>Same getActualMinutes() evidence proven throughout EP-005/006 - actual time available on every task detail fetch.</t>
        </is>
      </c>
    </row>
    <row r="218" ht="27.6" customHeight="1">
      <c r="A218" s="3" t="inlineStr">
        <is>
          <t>AC-008-005-01</t>
        </is>
      </c>
      <c r="B218" s="3" t="inlineStr">
        <is>
          <t>US-008-005</t>
        </is>
      </c>
      <c r="C218" s="3" t="inlineStr">
        <is>
          <t>EP-008</t>
        </is>
      </c>
      <c r="D218" s="3" t="inlineStr">
        <is>
          <t>Primary actions remain usable at supported mobile widths.</t>
        </is>
      </c>
      <c r="E218" s="3" t="n"/>
      <c r="F218" s="3" t="inlineStr">
        <is>
          <t>Pass</t>
        </is>
      </c>
      <c r="G218" s="3" t="n"/>
      <c r="H218" s="3" t="n"/>
      <c r="I218" s="3" t="inlineStr">
        <is>
          <t>Claude (AI Engineer)</t>
        </is>
      </c>
      <c r="J218" s="3" t="inlineStr">
        <is>
          <t>SIT</t>
        </is>
      </c>
      <c r="K218" s="3" t="inlineStr">
        <is>
          <t>Verified: with the hamburger nav fix, every primary action (clock/break/timer + full navigation) is reachable at 375px width.</t>
        </is>
      </c>
    </row>
    <row r="219" ht="27.6" customHeight="1">
      <c r="A219" s="3" t="inlineStr">
        <is>
          <t>AC-008-005-02</t>
        </is>
      </c>
      <c r="B219" s="3" t="inlineStr">
        <is>
          <t>US-008-005</t>
        </is>
      </c>
      <c r="C219" s="3" t="inlineStr">
        <is>
          <t>EP-008</t>
        </is>
      </c>
      <c r="D219" s="3" t="inlineStr">
        <is>
          <t>No critical control requires horizontal scrolling.</t>
        </is>
      </c>
      <c r="E219" s="3" t="n"/>
      <c r="F219" s="3" t="inlineStr">
        <is>
          <t>Pass</t>
        </is>
      </c>
      <c r="G219" s="3" t="n"/>
      <c r="H219" s="3" t="n"/>
      <c r="I219" s="3" t="inlineStr">
        <is>
          <t>Claude (AI Engineer)</t>
        </is>
      </c>
      <c r="J219" s="3" t="inlineStr">
        <is>
          <t>SIT</t>
        </is>
      </c>
      <c r="K219" s="3" t="inlineStr">
        <is>
          <t>Verified: no element requires horizontal scrolling at 375px width across My Day, login and the mobile nav panel.</t>
        </is>
      </c>
    </row>
    <row r="220" ht="27.6" customHeight="1">
      <c r="A220" s="3" t="inlineStr">
        <is>
          <t>AC-008-005-03</t>
        </is>
      </c>
      <c r="B220" s="3" t="inlineStr">
        <is>
          <t>US-008-005</t>
        </is>
      </c>
      <c r="C220" s="3" t="inlineStr">
        <is>
          <t>EP-008</t>
        </is>
      </c>
      <c r="D220" s="3" t="inlineStr">
        <is>
          <t>Timer and clock state remain visible.</t>
        </is>
      </c>
      <c r="E220" s="3" t="n"/>
      <c r="F220" s="3" t="inlineStr">
        <is>
          <t>Pass</t>
        </is>
      </c>
      <c r="G220" s="3" t="n"/>
      <c r="H220" s="3" t="n"/>
      <c r="I220" s="3" t="inlineStr">
        <is>
          <t>Claude (AI Engineer)</t>
        </is>
      </c>
      <c r="J220" s="3" t="inlineStr">
        <is>
          <t>SIT</t>
        </is>
      </c>
      <c r="K220" s="3" t="inlineStr">
        <is>
          <t>Verified: the header's attendance-state badge stays visible above the fold regardless of scroll position.</t>
        </is>
      </c>
    </row>
    <row r="221" ht="27.6" customHeight="1">
      <c r="A221" s="3" t="inlineStr">
        <is>
          <t>AC-008-005-04</t>
        </is>
      </c>
      <c r="B221" s="3" t="inlineStr">
        <is>
          <t>US-008-005</t>
        </is>
      </c>
      <c r="C221" s="3" t="inlineStr">
        <is>
          <t>EP-008</t>
        </is>
      </c>
      <c r="D221" s="3" t="inlineStr">
        <is>
          <t>Accessibility labels are provided for interactive controls.</t>
        </is>
      </c>
      <c r="E221" s="3" t="n"/>
      <c r="F221" s="3" t="inlineStr">
        <is>
          <t>Pass</t>
        </is>
      </c>
      <c r="G221" s="3" t="n"/>
      <c r="H221" s="3" t="n"/>
      <c r="I221" s="3" t="inlineStr">
        <is>
          <t>Claude (AI Engineer)</t>
        </is>
      </c>
      <c r="J221" s="3" t="inlineStr">
        <is>
          <t>SIT</t>
        </is>
      </c>
      <c r="K221" s="3" t="inlineStr">
        <is>
          <t>Verified: the mobile menu toggle has aria-label and aria-expanded attributes.</t>
        </is>
      </c>
    </row>
    <row r="222" ht="27.6" customHeight="1">
      <c r="A222" s="3" t="inlineStr">
        <is>
          <t>AC-009-001-01</t>
        </is>
      </c>
      <c r="B222" s="3" t="inlineStr">
        <is>
          <t>US-009-001</t>
        </is>
      </c>
      <c r="C222" s="3" t="inlineStr">
        <is>
          <t>EP-009</t>
        </is>
      </c>
      <c r="D222" s="3" t="inlineStr">
        <is>
          <t>User can identify the attendance record and proposed correction.</t>
        </is>
      </c>
      <c r="E222" s="3" t="n"/>
      <c r="F222" s="3" t="inlineStr">
        <is>
          <t>Pass</t>
        </is>
      </c>
      <c r="G222" s="3" t="n"/>
      <c r="H222" s="3" t="n"/>
      <c r="I222" s="3" t="inlineStr">
        <is>
          <t>Claude (AI Engineer)</t>
        </is>
      </c>
      <c r="J222" s="3" t="inlineStr">
        <is>
          <t>SIT</t>
        </is>
      </c>
      <c r="K222" s="3" t="inlineStr">
        <is>
          <t>Live test 2026-09-08: POST /corrections identifying an exact target session -&gt; 201.</t>
        </is>
      </c>
    </row>
    <row r="223" ht="27.6" customHeight="1">
      <c r="A223" s="3" t="inlineStr">
        <is>
          <t>AC-009-001-02</t>
        </is>
      </c>
      <c r="B223" s="3" t="inlineStr">
        <is>
          <t>US-009-001</t>
        </is>
      </c>
      <c r="C223" s="3" t="inlineStr">
        <is>
          <t>EP-009</t>
        </is>
      </c>
      <c r="D223" s="3" t="inlineStr">
        <is>
          <t>Reason is mandatory.</t>
        </is>
      </c>
      <c r="E223" s="3" t="n"/>
      <c r="F223" s="3" t="inlineStr">
        <is>
          <t>Pass</t>
        </is>
      </c>
      <c r="G223" s="3" t="n"/>
      <c r="H223" s="3" t="n"/>
      <c r="I223" s="3" t="inlineStr">
        <is>
          <t>Claude (AI Engineer)</t>
        </is>
      </c>
      <c r="J223" s="3" t="inlineStr">
        <is>
          <t>SIT</t>
        </is>
      </c>
      <c r="K223" s="3" t="inlineStr">
        <is>
          <t>Live test 2026-09-08: POST /corrections with no reason -&gt; 400 "reason: Required".</t>
        </is>
      </c>
    </row>
    <row r="224" ht="27.6" customHeight="1">
      <c r="A224" s="3" t="inlineStr">
        <is>
          <t>AC-009-001-03</t>
        </is>
      </c>
      <c r="B224" s="3" t="inlineStr">
        <is>
          <t>US-009-001</t>
        </is>
      </c>
      <c r="C224" s="3" t="inlineStr">
        <is>
          <t>EP-009</t>
        </is>
      </c>
      <c r="D224" s="3" t="inlineStr">
        <is>
          <t>Request does not overwrite original values before approval.</t>
        </is>
      </c>
      <c r="E224" s="3" t="n"/>
      <c r="F224" s="3" t="inlineStr">
        <is>
          <t>Pass</t>
        </is>
      </c>
      <c r="G224" s="3" t="n"/>
      <c r="H224" s="3" t="n"/>
      <c r="I224" s="3" t="inlineStr">
        <is>
          <t>Claude (AI Engineer)</t>
        </is>
      </c>
      <c r="J224" s="3" t="inlineStr">
        <is>
          <t>SIT</t>
        </is>
      </c>
      <c r="K224" s="3" t="inlineStr">
        <is>
          <t>Live test 2026-09-08: original clockInAt unchanged immediately after requesting a correction, before any approval.</t>
        </is>
      </c>
    </row>
    <row r="225" ht="27.6" customHeight="1">
      <c r="A225" s="3" t="inlineStr">
        <is>
          <t>AC-009-001-04</t>
        </is>
      </c>
      <c r="B225" s="3" t="inlineStr">
        <is>
          <t>US-009-001</t>
        </is>
      </c>
      <c r="C225" s="3" t="inlineStr">
        <is>
          <t>EP-009</t>
        </is>
      </c>
      <c r="D225" s="3" t="inlineStr">
        <is>
          <t>Request status is visible to user.</t>
        </is>
      </c>
      <c r="E225" s="3" t="n"/>
      <c r="F225" s="3" t="inlineStr">
        <is>
          <t>Pass</t>
        </is>
      </c>
      <c r="G225" s="3" t="n"/>
      <c r="H225" s="3" t="n"/>
      <c r="I225" s="3" t="inlineStr">
        <is>
          <t>Claude (AI Engineer)</t>
        </is>
      </c>
      <c r="J225" s="3" t="inlineStr">
        <is>
          <t>SIT</t>
        </is>
      </c>
      <c r="K225" s="3" t="inlineStr">
        <is>
          <t>Live test 2026-09-08: GET /corrections/mine shows status=PENDING for the just-submitted request.</t>
        </is>
      </c>
    </row>
    <row r="226" ht="27.6" customHeight="1">
      <c r="A226" s="3" t="inlineStr">
        <is>
          <t>AC-009-002-01</t>
        </is>
      </c>
      <c r="B226" s="3" t="inlineStr">
        <is>
          <t>US-009-002</t>
        </is>
      </c>
      <c r="C226" s="3" t="inlineStr">
        <is>
          <t>EP-009</t>
        </is>
      </c>
      <c r="D226" s="3" t="inlineStr">
        <is>
          <t>Administrator sees original, proposed value and reason.</t>
        </is>
      </c>
      <c r="E226" s="3" t="n"/>
      <c r="F226" s="3" t="inlineStr">
        <is>
          <t>Pass</t>
        </is>
      </c>
      <c r="G226" s="3" t="n"/>
      <c r="H226" s="3" t="n"/>
      <c r="I226" s="3" t="inlineStr">
        <is>
          <t>Claude (AI Engineer)</t>
        </is>
      </c>
      <c r="J226" s="3" t="inlineStr">
        <is>
          <t>SIT</t>
        </is>
      </c>
      <c r="K226" s="3" t="inlineStr">
        <is>
          <t>FIXED 2026-09-08: the pending-corrections list only ever carried the proposed value, nowhere to see the original for comparison. Fixed (commit fb326d8) by re-fetching each target's current interval in listPending(); admin corrections page now shows current vs. proposed side-by-side. Verified live post-deploy.</t>
        </is>
      </c>
    </row>
    <row r="227" ht="27.6" customHeight="1">
      <c r="A227" s="3" t="inlineStr">
        <is>
          <t>AC-009-002-02</t>
        </is>
      </c>
      <c r="B227" s="3" t="inlineStr">
        <is>
          <t>US-009-002</t>
        </is>
      </c>
      <c r="C227" s="3" t="inlineStr">
        <is>
          <t>EP-009</t>
        </is>
      </c>
      <c r="D227" s="3" t="inlineStr">
        <is>
          <t>Approval creates corrected effective values while retaining original audit history.</t>
        </is>
      </c>
      <c r="E227" s="3" t="n"/>
      <c r="F227" s="3" t="inlineStr">
        <is>
          <t>Pass</t>
        </is>
      </c>
      <c r="G227" s="3" t="n"/>
      <c r="H227" s="3" t="n"/>
      <c r="I227" s="3" t="inlineStr">
        <is>
          <t>Claude (AI Engineer)</t>
        </is>
      </c>
      <c r="J227" s="3" t="inlineStr">
        <is>
          <t>SIT</t>
        </is>
      </c>
      <c r="K227" s="3" t="inlineStr">
        <is>
          <t>Live test 2026-09-08: approve -&gt; 201 (NestJS default for POST, no @HttpCode override), status=APPROVED, record shows the corrected value immediately after.</t>
        </is>
      </c>
    </row>
    <row r="228" ht="27.6" customHeight="1">
      <c r="A228" s="3" t="inlineStr">
        <is>
          <t>AC-009-002-03</t>
        </is>
      </c>
      <c r="B228" s="3" t="inlineStr">
        <is>
          <t>US-009-002</t>
        </is>
      </c>
      <c r="C228" s="3" t="inlineStr">
        <is>
          <t>EP-009</t>
        </is>
      </c>
      <c r="D228" s="3" t="inlineStr">
        <is>
          <t>Rejection records decision and optional comment.</t>
        </is>
      </c>
      <c r="E228" s="3" t="n"/>
      <c r="F228" s="3" t="inlineStr">
        <is>
          <t>Pass</t>
        </is>
      </c>
      <c r="G228" s="3" t="n"/>
      <c r="H228" s="3" t="n"/>
      <c r="I228" s="3" t="inlineStr">
        <is>
          <t>Claude (AI Engineer)</t>
        </is>
      </c>
      <c r="J228" s="3" t="inlineStr">
        <is>
          <t>SIT</t>
        </is>
      </c>
      <c r="K228" s="3" t="inlineStr">
        <is>
          <t>Live test 2026-09-08: reject with a comment -&gt; 201, status=REJECTED, decisionComment persisted exactly as submitted.</t>
        </is>
      </c>
    </row>
    <row r="229" ht="27.6" customHeight="1">
      <c r="A229" s="3" t="inlineStr">
        <is>
          <t>AC-009-002-04</t>
        </is>
      </c>
      <c r="B229" s="3" t="inlineStr">
        <is>
          <t>US-009-002</t>
        </is>
      </c>
      <c r="C229" s="3" t="inlineStr">
        <is>
          <t>EP-009</t>
        </is>
      </c>
      <c r="D229" s="3" t="inlineStr">
        <is>
          <t>Decision is audited.</t>
        </is>
      </c>
      <c r="E229" s="3" t="n"/>
      <c r="F229" s="3" t="inlineStr">
        <is>
          <t>Pass</t>
        </is>
      </c>
      <c r="G229" s="3" t="n"/>
      <c r="H229" s="3" t="n"/>
      <c r="I229" s="3" t="inlineStr">
        <is>
          <t>Claude (AI Engineer)</t>
        </is>
      </c>
      <c r="J229" s="3" t="inlineStr">
        <is>
          <t>SIT</t>
        </is>
      </c>
      <c r="K229" s="3" t="inlineStr">
        <is>
          <t>Live test 2026-09-08: audit log contains CORRECTION_APPROVED with real before/after values.</t>
        </is>
      </c>
    </row>
    <row r="230" ht="27.6" customHeight="1">
      <c r="A230" s="3" t="inlineStr">
        <is>
          <t>AC-009-003-01</t>
        </is>
      </c>
      <c r="B230" s="3" t="inlineStr">
        <is>
          <t>US-009-003</t>
        </is>
      </c>
      <c r="C230" s="3" t="inlineStr">
        <is>
          <t>EP-009</t>
        </is>
      </c>
      <c r="D230" s="3" t="inlineStr">
        <is>
          <t>User selects affected task interval.</t>
        </is>
      </c>
      <c r="E230" s="3" t="n"/>
      <c r="F230" s="3" t="inlineStr">
        <is>
          <t>Pass</t>
        </is>
      </c>
      <c r="G230" s="3" t="n"/>
      <c r="H230" s="3" t="n"/>
      <c r="I230" s="3" t="inlineStr">
        <is>
          <t>Claude (AI Engineer)</t>
        </is>
      </c>
      <c r="J230" s="3" t="inlineStr">
        <is>
          <t>SIT</t>
        </is>
      </c>
      <c r="K230" s="3" t="inlineStr">
        <is>
          <t>Live test 2026-09-08: correction request targets the exact TaskTimeEntry id.</t>
        </is>
      </c>
    </row>
    <row r="231" ht="27.6" customHeight="1">
      <c r="A231" s="3" t="inlineStr">
        <is>
          <t>AC-009-003-02</t>
        </is>
      </c>
      <c r="B231" s="3" t="inlineStr">
        <is>
          <t>US-009-003</t>
        </is>
      </c>
      <c r="C231" s="3" t="inlineStr">
        <is>
          <t>EP-009</t>
        </is>
      </c>
      <c r="D231" s="3" t="inlineStr">
        <is>
          <t>Proposed start/end/duration and reason are captured.</t>
        </is>
      </c>
      <c r="E231" s="3" t="n"/>
      <c r="F231" s="3" t="inlineStr">
        <is>
          <t>Pass</t>
        </is>
      </c>
      <c r="G231" s="3" t="n"/>
      <c r="H231" s="3" t="n"/>
      <c r="I231" s="3" t="inlineStr">
        <is>
          <t>Claude (AI Engineer)</t>
        </is>
      </c>
      <c r="J231" s="3" t="inlineStr">
        <is>
          <t>SIT</t>
        </is>
      </c>
      <c r="K231" s="3" t="inlineStr">
        <is>
          <t>Live test 2026-09-08: proposed start, end and reason all captured on the request record.</t>
        </is>
      </c>
    </row>
    <row r="232" ht="27.6" customHeight="1">
      <c r="A232" s="3" t="inlineStr">
        <is>
          <t>AC-009-003-03</t>
        </is>
      </c>
      <c r="B232" s="3" t="inlineStr">
        <is>
          <t>US-009-003</t>
        </is>
      </c>
      <c r="C232" s="3" t="inlineStr">
        <is>
          <t>EP-009</t>
        </is>
      </c>
      <c r="D232" s="3" t="inlineStr">
        <is>
          <t>Original interval remains intact until approval.</t>
        </is>
      </c>
      <c r="E232" s="3" t="n"/>
      <c r="F232" s="3" t="inlineStr">
        <is>
          <t>Pass</t>
        </is>
      </c>
      <c r="G232" s="3" t="n"/>
      <c r="H232" s="3" t="n"/>
      <c r="I232" s="3" t="inlineStr">
        <is>
          <t>Claude (AI Engineer)</t>
        </is>
      </c>
      <c r="J232" s="3" t="inlineStr">
        <is>
          <t>SIT</t>
        </is>
      </c>
      <c r="K232" s="3" t="inlineStr">
        <is>
          <t>Live test 2026-09-08: the task time entry's endAt is unchanged immediately after requesting, before approval.</t>
        </is>
      </c>
    </row>
    <row r="233" ht="27.6" customHeight="1">
      <c r="A233" s="3" t="inlineStr">
        <is>
          <t>AC-009-003-04</t>
        </is>
      </c>
      <c r="B233" s="3" t="inlineStr">
        <is>
          <t>US-009-003</t>
        </is>
      </c>
      <c r="C233" s="3" t="inlineStr">
        <is>
          <t>EP-009</t>
        </is>
      </c>
      <c r="D233" s="3" t="inlineStr">
        <is>
          <t>Overlaps are validated before approval.</t>
        </is>
      </c>
      <c r="E233" s="3" t="n"/>
      <c r="F233" s="3" t="inlineStr">
        <is>
          <t>Pass</t>
        </is>
      </c>
      <c r="G233" s="3" t="n"/>
      <c r="H233" s="3" t="n"/>
      <c r="I233" s="3" t="inlineStr">
        <is>
          <t>Claude (AI Engineer)</t>
        </is>
      </c>
      <c r="J233" s="3" t="inlineStr">
        <is>
          <t>SIT</t>
        </is>
      </c>
      <c r="K233" s="3" t="inlineStr">
        <is>
          <t>Live test 2026-09-08: approving a correction whose proposed end now overlaps a second, later-recorded task segment -&gt; 400 "Proposed times overlap another recorded task time entry" - validated at approval time, not just at request time.</t>
        </is>
      </c>
    </row>
    <row r="234" ht="27.6" customHeight="1">
      <c r="A234" s="3" t="inlineStr">
        <is>
          <t>AC-009-004-01</t>
        </is>
      </c>
      <c r="B234" s="3" t="inlineStr">
        <is>
          <t>US-009-004</t>
        </is>
      </c>
      <c r="C234" s="3" t="inlineStr">
        <is>
          <t>EP-009</t>
        </is>
      </c>
      <c r="D234" s="3" t="inlineStr">
        <is>
          <t>Correction requires reason.</t>
        </is>
      </c>
      <c r="E234" s="3" t="n"/>
      <c r="F234" s="3" t="inlineStr">
        <is>
          <t>Pass</t>
        </is>
      </c>
      <c r="G234" s="3" t="n"/>
      <c r="H234" s="3" t="n"/>
      <c r="I234" s="3" t="inlineStr">
        <is>
          <t>Claude (AI Engineer)</t>
        </is>
      </c>
      <c r="J234" s="3" t="inlineStr">
        <is>
          <t>SIT</t>
        </is>
      </c>
      <c r="K234" s="3" t="inlineStr">
        <is>
          <t>Live test 2026-09-08: a reason under the 10-character minimum -&gt; 400 (same validation shared with attendance/break corrections).</t>
        </is>
      </c>
    </row>
    <row r="235" ht="27.6" customHeight="1">
      <c r="A235" s="3" t="inlineStr">
        <is>
          <t>AC-009-004-02</t>
        </is>
      </c>
      <c r="B235" s="3" t="inlineStr">
        <is>
          <t>US-009-004</t>
        </is>
      </c>
      <c r="C235" s="3" t="inlineStr">
        <is>
          <t>EP-009</t>
        </is>
      </c>
      <c r="D235" s="3" t="inlineStr">
        <is>
          <t>Before and after values are captured.</t>
        </is>
      </c>
      <c r="E235" s="3" t="n"/>
      <c r="F235" s="3" t="inlineStr">
        <is>
          <t>Pass</t>
        </is>
      </c>
      <c r="G235" s="3" t="n"/>
      <c r="H235" s="3" t="n"/>
      <c r="I235" s="3" t="inlineStr">
        <is>
          <t>Claude (AI Engineer)</t>
        </is>
      </c>
      <c r="J235" s="3" t="inlineStr">
        <is>
          <t>SIT</t>
        </is>
      </c>
      <c r="K235" s="3" t="inlineStr">
        <is>
          <t>Live test 2026-09-08: audit before/after values captured for a task time correction the same way as an attendance correction.</t>
        </is>
      </c>
    </row>
    <row r="236" ht="27.6" customHeight="1">
      <c r="A236" s="3" t="inlineStr">
        <is>
          <t>AC-009-004-03</t>
        </is>
      </c>
      <c r="B236" s="3" t="inlineStr">
        <is>
          <t>US-009-004</t>
        </is>
      </c>
      <c r="C236" s="3" t="inlineStr">
        <is>
          <t>EP-009</t>
        </is>
      </c>
      <c r="D236" s="3" t="inlineStr">
        <is>
          <t>Correction cannot create invalid overlapping active records.</t>
        </is>
      </c>
      <c r="E236" s="3" t="n"/>
      <c r="F236" s="3" t="inlineStr">
        <is>
          <t>Pass</t>
        </is>
      </c>
      <c r="G236" s="3" t="n"/>
      <c r="H236" s="3" t="n"/>
      <c r="I236" s="3" t="inlineStr">
        <is>
          <t>Claude (AI Engineer)</t>
        </is>
      </c>
      <c r="J236" s="3" t="inlineStr">
        <is>
          <t>SIT</t>
        </is>
      </c>
      <c r="K236" s="3" t="inlineStr">
        <is>
          <t>Same overlap-validation evidence as AC-009-003-04 - prevents an approval from creating an invalid overlapping active record.</t>
        </is>
      </c>
    </row>
    <row r="237" ht="27.6" customHeight="1">
      <c r="A237" s="3" t="inlineStr">
        <is>
          <t>AC-009-004-04</t>
        </is>
      </c>
      <c r="B237" s="3" t="inlineStr">
        <is>
          <t>US-009-004</t>
        </is>
      </c>
      <c r="C237" s="3" t="inlineStr">
        <is>
          <t>EP-009</t>
        </is>
      </c>
      <c r="D237" s="3" t="inlineStr">
        <is>
          <t>Action is written to audit log.</t>
        </is>
      </c>
      <c r="E237" s="3" t="n"/>
      <c r="F237" s="3" t="inlineStr">
        <is>
          <t>Pass</t>
        </is>
      </c>
      <c r="G237" s="3" t="n"/>
      <c r="H237" s="3" t="n"/>
      <c r="I237" s="3" t="inlineStr">
        <is>
          <t>Claude (AI Engineer)</t>
        </is>
      </c>
      <c r="J237" s="3" t="inlineStr">
        <is>
          <t>SIT</t>
        </is>
      </c>
      <c r="K237" s="3" t="inlineStr">
        <is>
          <t>Same audit entry evidence as AC-009-002-04 - every correction decision, on any target type, is written to the audit log.</t>
        </is>
      </c>
    </row>
    <row r="238" ht="27.6" customHeight="1">
      <c r="A238" s="3" t="inlineStr">
        <is>
          <t>AC-009-005-01</t>
        </is>
      </c>
      <c r="B238" s="3" t="inlineStr">
        <is>
          <t>US-009-005</t>
        </is>
      </c>
      <c r="C238" s="3" t="inlineStr">
        <is>
          <t>EP-009</t>
        </is>
      </c>
      <c r="D238" s="3" t="inlineStr">
        <is>
          <t>Audit captures actor, action, timestamp, object and change details.</t>
        </is>
      </c>
      <c r="E238" s="3" t="n"/>
      <c r="F238" s="3" t="inlineStr">
        <is>
          <t>Pass</t>
        </is>
      </c>
      <c r="G238" s="3" t="n"/>
      <c r="H238" s="3" t="n"/>
      <c r="I238" s="3" t="inlineStr">
        <is>
          <t>Claude (AI Engineer)</t>
        </is>
      </c>
      <c r="J238" s="3" t="inlineStr">
        <is>
          <t>SIT</t>
        </is>
      </c>
      <c r="K238" s="3" t="inlineStr">
        <is>
          <t>Live test 2026-09-08: a single audit entry carries actorId, action, createdAt, targetType, targetId, and before/after change details.</t>
        </is>
      </c>
    </row>
    <row r="239" ht="27.6" customHeight="1">
      <c r="A239" s="3" t="inlineStr">
        <is>
          <t>AC-009-005-02</t>
        </is>
      </c>
      <c r="B239" s="3" t="inlineStr">
        <is>
          <t>US-009-005</t>
        </is>
      </c>
      <c r="C239" s="3" t="inlineStr">
        <is>
          <t>EP-009</t>
        </is>
      </c>
      <c r="D239" s="3" t="inlineStr">
        <is>
          <t>Ordinary employees cannot edit audit records.</t>
        </is>
      </c>
      <c r="E239" s="3" t="n"/>
      <c r="F239" s="3" t="inlineStr">
        <is>
          <t>Pass</t>
        </is>
      </c>
      <c r="G239" s="3" t="n"/>
      <c r="H239" s="3" t="n"/>
      <c r="I239" s="3" t="inlineStr">
        <is>
          <t>Claude (AI Engineer)</t>
        </is>
      </c>
      <c r="J239" s="3" t="inlineStr">
        <is>
          <t>SIT</t>
        </is>
      </c>
      <c r="K239" s="3" t="inlineStr">
        <is>
          <t>Live test 2026-09-08: employee GET /audit -&gt; 403. No edit route exists on audit records for anyone, admin included - they are write-once by design.</t>
        </is>
      </c>
    </row>
    <row r="240" ht="27.6" customHeight="1">
      <c r="A240" s="3" t="inlineStr">
        <is>
          <t>AC-009-005-03</t>
        </is>
      </c>
      <c r="B240" s="3" t="inlineStr">
        <is>
          <t>US-009-005</t>
        </is>
      </c>
      <c r="C240" s="3" t="inlineStr">
        <is>
          <t>EP-009</t>
        </is>
      </c>
      <c r="D240" s="3" t="inlineStr">
        <is>
          <t>Audit can be filtered by user/date/action.</t>
        </is>
      </c>
      <c r="E240" s="3" t="n"/>
      <c r="F240" s="3" t="inlineStr">
        <is>
          <t>Pass</t>
        </is>
      </c>
      <c r="G240" s="3" t="n"/>
      <c r="H240" s="3" t="n"/>
      <c r="I240" s="3" t="inlineStr">
        <is>
          <t>Claude (AI Engineer)</t>
        </is>
      </c>
      <c r="J240" s="3" t="inlineStr">
        <is>
          <t>SIT</t>
        </is>
      </c>
      <c r="K240" s="3" t="inlineStr">
        <is>
          <t>Live test 2026-09-08: GET /audit?action=X returns only matching entries; actorId/from/to filters proven the same way elsewhere this session (EP-002 testing).</t>
        </is>
      </c>
    </row>
    <row r="241" ht="27.6" customHeight="1">
      <c r="A241" s="3" t="inlineStr">
        <is>
          <t>AC-009-005-04</t>
        </is>
      </c>
      <c r="B241" s="3" t="inlineStr">
        <is>
          <t>US-009-005</t>
        </is>
      </c>
      <c r="C241" s="3" t="inlineStr">
        <is>
          <t>EP-009</t>
        </is>
      </c>
      <c r="D241" s="3" t="inlineStr">
        <is>
          <t>Sensitive secrets/password data are never logged.</t>
        </is>
      </c>
      <c r="E241" s="3" t="n"/>
      <c r="F241" s="3" t="inlineStr">
        <is>
          <t>Pass</t>
        </is>
      </c>
      <c r="G241" s="3" t="n"/>
      <c r="H241" s="3" t="n"/>
      <c r="I241" s="3" t="inlineStr">
        <is>
          <t>Claude (AI Engineer)</t>
        </is>
      </c>
      <c r="J241" s="3" t="inlineStr">
        <is>
          <t>SIT</t>
        </is>
      </c>
      <c r="K241" s="3" t="inlineStr">
        <is>
          <t>Code-verified (apps/api/src/config/logger.ts): cookie/authorization headers redacted, request bodies never logged by default - confirmed manually earlier this session (AC-012-004-03).</t>
        </is>
      </c>
    </row>
    <row r="242" ht="27.6" customHeight="1">
      <c r="A242" s="3" t="inlineStr">
        <is>
          <t>AC-010-001-01</t>
        </is>
      </c>
      <c r="B242" s="3" t="inlineStr">
        <is>
          <t>US-010-001</t>
        </is>
      </c>
      <c r="C242" s="3" t="inlineStr">
        <is>
          <t>EP-010</t>
        </is>
      </c>
      <c r="D242" s="3" t="inlineStr">
        <is>
          <t>Report includes clock-in/out, break total and net work.</t>
        </is>
      </c>
      <c r="E242" s="3" t="n"/>
      <c r="F242" s="3" t="inlineStr">
        <is>
          <t>Pass</t>
        </is>
      </c>
      <c r="G242" s="3" t="n"/>
      <c r="H242" s="3" t="n"/>
      <c r="I242" s="3" t="inlineStr">
        <is>
          <t>Claude (AI Engineer)</t>
        </is>
      </c>
      <c r="J242" s="3" t="inlineStr">
        <is>
          <t>SIT</t>
        </is>
      </c>
      <c r="K242" s="3" t="inlineStr">
        <is>
          <t>PASS - live GET /reports/attendance?format=json against Azure: row carries clockIn, clockOut, breakMinutes, netWorkingMinutes as real ISO timestamps/numbers for a real clock-in/break/clock-out session.</t>
        </is>
      </c>
    </row>
    <row r="243" ht="27.6" customHeight="1">
      <c r="A243" s="3" t="inlineStr">
        <is>
          <t>AC-010-001-02</t>
        </is>
      </c>
      <c r="B243" s="3" t="inlineStr">
        <is>
          <t>US-010-001</t>
        </is>
      </c>
      <c r="C243" s="3" t="inlineStr">
        <is>
          <t>EP-010</t>
        </is>
      </c>
      <c r="D243" s="3" t="inlineStr">
        <is>
          <t>Report can filter by date and user/department.</t>
        </is>
      </c>
      <c r="E243" s="3" t="n"/>
      <c r="F243" s="3" t="inlineStr">
        <is>
          <t>Pass</t>
        </is>
      </c>
      <c r="G243" s="3" t="n"/>
      <c r="H243" s="3" t="n"/>
      <c r="I243" s="3" t="inlineStr">
        <is>
          <t>Claude (AI Engineer)</t>
        </is>
      </c>
      <c r="J243" s="3" t="inlineStr">
        <is>
          <t>SIT</t>
        </is>
      </c>
      <c r="K243" s="3" t="inlineStr">
        <is>
          <t>PASS - live test: ?userId=&lt;empA&gt; returns only empA's row; ?departmentId=&lt;deptB&gt; returns only the employee actually in that department (empB), with a second employee in a different department correctly excluded.</t>
        </is>
      </c>
    </row>
    <row r="244" ht="27.6" customHeight="1">
      <c r="A244" s="3" t="inlineStr">
        <is>
          <t>AC-010-001-03</t>
        </is>
      </c>
      <c r="B244" s="3" t="inlineStr">
        <is>
          <t>US-010-001</t>
        </is>
      </c>
      <c r="C244" s="3" t="inlineStr">
        <is>
          <t>EP-010</t>
        </is>
      </c>
      <c r="D244" s="3" t="inlineStr">
        <is>
          <t>Incomplete records are clearly flagged.</t>
        </is>
      </c>
      <c r="E244" s="3" t="n"/>
      <c r="F244" s="3" t="inlineStr">
        <is>
          <t>Pass</t>
        </is>
      </c>
      <c r="G244" s="3" t="n"/>
      <c r="H244" s="3" t="n"/>
      <c r="I244" s="3" t="inlineStr">
        <is>
          <t>Claude (AI Engineer)</t>
        </is>
      </c>
      <c r="J244" s="3" t="inlineStr">
        <is>
          <t>SIT</t>
        </is>
      </c>
      <c r="K244" s="3" t="inlineStr">
        <is>
          <t>PASS - live test: a session left clocked-in with no clock-out reports incomplete=true; a completed session reports incomplete=false.</t>
        </is>
      </c>
    </row>
    <row r="245" ht="27.6" customHeight="1">
      <c r="A245" s="3" t="inlineStr">
        <is>
          <t>AC-010-001-04</t>
        </is>
      </c>
      <c r="B245" s="3" t="inlineStr">
        <is>
          <t>US-010-001</t>
        </is>
      </c>
      <c r="C245" s="3" t="inlineStr">
        <is>
          <t>EP-010</t>
        </is>
      </c>
      <c r="D245" s="3" t="inlineStr">
        <is>
          <t>Totals are derived from source records.</t>
        </is>
      </c>
      <c r="E245" s="3" t="n"/>
      <c r="F245" s="3" t="inlineStr">
        <is>
          <t>Pass</t>
        </is>
      </c>
      <c r="G245" s="3" t="n"/>
      <c r="H245" s="3" t="n"/>
      <c r="I245" s="3" t="inlineStr">
        <is>
          <t>Claude (AI Engineer)</t>
        </is>
      </c>
      <c r="J245" s="3" t="inlineStr">
        <is>
          <t>SIT</t>
        </is>
      </c>
      <c r="K245" s="3" t="inlineStr">
        <is>
          <t>PASS - live test: independently recomputed net = gross(clockOut-clockIn) - breakMinutes from the raw timestamps and matched the report's netWorkingMinutes within rounding, confirming totals are derived from source records, not a separate stored value.</t>
        </is>
      </c>
    </row>
    <row r="246" ht="27.6" customHeight="1">
      <c r="A246" s="3" t="inlineStr">
        <is>
          <t>AC-010-002-01</t>
        </is>
      </c>
      <c r="B246" s="3" t="inlineStr">
        <is>
          <t>US-010-002</t>
        </is>
      </c>
      <c r="C246" s="3" t="inlineStr">
        <is>
          <t>EP-010</t>
        </is>
      </c>
      <c r="D246" s="3" t="inlineStr">
        <is>
          <t>Report aggregates net work and break hours by user.</t>
        </is>
      </c>
      <c r="E246" s="3" t="n"/>
      <c r="F246" s="3" t="inlineStr">
        <is>
          <t>Pass</t>
        </is>
      </c>
      <c r="G246" s="3" t="n"/>
      <c r="H246" s="3" t="n"/>
      <c r="I246" s="3" t="inlineStr">
        <is>
          <t>Claude (AI Engineer)</t>
        </is>
      </c>
      <c r="J246" s="3" t="inlineStr">
        <is>
          <t>SIT</t>
        </is>
      </c>
      <c r="K246" s="3" t="inlineStr">
        <is>
          <t>PASS (after fix) - US-010-002's aggregated-by-employee view did not exist at all before this pass (only raw daily rows were shown), found via AC testing. Added a client-side "Summarise by employee" toggle (apps/web/.../admin/reports/page.tsx); live-verified in-browser against real data: totals by employee table showed correct per-employee day counts and minute totals.</t>
        </is>
      </c>
    </row>
    <row r="247" ht="27.6" customHeight="1">
      <c r="A247" s="3" t="inlineStr">
        <is>
          <t>AC-010-002-02</t>
        </is>
      </c>
      <c r="B247" s="3" t="inlineStr">
        <is>
          <t>US-010-002</t>
        </is>
      </c>
      <c r="C247" s="3" t="inlineStr">
        <is>
          <t>EP-010</t>
        </is>
      </c>
      <c r="D247" s="3" t="inlineStr">
        <is>
          <t>Date period can be selected.</t>
        </is>
      </c>
      <c r="E247" s="3" t="n"/>
      <c r="F247" s="3" t="inlineStr">
        <is>
          <t>Pass</t>
        </is>
      </c>
      <c r="G247" s="3" t="n"/>
      <c r="H247" s="3" t="n"/>
      <c r="I247" s="3" t="inlineStr">
        <is>
          <t>Claude (AI Engineer)</t>
        </is>
      </c>
      <c r="J247" s="3" t="inlineStr">
        <is>
          <t>SIT</t>
        </is>
      </c>
      <c r="K247" s="3" t="inlineStr">
        <is>
          <t>PASS - the summary view reuses the same From/To date inputs as daily detail; live-verified the summary title reflects the selected period ("TOTALS BY EMPLOYEE, 2026-08-10 - 2026-09-09") and updates when Run is re-clicked.</t>
        </is>
      </c>
    </row>
    <row r="248" ht="27.6" customHeight="1">
      <c r="A248" s="3" t="inlineStr">
        <is>
          <t>AC-010-002-03</t>
        </is>
      </c>
      <c r="B248" s="3" t="inlineStr">
        <is>
          <t>US-010-002</t>
        </is>
      </c>
      <c r="C248" s="3" t="inlineStr">
        <is>
          <t>EP-010</t>
        </is>
      </c>
      <c r="D248" s="3" t="inlineStr">
        <is>
          <t>Daily detail can be drilled from summary.</t>
        </is>
      </c>
      <c r="E248" s="3" t="n"/>
      <c r="F248" s="3" t="inlineStr">
        <is>
          <t>Pass</t>
        </is>
      </c>
      <c r="G248" s="3" t="n"/>
      <c r="H248" s="3" t="n"/>
      <c r="I248" s="3" t="inlineStr">
        <is>
          <t>Claude (AI Engineer)</t>
        </is>
      </c>
      <c r="J248" s="3" t="inlineStr">
        <is>
          <t>SIT</t>
        </is>
      </c>
      <c r="K248" s="3" t="inlineStr">
        <is>
          <t>PASS (after fix) - live-verified: clicking "View daily detail" on a summary row drills into exactly that employee's raw sessions (2 rows for a 2-day employee), with a working "Back to summary" link.</t>
        </is>
      </c>
    </row>
    <row r="249" ht="27.6" customHeight="1">
      <c r="A249" s="3" t="inlineStr">
        <is>
          <t>AC-010-002-04</t>
        </is>
      </c>
      <c r="B249" s="3" t="inlineStr">
        <is>
          <t>US-010-002</t>
        </is>
      </c>
      <c r="C249" s="3" t="inlineStr">
        <is>
          <t>EP-010</t>
        </is>
      </c>
      <c r="D249" s="3" t="inlineStr">
        <is>
          <t>Aggregate totals reconcile to daily records.</t>
        </is>
      </c>
      <c r="E249" s="3" t="n"/>
      <c r="F249" s="3" t="inlineStr">
        <is>
          <t>Pass</t>
        </is>
      </c>
      <c r="G249" s="3" t="n"/>
      <c r="H249" s="3" t="n"/>
      <c r="I249" s="3" t="inlineStr">
        <is>
          <t>Claude (AI Engineer)</t>
        </is>
      </c>
      <c r="J249" s="3" t="inlineStr">
        <is>
          <t>SIT</t>
        </is>
      </c>
      <c r="K249" s="3" t="inlineStr">
        <is>
          <t>PASS (after fix) - the summary is computed as a client-side reduce/sum over the same rows shown in daily detail (not a separate query), so totals reconcile to daily records by construction; live-verified the employee/day counts in the summary matched the drilled-down daily rows exactly.</t>
        </is>
      </c>
    </row>
    <row r="250" ht="27.6" customHeight="1">
      <c r="A250" s="3" t="inlineStr">
        <is>
          <t>AC-010-003-01</t>
        </is>
      </c>
      <c r="B250" s="3" t="inlineStr">
        <is>
          <t>US-010-003</t>
        </is>
      </c>
      <c r="C250" s="3" t="inlineStr">
        <is>
          <t>EP-010</t>
        </is>
      </c>
      <c r="D250" s="3" t="inlineStr">
        <is>
          <t>Report can group by user, task and date.</t>
        </is>
      </c>
      <c r="E250" s="3" t="n"/>
      <c r="F250" s="3" t="inlineStr">
        <is>
          <t>Pass</t>
        </is>
      </c>
      <c r="G250" s="3" t="n"/>
      <c r="H250" s="3" t="n"/>
      <c r="I250" s="3" t="inlineStr">
        <is>
          <t>Claude (AI Engineer)</t>
        </is>
      </c>
      <c r="J250" s="3" t="inlineStr">
        <is>
          <t>SIT</t>
        </is>
      </c>
      <c r="K250" s="3" t="inlineStr">
        <is>
          <t>PASS - live test: ?taskId=&lt;x&gt; scopes the task-time report to exactly 1 row for that task; ?userId=&lt;empA&gt; scopes to that employee's entries only (2 rows, both tasks); date field present on every row.</t>
        </is>
      </c>
    </row>
    <row r="251" ht="27.6" customHeight="1">
      <c r="A251" s="3" t="inlineStr">
        <is>
          <t>AC-010-003-02</t>
        </is>
      </c>
      <c r="B251" s="3" t="inlineStr">
        <is>
          <t>US-010-003</t>
        </is>
      </c>
      <c r="C251" s="3" t="inlineStr">
        <is>
          <t>EP-010</t>
        </is>
      </c>
      <c r="D251" s="3" t="inlineStr">
        <is>
          <t>Shows actual duration and task status.</t>
        </is>
      </c>
      <c r="E251" s="3" t="n"/>
      <c r="F251" s="3" t="inlineStr">
        <is>
          <t>Pass</t>
        </is>
      </c>
      <c r="G251" s="3" t="n"/>
      <c r="H251" s="3" t="n"/>
      <c r="I251" s="3" t="inlineStr">
        <is>
          <t>Claude (AI Engineer)</t>
        </is>
      </c>
      <c r="J251" s="3" t="inlineStr">
        <is>
          <t>SIT</t>
        </is>
      </c>
      <c r="K251" s="3" t="inlineStr">
        <is>
          <t>PASS - live test: row carries durationMinutes (numeric, correctly rounds a sub-minute timer run to 0 per Math.round((end-start)/60000) in reports.service.ts) and taskStatus=IN_PROGRESS (auto-transitioned from TO_DO on timer start).</t>
        </is>
      </c>
    </row>
    <row r="252" ht="27.6" customHeight="1">
      <c r="A252" s="3" t="inlineStr">
        <is>
          <t>AC-010-003-03</t>
        </is>
      </c>
      <c r="B252" s="3" t="inlineStr">
        <is>
          <t>US-010-003</t>
        </is>
      </c>
      <c r="C252" s="3" t="inlineStr">
        <is>
          <t>EP-010</t>
        </is>
      </c>
      <c r="D252" s="3" t="inlineStr">
        <is>
          <t>Estimate versus actual is shown where estimate exists.</t>
        </is>
      </c>
      <c r="E252" s="3" t="n"/>
      <c r="F252" s="3" t="inlineStr">
        <is>
          <t>Pass</t>
        </is>
      </c>
      <c r="G252" s="3" t="n"/>
      <c r="H252" s="3" t="n"/>
      <c r="I252" s="3" t="inlineStr">
        <is>
          <t>Claude (AI Engineer)</t>
        </is>
      </c>
      <c r="J252" s="3" t="inlineStr">
        <is>
          <t>SIT</t>
        </is>
      </c>
      <c r="K252" s="3" t="inlineStr">
        <is>
          <t>PASS - live test: a task created with estimatedMinutes=120 shows estimatedMinutes=120 in the report; a task created with no estimate shows null.</t>
        </is>
      </c>
    </row>
    <row r="253" ht="27.6" customHeight="1">
      <c r="A253" s="3" t="inlineStr">
        <is>
          <t>AC-010-003-04</t>
        </is>
      </c>
      <c r="B253" s="3" t="inlineStr">
        <is>
          <t>US-010-003</t>
        </is>
      </c>
      <c r="C253" s="3" t="inlineStr">
        <is>
          <t>EP-010</t>
        </is>
      </c>
      <c r="D253" s="3" t="inlineStr">
        <is>
          <t>Filters apply consistently to export.</t>
        </is>
      </c>
      <c r="E253" s="3" t="n"/>
      <c r="F253" s="3" t="inlineStr">
        <is>
          <t>Pass</t>
        </is>
      </c>
      <c r="G253" s="3" t="n"/>
      <c r="H253" s="3" t="n"/>
      <c r="I253" s="3" t="inlineStr">
        <is>
          <t>Claude (AI Engineer)</t>
        </is>
      </c>
      <c r="J253" s="3" t="inlineStr">
        <is>
          <t>SIT</t>
        </is>
      </c>
      <c r="K253" s="3" t="inlineStr">
        <is>
          <t>PASS - live test: CSV export with ?taskId=&lt;x&gt; returned exactly 1 data row, matching the JSON response's row count for the same filter.</t>
        </is>
      </c>
    </row>
    <row r="254" ht="27.6" customHeight="1">
      <c r="A254" s="3" t="inlineStr">
        <is>
          <t>AC-010-004-01</t>
        </is>
      </c>
      <c r="B254" s="3" t="inlineStr">
        <is>
          <t>US-010-004</t>
        </is>
      </c>
      <c r="C254" s="3" t="inlineStr">
        <is>
          <t>EP-010</t>
        </is>
      </c>
      <c r="D254" s="3" t="inlineStr">
        <is>
          <t>Report shows net work, task time and unallocated time.</t>
        </is>
      </c>
      <c r="E254" s="3" t="n"/>
      <c r="F254" s="3" t="inlineStr">
        <is>
          <t>Pass</t>
        </is>
      </c>
      <c r="G254" s="3" t="n"/>
      <c r="H254" s="3" t="n"/>
      <c r="I254" s="3" t="inlineStr">
        <is>
          <t>Claude (AI Engineer)</t>
        </is>
      </c>
      <c r="J254" s="3" t="inlineStr">
        <is>
          <t>SIT</t>
        </is>
      </c>
      <c r="K254" s="3" t="inlineStr">
        <is>
          <t>PASS - live test: unallocated-report row carries netWorkingMinutes, taskMinutes and unallocatedMinutes as real computed numbers (reconcile() from packages/shared/time-math.ts).</t>
        </is>
      </c>
    </row>
    <row r="255" ht="27.6" customHeight="1">
      <c r="A255" s="3" t="inlineStr">
        <is>
          <t>AC-010-004-02</t>
        </is>
      </c>
      <c r="B255" s="3" t="inlineStr">
        <is>
          <t>US-010-004</t>
        </is>
      </c>
      <c r="C255" s="3" t="inlineStr">
        <is>
          <t>EP-010</t>
        </is>
      </c>
      <c r="D255" s="3" t="inlineStr">
        <is>
          <t>Users/days with zero unallocated time can be included/excluded.</t>
        </is>
      </c>
      <c r="E255" s="3" t="n"/>
      <c r="F255" s="3" t="inlineStr">
        <is>
          <t>Pass</t>
        </is>
      </c>
      <c r="G255" s="3" t="n"/>
      <c r="H255" s="3" t="n"/>
      <c r="I255" s="3" t="inlineStr">
        <is>
          <t>Claude (AI Engineer)</t>
        </is>
      </c>
      <c r="J255" s="3" t="inlineStr">
        <is>
          <t>SIT</t>
        </is>
      </c>
      <c r="K255" s="3" t="inlineStr">
        <is>
          <t>PASS (after fix) - no include/exclude-zero-unallocated-days control existed anywhere (no backend param, no frontend toggle), found via AC testing. Added a client-side "Hide zero-unallocated days" toggle; live-verified in-browser: 5 rows (3 with unallocatedMinutes=0) reduced to exactly the 2 nonzero rows when toggled on, button label flipped to "Show zero-unallocated days".</t>
        </is>
      </c>
    </row>
    <row r="256" ht="27.6" customHeight="1">
      <c r="A256" s="3" t="inlineStr">
        <is>
          <t>AC-010-004-03</t>
        </is>
      </c>
      <c r="B256" s="3" t="inlineStr">
        <is>
          <t>US-010-004</t>
        </is>
      </c>
      <c r="C256" s="3" t="inlineStr">
        <is>
          <t>EP-010</t>
        </is>
      </c>
      <c r="D256" s="3" t="inlineStr">
        <is>
          <t>Negative/impossible values are flagged as exceptions.</t>
        </is>
      </c>
      <c r="E256" s="3" t="n"/>
      <c r="F256" s="3" t="inlineStr">
        <is>
          <t>Pass</t>
        </is>
      </c>
      <c r="G256" s="3" t="n"/>
      <c r="H256" s="3" t="n"/>
      <c r="I256" s="3" t="inlineStr">
        <is>
          <t>Claude (AI Engineer)</t>
        </is>
      </c>
      <c r="J256" s="3" t="inlineStr">
        <is>
          <t>SIT</t>
        </is>
      </c>
      <c r="K256" s="3" t="inlineStr">
        <is>
          <t>PASS - live test via direct DB write (the kind of bad data a correction could in principle produce, see AC-009-003-04 which blocks it at approval time - this verifies the REPORT itself flags such data if present by any means): inserted a task time entry extending 30min past a session's clock-out, forcing task time &gt; net working time; report correctly returned dataQualityException=true for that row (reconcile()'s rawUnallocated &lt; -0.01 check in time-math.ts).</t>
        </is>
      </c>
    </row>
    <row r="257" ht="27.6" customHeight="1">
      <c r="A257" s="3" t="inlineStr">
        <is>
          <t>AC-010-004-04</t>
        </is>
      </c>
      <c r="B257" s="3" t="inlineStr">
        <is>
          <t>US-010-004</t>
        </is>
      </c>
      <c r="C257" s="3" t="inlineStr">
        <is>
          <t>EP-010</t>
        </is>
      </c>
      <c r="D257" s="3" t="inlineStr">
        <is>
          <t>Report supports date and user filters.</t>
        </is>
      </c>
      <c r="E257" s="3" t="n"/>
      <c r="F257" s="3" t="inlineStr">
        <is>
          <t>Pass</t>
        </is>
      </c>
      <c r="G257" s="3" t="n"/>
      <c r="H257" s="3" t="n"/>
      <c r="I257" s="3" t="inlineStr">
        <is>
          <t>Claude (AI Engineer)</t>
        </is>
      </c>
      <c r="J257" s="3" t="inlineStr">
        <is>
          <t>SIT</t>
        </is>
      </c>
      <c r="K257" s="3" t="inlineStr">
        <is>
          <t>PASS - ?userId= filter proven above (scoped to 1 employee); ?from/?to are required by parseRange() and drive every row in the report, same mechanism proven for AC-010-001-02.</t>
        </is>
      </c>
    </row>
    <row r="258" ht="27.6" customHeight="1">
      <c r="A258" s="3" t="inlineStr">
        <is>
          <t>AC-010-005-01</t>
        </is>
      </c>
      <c r="B258" s="3" t="inlineStr">
        <is>
          <t>US-010-005</t>
        </is>
      </c>
      <c r="C258" s="3" t="inlineStr">
        <is>
          <t>EP-010</t>
        </is>
      </c>
      <c r="D258" s="3" t="inlineStr">
        <is>
          <t>MVP supports CSV and XLSX export.</t>
        </is>
      </c>
      <c r="E258" s="3" t="n"/>
      <c r="F258" s="3" t="inlineStr">
        <is>
          <t>Pass</t>
        </is>
      </c>
      <c r="G258" s="3" t="n"/>
      <c r="H258" s="3" t="n"/>
      <c r="I258" s="3" t="inlineStr">
        <is>
          <t>Claude (AI Engineer)</t>
        </is>
      </c>
      <c r="J258" s="3" t="inlineStr">
        <is>
          <t>SIT</t>
        </is>
      </c>
      <c r="K258" s="3" t="inlineStr">
        <is>
          <t>PASS - live test: GET .../attendance?format=csv -&gt; 200, content-type text/csv; XLSX format exercised (and timed) in AC-010-005-04.</t>
        </is>
      </c>
    </row>
    <row r="259" ht="27.6" customHeight="1">
      <c r="A259" s="3" t="inlineStr">
        <is>
          <t>AC-010-005-02</t>
        </is>
      </c>
      <c r="B259" s="3" t="inlineStr">
        <is>
          <t>US-010-005</t>
        </is>
      </c>
      <c r="C259" s="3" t="inlineStr">
        <is>
          <t>EP-010</t>
        </is>
      </c>
      <c r="D259" s="3" t="inlineStr">
        <is>
          <t>Export respects active filters and permissions.</t>
        </is>
      </c>
      <c r="E259" s="3" t="n"/>
      <c r="F259" s="3" t="inlineStr">
        <is>
          <t>Pass</t>
        </is>
      </c>
      <c r="G259" s="3" t="n"/>
      <c r="H259" s="3" t="n"/>
      <c r="I259" s="3" t="inlineStr">
        <is>
          <t>Claude (AI Engineer)</t>
        </is>
      </c>
      <c r="J259" s="3" t="inlineStr">
        <is>
          <t>SIT</t>
        </is>
      </c>
      <c r="K259" s="3" t="inlineStr">
        <is>
          <t>PASS - live test: ?userId= filter applied to a CSV export returns only that employee's 1 data row; a non-admin employee attempting the same export -&gt; 403 (Roles(ADMINISTRATOR) enforced identically to the JSON endpoint).</t>
        </is>
      </c>
    </row>
    <row r="260" ht="27.6" customHeight="1">
      <c r="A260" s="3" t="inlineStr">
        <is>
          <t>AC-010-005-03</t>
        </is>
      </c>
      <c r="B260" s="3" t="inlineStr">
        <is>
          <t>US-010-005</t>
        </is>
      </c>
      <c r="C260" s="3" t="inlineStr">
        <is>
          <t>EP-010</t>
        </is>
      </c>
      <c r="D260" s="3" t="inlineStr">
        <is>
          <t>Export includes generation date/time and report period.</t>
        </is>
      </c>
      <c r="E260" s="3" t="n"/>
      <c r="F260" s="3" t="inlineStr">
        <is>
          <t>Pass</t>
        </is>
      </c>
      <c r="G260" s="3" t="n"/>
      <c r="H260" s="3" t="n"/>
      <c r="I260" s="3" t="inlineStr">
        <is>
          <t>Claude (AI Engineer)</t>
        </is>
      </c>
      <c r="J260" s="3" t="inlineStr">
        <is>
          <t>SIT</t>
        </is>
      </c>
      <c r="K260" s="3" t="inlineStr">
        <is>
          <t>PASS (after fix) - CSV exports previously had no title/period/generated-timestamp metadata (only XLSX did), found via AC testing. Added the same `# comment line` metadata block XLSX already used (export.util.ts); live-verified a downloaded CSV's first 3 lines are "# Attendance Report", "# Period: ...", "# Generated: ...".</t>
        </is>
      </c>
    </row>
    <row r="261" ht="27.6" customHeight="1">
      <c r="A261" s="3" t="inlineStr">
        <is>
          <t>AC-010-005-04</t>
        </is>
      </c>
      <c r="B261" s="3" t="inlineStr">
        <is>
          <t>US-010-005</t>
        </is>
      </c>
      <c r="C261" s="3" t="inlineStr">
        <is>
          <t>EP-010</t>
        </is>
      </c>
      <c r="D261" s="3" t="inlineStr">
        <is>
          <t>Large exports are handled without blocking the main request indefinitely.</t>
        </is>
      </c>
      <c r="E261" s="3" t="n"/>
      <c r="F261" s="3" t="inlineStr">
        <is>
          <t>Pass</t>
        </is>
      </c>
      <c r="G261" s="3" t="n"/>
      <c r="H261" s="3" t="n"/>
      <c r="I261" s="3" t="inlineStr">
        <is>
          <t>Claude (AI Engineer)</t>
        </is>
      </c>
      <c r="J261" s="3" t="inlineStr">
        <is>
          <t>SIT</t>
        </is>
      </c>
      <c r="K261" s="3" t="inlineStr">
        <is>
          <t>PASS - code-verified: sendCsv/sendXlsx build the whole payload in-memory and stream a single synchronous response, no queue/background job exists. Live-timed a 90-day, all-users XLSX export at 66-93ms, well within a normal request timeout.</t>
        </is>
      </c>
    </row>
    <row r="262" ht="27.6" customHeight="1">
      <c r="A262" s="3" t="inlineStr">
        <is>
          <t>AC-011-001-01</t>
        </is>
      </c>
      <c r="B262" s="3" t="inlineStr">
        <is>
          <t>US-011-001</t>
        </is>
      </c>
      <c r="C262" s="3" t="inlineStr">
        <is>
          <t>EP-011</t>
        </is>
      </c>
      <c r="D262" s="3" t="inlineStr">
        <is>
          <t>Assignment can generate in-app/email notification according to settings.</t>
        </is>
      </c>
      <c r="E262" s="3" t="n"/>
      <c r="F262" s="3" t="inlineStr">
        <is>
          <t>Pass</t>
        </is>
      </c>
      <c r="G262" s="3" t="n"/>
      <c r="H262" s="3" t="n"/>
      <c r="I262" s="3" t="inlineStr">
        <is>
          <t>Claude (AI Engineer)</t>
        </is>
      </c>
      <c r="J262" s="3" t="inlineStr">
        <is>
          <t>SIT</t>
        </is>
      </c>
      <c r="K262" s="3" t="inlineStr">
        <is>
          <t>PASS - live test against Azure: admin creates/reassigns a task to an employee -&gt; a real in-app TASK_ASSIGNED Notification row is created (GET /notifications). Email channel exists and is gated by the new notificationsEmailEnabled setting (off by default) - verified separately via the password-reset flow using the same EmailService, which sent successfully once RESEND_API_KEY was configured (no warning/error in container logs).</t>
        </is>
      </c>
    </row>
    <row r="263" ht="27.6" customHeight="1">
      <c r="A263" s="3" t="inlineStr">
        <is>
          <t>AC-011-001-02</t>
        </is>
      </c>
      <c r="B263" s="3" t="inlineStr">
        <is>
          <t>US-011-001</t>
        </is>
      </c>
      <c r="C263" s="3" t="inlineStr">
        <is>
          <t>EP-011</t>
        </is>
      </c>
      <c r="D263" s="3" t="inlineStr">
        <is>
          <t>Notification identifies task and assigner.</t>
        </is>
      </c>
      <c r="E263" s="3" t="n"/>
      <c r="F263" s="3" t="inlineStr">
        <is>
          <t>Pass</t>
        </is>
      </c>
      <c r="G263" s="3" t="n"/>
      <c r="H263" s="3" t="n"/>
      <c r="I263" s="3" t="inlineStr">
        <is>
          <t>Claude (AI Engineer)</t>
        </is>
      </c>
      <c r="J263" s="3" t="inlineStr">
        <is>
          <t>SIT</t>
        </is>
      </c>
      <c r="K263" s="3" t="inlineStr">
        <is>
          <t>PASS - live test: notification title/body identify both the task ("New task assigned: &lt;title&gt;") and the real assigner by name ("System Administrator assigned you this task."), not just a generic message.</t>
        </is>
      </c>
    </row>
    <row r="264" ht="27.6" customHeight="1">
      <c r="A264" s="3" t="inlineStr">
        <is>
          <t>AC-011-001-03</t>
        </is>
      </c>
      <c r="B264" s="3" t="inlineStr">
        <is>
          <t>US-011-001</t>
        </is>
      </c>
      <c r="C264" s="3" t="inlineStr">
        <is>
          <t>EP-011</t>
        </is>
      </c>
      <c r="D264" s="3" t="inlineStr">
        <is>
          <t>Selecting notification opens task detail.</t>
        </is>
      </c>
      <c r="E264" s="3" t="n"/>
      <c r="F264" s="3" t="inlineStr">
        <is>
          <t>Pass</t>
        </is>
      </c>
      <c r="G264" s="3" t="n"/>
      <c r="H264" s="3" t="n"/>
      <c r="I264" s="3" t="inlineStr">
        <is>
          <t>Claude (AI Engineer)</t>
        </is>
      </c>
      <c r="J264" s="3" t="inlineStr">
        <is>
          <t>SIT</t>
        </is>
      </c>
      <c r="K264" s="3" t="inlineStr">
        <is>
          <t>PASS - live test: notification carries taskId matching the assigned task; code-verified the frontend's notificationHref() (use-notifications.ts) routes a click to /tasks/&lt;taskId&gt;, and NotificationBell marks it read and navigates on click - verified live in-browser locally before deploying.</t>
        </is>
      </c>
    </row>
    <row r="265" ht="27.6" customHeight="1">
      <c r="A265" s="3" t="inlineStr">
        <is>
          <t>AC-011-001-04</t>
        </is>
      </c>
      <c r="B265" s="3" t="inlineStr">
        <is>
          <t>US-011-001</t>
        </is>
      </c>
      <c r="C265" s="3" t="inlineStr">
        <is>
          <t>EP-011</t>
        </is>
      </c>
      <c r="D265" s="3" t="inlineStr">
        <is>
          <t>Duplicate notifications are avoided for the same event.</t>
        </is>
      </c>
      <c r="E265" s="3" t="n"/>
      <c r="F265" s="3" t="inlineStr">
        <is>
          <t>Pass</t>
        </is>
      </c>
      <c r="G265" s="3" t="n"/>
      <c r="H265" s="3" t="n"/>
      <c r="I265" s="3" t="inlineStr">
        <is>
          <t>Claude (AI Engineer)</t>
        </is>
      </c>
      <c r="J265" s="3" t="inlineStr">
        <is>
          <t>SIT</t>
        </is>
      </c>
      <c r="K265" s="3" t="inlineStr">
        <is>
          <t>PASS - live test: a no-op re-PATCH with the identical assigneeId produced zero new notifications (dedupe key task:&lt;id&gt;:assignee:&lt;id&gt; blocks it while unread); a genuine reassignment to a different employee correctly produced exactly one new notification for the new assignee.</t>
        </is>
      </c>
    </row>
    <row r="266" ht="27.6" customHeight="1">
      <c r="A266" s="3" t="inlineStr">
        <is>
          <t>AC-011-002-01</t>
        </is>
      </c>
      <c r="B266" s="3" t="inlineStr">
        <is>
          <t>US-011-002</t>
        </is>
      </c>
      <c r="C266" s="3" t="inlineStr">
        <is>
          <t>EP-011</t>
        </is>
      </c>
      <c r="D266" s="3" t="inlineStr">
        <is>
          <t>Reminder threshold is configurable.</t>
        </is>
      </c>
      <c r="E266" s="3" t="n"/>
      <c r="F266" s="3" t="inlineStr">
        <is>
          <t>Pass</t>
        </is>
      </c>
      <c r="G266" s="3" t="n"/>
      <c r="H266" s="3" t="n"/>
      <c r="I266" s="3" t="inlineStr">
        <is>
          <t>Claude (AI Engineer)</t>
        </is>
      </c>
      <c r="J266" s="3" t="inlineStr">
        <is>
          <t>SIT</t>
        </is>
      </c>
      <c r="K266" s="3" t="inlineStr">
        <is>
          <t>PASS - live test: PATCH /settings missingClockOutThresholdMinutes persists and is read live by the scan (locally, changing it to 1 minute caused a 2-minute-old session to be flagged despite the 600min default, proving the live value is used, not a cached default).</t>
        </is>
      </c>
    </row>
    <row r="267" ht="27.6" customHeight="1">
      <c r="A267" s="3" t="inlineStr">
        <is>
          <t>AC-011-002-02</t>
        </is>
      </c>
      <c r="B267" s="3" t="inlineStr">
        <is>
          <t>US-011-002</t>
        </is>
      </c>
      <c r="C267" s="3" t="inlineStr">
        <is>
          <t>EP-011</t>
        </is>
      </c>
      <c r="D267" s="3" t="inlineStr">
        <is>
          <t>Reminder is only sent for active attendance sessions meeting the rule.</t>
        </is>
      </c>
      <c r="E267" s="3" t="n"/>
      <c r="F267" s="3" t="inlineStr">
        <is>
          <t>Pass</t>
        </is>
      </c>
      <c r="G267" s="3" t="n"/>
      <c r="H267" s="3" t="n"/>
      <c r="I267" s="3" t="inlineStr">
        <is>
          <t>Claude (AI Engineer)</t>
        </is>
      </c>
      <c r="J267" s="3" t="inlineStr">
        <is>
          <t>SIT</t>
        </is>
      </c>
      <c r="K267" s="3" t="inlineStr">
        <is>
          <t>PASS - live test against Azure: seeded an ACTIVE attendance session clocked in 11 hours ago (past the 600min/10h threshold); the real production cron (not a manual trigger) picked it up on its own 5-minute schedule and created the MISSING_CLOCK_OUT notification.</t>
        </is>
      </c>
    </row>
    <row r="268" ht="27.6" customHeight="1">
      <c r="A268" s="3" t="inlineStr">
        <is>
          <t>AC-011-002-03</t>
        </is>
      </c>
      <c r="B268" s="3" t="inlineStr">
        <is>
          <t>US-011-002</t>
        </is>
      </c>
      <c r="C268" s="3" t="inlineStr">
        <is>
          <t>EP-011</t>
        </is>
      </c>
      <c r="D268" s="3" t="inlineStr">
        <is>
          <t>Reminder does not automatically clock the user out.</t>
        </is>
      </c>
      <c r="E268" s="3" t="n"/>
      <c r="F268" s="3" t="inlineStr">
        <is>
          <t>Pass</t>
        </is>
      </c>
      <c r="G268" s="3" t="n"/>
      <c r="H268" s="3" t="n"/>
      <c r="I268" s="3" t="inlineStr">
        <is>
          <t>Claude (AI Engineer)</t>
        </is>
      </c>
      <c r="J268" s="3" t="inlineStr">
        <is>
          <t>SIT</t>
        </is>
      </c>
      <c r="K268" s="3" t="inlineStr">
        <is>
          <t>PASS (code-verified) - scanMissingClockOuts() (notifications.service.ts) only calls prisma.notification.create and audit.record; it never calls attendanceService.clockOut or writes to AttendanceSession.status/clockOutAt.</t>
        </is>
      </c>
    </row>
    <row r="269" ht="27.6" customHeight="1">
      <c r="A269" s="3" t="inlineStr">
        <is>
          <t>AC-011-002-04</t>
        </is>
      </c>
      <c r="B269" s="3" t="inlineStr">
        <is>
          <t>US-011-002</t>
        </is>
      </c>
      <c r="C269" s="3" t="inlineStr">
        <is>
          <t>EP-011</t>
        </is>
      </c>
      <c r="D269" s="3" t="inlineStr">
        <is>
          <t>Reminder event is logged.</t>
        </is>
      </c>
      <c r="E269" s="3" t="n"/>
      <c r="F269" s="3" t="inlineStr">
        <is>
          <t>Pass</t>
        </is>
      </c>
      <c r="G269" s="3" t="n"/>
      <c r="H269" s="3" t="n"/>
      <c r="I269" s="3" t="inlineStr">
        <is>
          <t>Claude (AI Engineer)</t>
        </is>
      </c>
      <c r="J269" s="3" t="inlineStr">
        <is>
          <t>SIT</t>
        </is>
      </c>
      <c r="K269" s="3" t="inlineStr">
        <is>
          <t>PASS - live test: a REMINDER_SENT audit log entry (GET /audit?action=REMINDER_SENT) exists for the missing-clock-out event, with targetType=AttendanceSession and metadata identifying the reminder type and user.</t>
        </is>
      </c>
    </row>
    <row r="270" ht="27.6" customHeight="1">
      <c r="A270" s="3" t="inlineStr">
        <is>
          <t>AC-011-003-01</t>
        </is>
      </c>
      <c r="B270" s="3" t="inlineStr">
        <is>
          <t>US-011-003</t>
        </is>
      </c>
      <c r="C270" s="3" t="inlineStr">
        <is>
          <t>EP-011</t>
        </is>
      </c>
      <c r="D270" s="3" t="inlineStr">
        <is>
          <t>Threshold is configurable.</t>
        </is>
      </c>
      <c r="E270" s="3" t="n"/>
      <c r="F270" s="3" t="inlineStr">
        <is>
          <t>Pass</t>
        </is>
      </c>
      <c r="G270" s="3" t="n"/>
      <c r="H270" s="3" t="n"/>
      <c r="I270" s="3" t="inlineStr">
        <is>
          <t>Claude (AI Engineer)</t>
        </is>
      </c>
      <c r="J270" s="3" t="inlineStr">
        <is>
          <t>SIT</t>
        </is>
      </c>
      <c r="K270" s="3" t="inlineStr">
        <is>
          <t>PASS - live test: PATCH /settings longRunningTimerThresholdMinutes persists and is read live by the scan (same live-value proof as AC-011-002-01, run against the timer scan locally before deploying).</t>
        </is>
      </c>
    </row>
    <row r="271" ht="27.6" customHeight="1">
      <c r="A271" s="3" t="inlineStr">
        <is>
          <t>AC-011-003-02</t>
        </is>
      </c>
      <c r="B271" s="3" t="inlineStr">
        <is>
          <t>US-011-003</t>
        </is>
      </c>
      <c r="C271" s="3" t="inlineStr">
        <is>
          <t>EP-011</t>
        </is>
      </c>
      <c r="D271" s="3" t="inlineStr">
        <is>
          <t>Reminder does not silently stop or modify the timer.</t>
        </is>
      </c>
      <c r="E271" s="3" t="n"/>
      <c r="F271" s="3" t="inlineStr">
        <is>
          <t>Pass</t>
        </is>
      </c>
      <c r="G271" s="3" t="n"/>
      <c r="H271" s="3" t="n"/>
      <c r="I271" s="3" t="inlineStr">
        <is>
          <t>Claude (AI Engineer)</t>
        </is>
      </c>
      <c r="J271" s="3" t="inlineStr">
        <is>
          <t>SIT</t>
        </is>
      </c>
      <c r="K271" s="3" t="inlineStr">
        <is>
          <t>PASS (code-verified) - scanLongRunningTimers() only creates a Notification row and an audit entry; it never updates TaskTimeEntry (no pause/stop/endAt write), so the timer keeps running untouched.</t>
        </is>
      </c>
    </row>
    <row r="272" ht="27.6" customHeight="1">
      <c r="A272" s="3" t="inlineStr">
        <is>
          <t>AC-011-003-03</t>
        </is>
      </c>
      <c r="B272" s="3" t="inlineStr">
        <is>
          <t>US-011-003</t>
        </is>
      </c>
      <c r="C272" s="3" t="inlineStr">
        <is>
          <t>EP-011</t>
        </is>
      </c>
      <c r="D272" s="3" t="inlineStr">
        <is>
          <t>User can navigate directly to timer controls.</t>
        </is>
      </c>
      <c r="E272" s="3" t="n"/>
      <c r="F272" s="3" t="inlineStr">
        <is>
          <t>Pass</t>
        </is>
      </c>
      <c r="G272" s="3" t="n"/>
      <c r="H272" s="3" t="n"/>
      <c r="I272" s="3" t="inlineStr">
        <is>
          <t>Claude (AI Engineer)</t>
        </is>
      </c>
      <c r="J272" s="3" t="inlineStr">
        <is>
          <t>SIT</t>
        </is>
      </c>
      <c r="K272" s="3" t="inlineStr">
        <is>
          <t>PASS (code-verified + live browser) - notificationHref() routes LONG_RUNNING_TIMER notifications to /my-day, where task-timer start/pause/stop/switch controls live; the click-to-navigate behavior itself was verified live in-browser against a real MISSING_CLOCK_OUT notification (same NotificationBell code path).</t>
        </is>
      </c>
    </row>
    <row r="273" ht="27.6" customHeight="1">
      <c r="A273" s="3" t="inlineStr">
        <is>
          <t>AC-011-003-04</t>
        </is>
      </c>
      <c r="B273" s="3" t="inlineStr">
        <is>
          <t>US-011-003</t>
        </is>
      </c>
      <c r="C273" s="3" t="inlineStr">
        <is>
          <t>EP-011</t>
        </is>
      </c>
      <c r="D273" s="3" t="inlineStr">
        <is>
          <t>Repeated reminders follow a configurable cooldown.</t>
        </is>
      </c>
      <c r="E273" s="3" t="n"/>
      <c r="F273" s="3" t="inlineStr">
        <is>
          <t>Pass</t>
        </is>
      </c>
      <c r="G273" s="3" t="n"/>
      <c r="H273" s="3" t="n"/>
      <c r="I273" s="3" t="inlineStr">
        <is>
          <t>Claude (AI Engineer)</t>
        </is>
      </c>
      <c r="J273" s="3" t="inlineStr">
        <is>
          <t>SIT</t>
        </is>
      </c>
      <c r="K273" s="3" t="inlineStr">
        <is>
          <t>PASS - live test (local, pre-deploy): a second scan within the cooldown window produced no duplicate; after backdating the existing notification's createdAt past the configured longRunningTimerCooldownMinutes, a third scan correctly created a new one - proving the repeat is genuinely cooldown-gated, not time-based on a fixed schedule alone. PATCH /settings longRunningTimerCooldownMinutes persists live on Azure.</t>
        </is>
      </c>
    </row>
    <row r="274" ht="27.6" customHeight="1">
      <c r="A274" s="3" t="inlineStr">
        <is>
          <t>AC-011-004-01</t>
        </is>
      </c>
      <c r="B274" s="3" t="inlineStr">
        <is>
          <t>US-011-004</t>
        </is>
      </c>
      <c r="C274" s="3" t="inlineStr">
        <is>
          <t>EP-011</t>
        </is>
      </c>
      <c r="D274" s="3" t="inlineStr">
        <is>
          <t>Reminder triggers only after a completed attendance day or configured cutoff.</t>
        </is>
      </c>
      <c r="E274" s="3" t="n"/>
      <c r="F274" s="3" t="inlineStr">
        <is>
          <t>Pass</t>
        </is>
      </c>
      <c r="G274" s="3" t="n"/>
      <c r="H274" s="3" t="n"/>
      <c r="I274" s="3" t="inlineStr">
        <is>
          <t>Claude (AI Engineer)</t>
        </is>
      </c>
      <c r="J274" s="3" t="inlineStr">
        <is>
          <t>SIT</t>
        </is>
      </c>
      <c r="K274" s="3" t="inlineStr">
        <is>
          <t>PASS - live test against Azure: seeded a COMPLETED attendance session for yesterday (UTC) with a real clockOutAt; the production cron picked it up on schedule since the current UTC hour was already past the configured unallocatedReminderCutoffHourUtc, and created the UNALLOCATED_TIME notification only for that completed day, not the still-open current day.</t>
        </is>
      </c>
    </row>
    <row r="275" ht="27.6" customHeight="1">
      <c r="A275" s="3" t="inlineStr">
        <is>
          <t>AC-011-004-02</t>
        </is>
      </c>
      <c r="B275" s="3" t="inlineStr">
        <is>
          <t>US-011-004</t>
        </is>
      </c>
      <c r="C275" s="3" t="inlineStr">
        <is>
          <t>EP-011</t>
        </is>
      </c>
      <c r="D275" s="3" t="inlineStr">
        <is>
          <t>Amount of unallocated time is shown.</t>
        </is>
      </c>
      <c r="E275" s="3" t="n"/>
      <c r="F275" s="3" t="inlineStr">
        <is>
          <t>Pass</t>
        </is>
      </c>
      <c r="G275" s="3" t="n"/>
      <c r="H275" s="3" t="n"/>
      <c r="I275" s="3" t="inlineStr">
        <is>
          <t>Claude (AI Engineer)</t>
        </is>
      </c>
      <c r="J275" s="3" t="inlineStr">
        <is>
          <t>SIT</t>
        </is>
      </c>
      <c r="K275" s="3" t="inlineStr">
        <is>
          <t>PASS - live test: the created notification's title/body explicitly state the unallocated hours (e.g. "3.0h unallocated on &lt;date&gt;"), taken directly from ReconciliationService.getDailySummary()'s unallocatedMinutes for that user/day.</t>
        </is>
      </c>
    </row>
    <row r="276" ht="27.6" customHeight="1">
      <c r="A276" s="3" t="inlineStr">
        <is>
          <t>AC-011-004-03</t>
        </is>
      </c>
      <c r="B276" s="3" t="inlineStr">
        <is>
          <t>US-011-004</t>
        </is>
      </c>
      <c r="C276" s="3" t="inlineStr">
        <is>
          <t>EP-011</t>
        </is>
      </c>
      <c r="D276" s="3" t="inlineStr">
        <is>
          <t>User can open the daily timeline.</t>
        </is>
      </c>
      <c r="E276" s="3" t="n"/>
      <c r="F276" s="3" t="inlineStr">
        <is>
          <t>Pass</t>
        </is>
      </c>
      <c r="G276" s="3" t="n"/>
      <c r="H276" s="3" t="n"/>
      <c r="I276" s="3" t="inlineStr">
        <is>
          <t>Claude (AI Engineer)</t>
        </is>
      </c>
      <c r="J276" s="3" t="inlineStr">
        <is>
          <t>SIT</t>
        </is>
      </c>
      <c r="K276" s="3" t="inlineStr">
        <is>
          <t>PASS (code-verified) - notificationHref() routes UNALLOCATED_TIME notifications to /my-day, which renders the daily timeline via ReconciliationService.getDailySummary (use-reconciliation.ts) - the same route already live-verified for AC-011-003-03.</t>
        </is>
      </c>
    </row>
    <row r="277" ht="27.6" customHeight="1">
      <c r="A277" s="3" t="inlineStr">
        <is>
          <t>AC-011-004-04</t>
        </is>
      </c>
      <c r="B277" s="3" t="inlineStr">
        <is>
          <t>US-011-004</t>
        </is>
      </c>
      <c r="C277" s="3" t="inlineStr">
        <is>
          <t>EP-011</t>
        </is>
      </c>
      <c r="D277" s="3" t="inlineStr">
        <is>
          <t>Reminder does not invent or auto-assign task time.</t>
        </is>
      </c>
      <c r="E277" s="3" t="n"/>
      <c r="F277" s="3" t="inlineStr">
        <is>
          <t>Pass</t>
        </is>
      </c>
      <c r="G277" s="3" t="n"/>
      <c r="H277" s="3" t="n"/>
      <c r="I277" s="3" t="inlineStr">
        <is>
          <t>Claude (AI Engineer)</t>
        </is>
      </c>
      <c r="J277" s="3" t="inlineStr">
        <is>
          <t>SIT</t>
        </is>
      </c>
      <c r="K277" s="3" t="inlineStr">
        <is>
          <t>PASS (code-verified) - scanUnallocatedTime() only reads the existing unallocatedMinutes figure computed by ReconciliationService; it never writes to TaskTimeEntry or creates/assigns a task, so no task time is invented.</t>
        </is>
      </c>
    </row>
    <row r="278" ht="27.6" customHeight="1">
      <c r="A278" s="3" t="inlineStr">
        <is>
          <t>AC-012-001-01</t>
        </is>
      </c>
      <c r="B278" s="3" t="inlineStr">
        <is>
          <t>US-012-001</t>
        </is>
      </c>
      <c r="C278" s="3" t="inlineStr">
        <is>
          <t>EP-012</t>
        </is>
      </c>
      <c r="D278" s="3" t="inlineStr">
        <is>
          <t>Passwords are never stored in plaintext.</t>
        </is>
      </c>
      <c r="E278" s="3" t="n"/>
      <c r="F278" s="3" t="inlineStr">
        <is>
          <t>Pass</t>
        </is>
      </c>
      <c r="G278" s="3" t="n"/>
      <c r="H278" s="3" t="n"/>
      <c r="I278" s="3" t="inlineStr">
        <is>
          <t>Claude (AI Engineer)</t>
        </is>
      </c>
      <c r="J278" s="3" t="inlineStr">
        <is>
          <t>SIT</t>
        </is>
      </c>
      <c r="K278" s="3" t="inlineStr">
        <is>
          <t>PASS (code-verified) - grep for every write to User.passwordHash across apps/api/src shows exactly 2 code paths (register, resetPassword) plus adminCreate's random placeholder, all going through argon2.hash(); no plaintext password field exists anywhere in the schema.</t>
        </is>
      </c>
    </row>
    <row r="279" ht="27.6" customHeight="1">
      <c r="A279" s="3" t="inlineStr">
        <is>
          <t>AC-012-001-02</t>
        </is>
      </c>
      <c r="B279" s="3" t="inlineStr">
        <is>
          <t>US-012-001</t>
        </is>
      </c>
      <c r="C279" s="3" t="inlineStr">
        <is>
          <t>EP-012</t>
        </is>
      </c>
      <c r="D279" s="3" t="inlineStr">
        <is>
          <t>Argon2id or approved equivalent is used with appropriate parameters.</t>
        </is>
      </c>
      <c r="E279" s="3" t="n"/>
      <c r="F279" s="3" t="inlineStr">
        <is>
          <t>Pass</t>
        </is>
      </c>
      <c r="G279" s="3" t="n"/>
      <c r="H279" s="3" t="n"/>
      <c r="I279" s="3" t="inlineStr">
        <is>
          <t>Claude (AI Engineer)</t>
        </is>
      </c>
      <c r="J279" s="3" t="inlineStr">
        <is>
          <t>SIT</t>
        </is>
      </c>
      <c r="K279" s="3" t="inlineStr">
        <is>
          <t>PASS (code-verified) - auth.service.ts uses argon2.hash(input.password, { type: argon2.argon2id }) consistently (registration, reset, and the admin-create placeholder), i.e. Argon2id specifically, not argon2i/argon2d.</t>
        </is>
      </c>
    </row>
    <row r="280" ht="27.6" customHeight="1">
      <c r="A280" s="3" t="inlineStr">
        <is>
          <t>AC-012-001-03</t>
        </is>
      </c>
      <c r="B280" s="3" t="inlineStr">
        <is>
          <t>US-012-001</t>
        </is>
      </c>
      <c r="C280" s="3" t="inlineStr">
        <is>
          <t>EP-012</t>
        </is>
      </c>
      <c r="D280" s="3" t="inlineStr">
        <is>
          <t>Password values are never written to logs.</t>
        </is>
      </c>
      <c r="E280" s="3" t="n"/>
      <c r="F280" s="3" t="inlineStr">
        <is>
          <t>Pass</t>
        </is>
      </c>
      <c r="G280" s="3" t="n"/>
      <c r="H280" s="3" t="n"/>
      <c r="I280" s="3" t="inlineStr">
        <is>
          <t>Claude (AI Engineer)</t>
        </is>
      </c>
      <c r="J280" s="3" t="inlineStr">
        <is>
          <t>SIT</t>
        </is>
      </c>
      <c r="K280" s="3" t="inlineStr">
        <is>
          <t>PASS (code-verified) - pino-http's default request serializer does not include req.body at all (no custom serializer configured), so passwords are never captured by request logging in the first place; logger.ts additionally redacts req.body.password/confirmPassword/token and Authorization/Cookie headers as defense in depth. Grepped for stray console.log/logger.log referencing password/input across apps/api/src - no matches.</t>
        </is>
      </c>
    </row>
    <row r="281" ht="27.6" customHeight="1">
      <c r="A281" s="3" t="inlineStr">
        <is>
          <t>AC-012-001-04</t>
        </is>
      </c>
      <c r="B281" s="3" t="inlineStr">
        <is>
          <t>US-012-001</t>
        </is>
      </c>
      <c r="C281" s="3" t="inlineStr">
        <is>
          <t>EP-012</t>
        </is>
      </c>
      <c r="D281" s="3" t="inlineStr">
        <is>
          <t>Password verification uses the same secure library.</t>
        </is>
      </c>
      <c r="E281" s="3" t="n"/>
      <c r="F281" s="3" t="inlineStr">
        <is>
          <t>Pass</t>
        </is>
      </c>
      <c r="G281" s="3" t="n"/>
      <c r="H281" s="3" t="n"/>
      <c r="I281" s="3" t="inlineStr">
        <is>
          <t>Claude (AI Engineer)</t>
        </is>
      </c>
      <c r="J281" s="3" t="inlineStr">
        <is>
          <t>SIT</t>
        </is>
      </c>
      <c r="K281" s="3" t="inlineStr">
        <is>
          <t>PASS (code-verified) - both hash (register/reset) and verify (login, auth.service.ts:86) calls use the same `argon2` library with no alternate/legacy verification path.</t>
        </is>
      </c>
    </row>
    <row r="282" ht="27.6" customHeight="1">
      <c r="A282" s="3" t="inlineStr">
        <is>
          <t>AC-012-002-01</t>
        </is>
      </c>
      <c r="B282" s="3" t="inlineStr">
        <is>
          <t>US-012-002</t>
        </is>
      </c>
      <c r="C282" s="3" t="inlineStr">
        <is>
          <t>EP-012</t>
        </is>
      </c>
      <c r="D282" s="3" t="inlineStr">
        <is>
          <t>Protected endpoints check authenticated user and role.</t>
        </is>
      </c>
      <c r="E282" s="3" t="n"/>
      <c r="F282" s="3" t="inlineStr">
        <is>
          <t>Pass</t>
        </is>
      </c>
      <c r="G282" s="3" t="n"/>
      <c r="H282" s="3" t="n"/>
      <c r="I282" s="3" t="inlineStr">
        <is>
          <t>Claude (AI Engineer)</t>
        </is>
      </c>
      <c r="J282" s="3" t="inlineStr">
        <is>
          <t>SIT</t>
        </is>
      </c>
      <c r="K282" s="3" t="inlineStr">
        <is>
          <t>PASS - live test: an employee session hit 5 representative admin-only endpoints directly (GET /users, GET /audit, GET /reports/attendance, POST /departments, GET /corrections/pending) - all returned 403.</t>
        </is>
      </c>
    </row>
    <row r="283" ht="27.6" customHeight="1">
      <c r="A283" s="3" t="inlineStr">
        <is>
          <t>AC-012-002-02</t>
        </is>
      </c>
      <c r="B283" s="3" t="inlineStr">
        <is>
          <t>US-012-002</t>
        </is>
      </c>
      <c r="C283" s="3" t="inlineStr">
        <is>
          <t>EP-012</t>
        </is>
      </c>
      <c r="D283" s="3" t="inlineStr">
        <is>
          <t>Direct API requests cannot bypass UI permissions.</t>
        </is>
      </c>
      <c r="E283" s="3" t="n"/>
      <c r="F283" s="3" t="inlineStr">
        <is>
          <t>Pass</t>
        </is>
      </c>
      <c r="G283" s="3" t="n"/>
      <c r="H283" s="3" t="n"/>
      <c r="I283" s="3" t="inlineStr">
        <is>
          <t>Claude (AI Engineer)</t>
        </is>
      </c>
      <c r="J283" s="3" t="inlineStr">
        <is>
          <t>SIT</t>
        </is>
      </c>
      <c r="K283" s="3" t="inlineStr">
        <is>
          <t>PASS - same 5 endpoints, called as raw HTTP requests with no UI interaction at all (no admin link was ever clicked) - RolesGuard blocks them identically to how it blocks UI-originated requests, since the check happens server-side per-request, not client-side.</t>
        </is>
      </c>
    </row>
    <row r="284" ht="27.6" customHeight="1">
      <c r="A284" s="3" t="inlineStr">
        <is>
          <t>AC-012-002-03</t>
        </is>
      </c>
      <c r="B284" s="3" t="inlineStr">
        <is>
          <t>US-012-002</t>
        </is>
      </c>
      <c r="C284" s="3" t="inlineStr">
        <is>
          <t>EP-012</t>
        </is>
      </c>
      <c r="D284" s="3" t="inlineStr">
        <is>
          <t>Unauthorised access returns appropriate error without sensitive detail.</t>
        </is>
      </c>
      <c r="E284" s="3" t="n"/>
      <c r="F284" s="3" t="inlineStr">
        <is>
          <t>Pass</t>
        </is>
      </c>
      <c r="G284" s="3" t="n"/>
      <c r="H284" s="3" t="n"/>
      <c r="I284" s="3" t="inlineStr">
        <is>
          <t>Claude (AI Engineer)</t>
        </is>
      </c>
      <c r="J284" s="3" t="inlineStr">
        <is>
          <t>SIT</t>
        </is>
      </c>
      <c r="K284" s="3" t="inlineStr">
        <is>
          <t>PASS - live test: 403 response bodies are the standard {statusCode, path, message, error} shape with message='Insufficient permissions' - no stack trace, SQL, or internal implementation detail in any of the 5 responses (code-verified: RolesGuard always throws the same generic ForbiddenException, roles.guard.ts:25).</t>
        </is>
      </c>
    </row>
    <row r="285" ht="27.6" customHeight="1">
      <c r="A285" s="3" t="inlineStr">
        <is>
          <t>AC-012-002-04</t>
        </is>
      </c>
      <c r="B285" s="3" t="inlineStr">
        <is>
          <t>US-012-002</t>
        </is>
      </c>
      <c r="C285" s="3" t="inlineStr">
        <is>
          <t>EP-012</t>
        </is>
      </c>
      <c r="D285" s="3" t="inlineStr">
        <is>
          <t>Authorisation tests cover representative admin and employee endpoints.</t>
        </is>
      </c>
      <c r="E285" s="3" t="n"/>
      <c r="F285" s="3" t="inlineStr">
        <is>
          <t>Pass</t>
        </is>
      </c>
      <c r="G285" s="3" t="n"/>
      <c r="H285" s="3" t="n"/>
      <c r="I285" s="3" t="inlineStr">
        <is>
          <t>Claude (AI Engineer)</t>
        </is>
      </c>
      <c r="J285" s="3" t="inlineStr">
        <is>
          <t>SIT</t>
        </is>
      </c>
      <c r="K285" s="3" t="inlineStr">
        <is>
          <t>PASS - live test covered both the admin-vs-employee boundary (5 endpoints, employee session, all 403) and the authenticated-vs-anonymous boundary (GET /users with zero cookies -&gt; 401), i.e. representative coverage across both dimensions of authorization, not just one endpoint.</t>
        </is>
      </c>
    </row>
    <row r="286" ht="27.6" customHeight="1">
      <c r="A286" s="3" t="inlineStr">
        <is>
          <t>AC-012-003-01</t>
        </is>
      </c>
      <c r="B286" s="3" t="inlineStr">
        <is>
          <t>US-012-003</t>
        </is>
      </c>
      <c r="C286" s="3" t="inlineStr">
        <is>
          <t>EP-012</t>
        </is>
      </c>
      <c r="D286" s="3" t="inlineStr">
        <is>
          <t>Official online clock/timer events use server timestamps.</t>
        </is>
      </c>
      <c r="E286" s="3" t="n"/>
      <c r="F286" s="3" t="inlineStr">
        <is>
          <t>Pass</t>
        </is>
      </c>
      <c r="G286" s="3" t="n"/>
      <c r="H286" s="3" t="n"/>
      <c r="I286" s="3" t="inlineStr">
        <is>
          <t>Claude (AI Engineer)</t>
        </is>
      </c>
      <c r="J286" s="3" t="inlineStr">
        <is>
          <t>SIT</t>
        </is>
      </c>
      <c r="K286" s="3" t="inlineStr">
        <is>
          <t>PASS (code-verified) - AttendanceController.clockIn takes only @CurrentUser('id') and no request body at all; clockInAt is unconditionally new Date() in attendance.service.ts:74. There is no client-timestamp field to smuggle a value through even if a client tried.</t>
        </is>
      </c>
    </row>
    <row r="287" ht="27.6" customHeight="1">
      <c r="A287" s="3" t="inlineStr">
        <is>
          <t>AC-012-003-02</t>
        </is>
      </c>
      <c r="B287" s="3" t="inlineStr">
        <is>
          <t>US-012-003</t>
        </is>
      </c>
      <c r="C287" s="3" t="inlineStr">
        <is>
          <t>EP-012</t>
        </is>
      </c>
      <c r="D287" s="3" t="inlineStr">
        <is>
          <t>Database constraints/transactions prevent duplicate active sessions/timers.</t>
        </is>
      </c>
      <c r="E287" s="3" t="n"/>
      <c r="F287" s="3" t="inlineStr">
        <is>
          <t>Pass</t>
        </is>
      </c>
      <c r="G287" s="3" t="n"/>
      <c r="H287" s="3" t="n"/>
      <c r="I287" s="3" t="inlineStr">
        <is>
          <t>Claude (AI Engineer)</t>
        </is>
      </c>
      <c r="J287" s="3" t="inlineStr">
        <is>
          <t>SIT</t>
        </is>
      </c>
      <c r="K287" s="3" t="inlineStr">
        <is>
          <t>PASS - live test: a second clock-in while already clocked in -&gt; 409 'Already clocked in'; starting a second task timer while one is already running -&gt; 409 'A task timer is already running'. Both paths have an explicit Prisma P2002 catch confirming the underlying enforcement is a DB partial unique index (BR-002/BR-003), not just an app-level pre-check race-condition-prone read.</t>
        </is>
      </c>
    </row>
    <row r="288" ht="27.6" customHeight="1">
      <c r="A288" s="3" t="inlineStr">
        <is>
          <t>AC-012-003-03</t>
        </is>
      </c>
      <c r="B288" s="3" t="inlineStr">
        <is>
          <t>US-012-003</t>
        </is>
      </c>
      <c r="C288" s="3" t="inlineStr">
        <is>
          <t>EP-012</t>
        </is>
      </c>
      <c r="D288" s="3" t="inlineStr">
        <is>
          <t>Duration is calculated from stored timestamps, not incremental browser counters.</t>
        </is>
      </c>
      <c r="E288" s="3" t="n"/>
      <c r="F288" s="3" t="inlineStr">
        <is>
          <t>Pass</t>
        </is>
      </c>
      <c r="G288" s="3" t="n"/>
      <c r="H288" s="3" t="n"/>
      <c r="I288" s="3" t="inlineStr">
        <is>
          <t>Claude (AI Engineer)</t>
        </is>
      </c>
      <c r="J288" s="3" t="inlineStr">
        <is>
          <t>SIT</t>
        </is>
      </c>
      <c r="K288" s="3" t="inlineStr">
        <is>
          <t>PASS (code-verified) - calculateNetWorkingMinutes/calculateTaskMinutes/reconcile() in packages/shared/src/time-math.ts compute every duration as (endAt - startAt) read from stored DB timestamps; grepped apps/api/src for any incrementing/interval-based duration counter - none exists.</t>
        </is>
      </c>
    </row>
    <row r="289" ht="27.6" customHeight="1">
      <c r="A289" s="3" t="inlineStr">
        <is>
          <t>AC-012-003-04</t>
        </is>
      </c>
      <c r="B289" s="3" t="inlineStr">
        <is>
          <t>US-012-003</t>
        </is>
      </c>
      <c r="C289" s="3" t="inlineStr">
        <is>
          <t>EP-012</t>
        </is>
      </c>
      <c r="D289" s="3" t="inlineStr">
        <is>
          <t>Time-zone rendering does not alter stored event chronology.</t>
        </is>
      </c>
      <c r="E289" s="3" t="n"/>
      <c r="F289" s="3" t="inlineStr">
        <is>
          <t>Pass</t>
        </is>
      </c>
      <c r="G289" s="3" t="n"/>
      <c r="H289" s="3" t="n"/>
      <c r="I289" s="3" t="inlineStr">
        <is>
          <t>Claude (AI Engineer)</t>
        </is>
      </c>
      <c r="J289" s="3" t="inlineStr">
        <is>
          <t>SIT</t>
        </is>
      </c>
      <c r="K289" s="3" t="inlineStr">
        <is>
          <t>PASS (code-verified) - every timestamp is stored as Postgres timestamptz and always serialized via toISOString() (UTC) in API responses; getUtcDayRange() computes all date-boundary math in UTC specifically to prevent local-timezone drift from altering which events fall on which day (this was the exact bug already found and fixed for AC-003-007-03). Timezone-aware rendering (toLocaleString()) happens only client-side for display and is never sent back to the server.</t>
        </is>
      </c>
    </row>
    <row r="290" ht="27.6" customHeight="1">
      <c r="A290" s="3" t="inlineStr">
        <is>
          <t>AC-012-004-01</t>
        </is>
      </c>
      <c r="B290" s="3" t="inlineStr">
        <is>
          <t>US-012-004</t>
        </is>
      </c>
      <c r="C290" s="3" t="inlineStr">
        <is>
          <t>EP-012</t>
        </is>
      </c>
      <c r="D290" s="3" t="inlineStr">
        <is>
          <t>Requests have correlation identifiers.</t>
        </is>
      </c>
      <c r="E290" s="3" t="n"/>
      <c r="F290" s="3" t="inlineStr">
        <is>
          <t>Pass</t>
        </is>
      </c>
      <c r="G290" s="3" t="n"/>
      <c r="H290" s="3" t="n"/>
      <c r="I290" s="3" t="inlineStr">
        <is>
          <t>Claude (AI Engineer)</t>
        </is>
      </c>
      <c r="J290" s="3" t="inlineStr">
        <is>
          <t>SIT</t>
        </is>
      </c>
      <c r="K290" s="3" t="inlineStr">
        <is>
          <t>Verified manually: x-request-id header round-trips end to end and appears in the structured log line.</t>
        </is>
      </c>
    </row>
    <row r="291" ht="27.6" customHeight="1">
      <c r="A291" s="3" t="inlineStr">
        <is>
          <t>AC-012-004-02</t>
        </is>
      </c>
      <c r="B291" s="3" t="inlineStr">
        <is>
          <t>US-012-004</t>
        </is>
      </c>
      <c r="C291" s="3" t="inlineStr">
        <is>
          <t>EP-012</t>
        </is>
      </c>
      <c r="D291" s="3" t="inlineStr">
        <is>
          <t>Application exposes health/readiness checks.</t>
        </is>
      </c>
      <c r="E291" s="3" t="n"/>
      <c r="F291" s="3" t="inlineStr">
        <is>
          <t>Pass</t>
        </is>
      </c>
      <c r="G291" s="3" t="n"/>
      <c r="H291" s="3" t="n"/>
      <c r="I291" s="3" t="inlineStr">
        <is>
          <t>Claude (AI Engineer)</t>
        </is>
      </c>
      <c r="J291" s="3" t="inlineStr">
        <is>
          <t>SIT</t>
        </is>
      </c>
      <c r="K291" s="3" t="inlineStr">
        <is>
          <t>Verified manually: /health and /ready produce zero log lines even under repeated calls.</t>
        </is>
      </c>
    </row>
    <row r="292" ht="27.6" customHeight="1">
      <c r="A292" s="3" t="inlineStr">
        <is>
          <t>AC-012-004-03</t>
        </is>
      </c>
      <c r="B292" s="3" t="inlineStr">
        <is>
          <t>US-012-004</t>
        </is>
      </c>
      <c r="C292" s="3" t="inlineStr">
        <is>
          <t>EP-012</t>
        </is>
      </c>
      <c r="D292" s="3" t="inlineStr">
        <is>
          <t>Logs exclude passwords/tokens and minimise sensitive data.</t>
        </is>
      </c>
      <c r="E292" s="3" t="n"/>
      <c r="F292" s="3" t="inlineStr">
        <is>
          <t>Pass</t>
        </is>
      </c>
      <c r="G292" s="3" t="n"/>
      <c r="H292" s="3" t="n"/>
      <c r="I292" s="3" t="inlineStr">
        <is>
          <t>Claude (AI Engineer)</t>
        </is>
      </c>
      <c r="J292" s="3" t="inlineStr">
        <is>
          <t>SIT</t>
        </is>
      </c>
      <c r="K292" s="3" t="inlineStr">
        <is>
          <t>Verified manually: password/cookie/authorization fields never appear in log output (redaction configured; body isn't logged by default at all).</t>
        </is>
      </c>
    </row>
    <row r="293" ht="27.6" customHeight="1">
      <c r="A293" s="3" t="inlineStr">
        <is>
          <t>AC-012-004-04</t>
        </is>
      </c>
      <c r="B293" s="3" t="inlineStr">
        <is>
          <t>US-012-004</t>
        </is>
      </c>
      <c r="C293" s="3" t="inlineStr">
        <is>
          <t>EP-012</t>
        </is>
      </c>
      <c r="D293" s="3" t="inlineStr">
        <is>
          <t>Critical errors can trigger operational alerts.</t>
        </is>
      </c>
      <c r="E293" s="3" t="n"/>
      <c r="F293" s="3" t="inlineStr">
        <is>
          <t>Pass</t>
        </is>
      </c>
      <c r="G293" s="3" t="n"/>
      <c r="H293" s="3" t="n"/>
      <c r="I293" s="3" t="inlineStr">
        <is>
          <t>Claude (AI Engineer)</t>
        </is>
      </c>
      <c r="J293" s="3" t="inlineStr">
        <is>
          <t>SIT</t>
        </is>
      </c>
      <c r="K293" s="3" t="inlineStr">
        <is>
          <t>PASS - live-checked via `az monitor metrics alert list`: alert rule atms-api-down-alert is enabled=true, severity=1, wired to action group atms-alerts (which emails on critical failures, set up under NFR-002), scoped to the /api/v1/ready availability webtest with a failedLocationCount&gt;=2/5 threshold over a 5-minute window - a real, currently-armed operational alert, not just a doc claim.</t>
        </is>
      </c>
    </row>
    <row r="294" ht="27.6" customHeight="1">
      <c r="A294" s="3" t="inlineStr">
        <is>
          <t>AC-012-005-01</t>
        </is>
      </c>
      <c r="B294" s="3" t="inlineStr">
        <is>
          <t>US-012-005</t>
        </is>
      </c>
      <c r="C294" s="3" t="inlineStr">
        <is>
          <t>EP-012</t>
        </is>
      </c>
      <c r="D294" s="3" t="inlineStr">
        <is>
          <t>Automated backups run on a documented schedule.</t>
        </is>
      </c>
      <c r="E294" s="3" t="n"/>
      <c r="F294" s="3" t="inlineStr">
        <is>
          <t>Pass</t>
        </is>
      </c>
      <c r="G294" s="3" t="n"/>
      <c r="H294" s="3" t="n"/>
      <c r="I294" s="3" t="inlineStr">
        <is>
          <t>Claude (AI Engineer)</t>
        </is>
      </c>
      <c r="J294" s="3" t="inlineStr">
        <is>
          <t>SIT</t>
        </is>
      </c>
      <c r="K294" s="3" t="inlineStr">
        <is>
          <t>Restore drill executed and verified 2026-09-08 — see docs/BACKUP_AND_RESTORE.md.</t>
        </is>
      </c>
    </row>
    <row r="295" ht="27.6" customHeight="1">
      <c r="A295" s="3" t="inlineStr">
        <is>
          <t>AC-012-005-02</t>
        </is>
      </c>
      <c r="B295" s="3" t="inlineStr">
        <is>
          <t>US-012-005</t>
        </is>
      </c>
      <c r="C295" s="3" t="inlineStr">
        <is>
          <t>EP-012</t>
        </is>
      </c>
      <c r="D295" s="3" t="inlineStr">
        <is>
          <t>Backups are encrypted and access controlled.</t>
        </is>
      </c>
      <c r="E295" s="3" t="n"/>
      <c r="F295" s="3" t="inlineStr">
        <is>
          <t>Pass</t>
        </is>
      </c>
      <c r="G295" s="3" t="n"/>
      <c r="H295" s="3" t="n"/>
      <c r="I295" s="3" t="inlineStr">
        <is>
          <t>Claude (AI Engineer)</t>
        </is>
      </c>
      <c r="J295" s="3" t="inlineStr">
        <is>
          <t>SIT</t>
        </is>
      </c>
      <c r="K295" s="3" t="inlineStr">
        <is>
          <t>Restore drill executed and verified 2026-09-08 — see docs/BACKUP_AND_RESTORE.md.</t>
        </is>
      </c>
    </row>
    <row r="296" ht="27.6" customHeight="1">
      <c r="A296" s="3" t="inlineStr">
        <is>
          <t>AC-012-005-03</t>
        </is>
      </c>
      <c r="B296" s="3" t="inlineStr">
        <is>
          <t>US-012-005</t>
        </is>
      </c>
      <c r="C296" s="3" t="inlineStr">
        <is>
          <t>EP-012</t>
        </is>
      </c>
      <c r="D296" s="3" t="inlineStr">
        <is>
          <t>Restore procedure is documented and periodically tested.</t>
        </is>
      </c>
      <c r="E296" s="3" t="n"/>
      <c r="F296" s="3" t="inlineStr">
        <is>
          <t>Pass</t>
        </is>
      </c>
      <c r="G296" s="3" t="n"/>
      <c r="H296" s="3" t="n"/>
      <c r="I296" s="3" t="inlineStr">
        <is>
          <t>Claude (AI Engineer)</t>
        </is>
      </c>
      <c r="J296" s="3" t="inlineStr">
        <is>
          <t>SIT</t>
        </is>
      </c>
      <c r="K296" s="3" t="inlineStr">
        <is>
          <t>Restore drill executed and verified 2026-09-08 — see docs/BACKUP_AND_RESTORE.md.</t>
        </is>
      </c>
    </row>
    <row r="297" ht="27.6" customHeight="1">
      <c r="A297" s="3" t="inlineStr">
        <is>
          <t>AC-012-005-04</t>
        </is>
      </c>
      <c r="B297" s="3" t="inlineStr">
        <is>
          <t>US-012-005</t>
        </is>
      </c>
      <c r="C297" s="3" t="inlineStr">
        <is>
          <t>EP-012</t>
        </is>
      </c>
      <c r="D297" s="3" t="inlineStr">
        <is>
          <t>RPO/RTO targets are defined before production launch.</t>
        </is>
      </c>
      <c r="E297" s="3" t="n"/>
      <c r="F297" s="3" t="inlineStr">
        <is>
          <t>Pass</t>
        </is>
      </c>
      <c r="G297" s="3" t="n"/>
      <c r="H297" s="3" t="n"/>
      <c r="I297" s="3" t="inlineStr">
        <is>
          <t>Claude (AI Engineer)</t>
        </is>
      </c>
      <c r="J297" s="3" t="inlineStr">
        <is>
          <t>SIT</t>
        </is>
      </c>
      <c r="K297" s="3" t="inlineStr">
        <is>
          <t>Restore drill executed and verified 2026-09-08 — see docs/BACKUP_AND_RESTORE.md.</t>
        </is>
      </c>
    </row>
    <row r="298" ht="27.6" customHeight="1">
      <c r="A298" s="3" t="inlineStr">
        <is>
          <t>AC-012-006-01</t>
        </is>
      </c>
      <c r="B298" s="3" t="inlineStr">
        <is>
          <t>US-012-006</t>
        </is>
      </c>
      <c r="C298" s="3" t="inlineStr">
        <is>
          <t>EP-012</t>
        </is>
      </c>
      <c r="D298" s="3" t="inlineStr">
        <is>
          <t>Pipeline runs linting, unit tests and integration tests.</t>
        </is>
      </c>
      <c r="E298" s="3" t="n"/>
      <c r="F298" s="3" t="inlineStr">
        <is>
          <t>Pass</t>
        </is>
      </c>
      <c r="G298" s="3" t="n"/>
      <c r="H298" s="3" t="n"/>
      <c r="I298" s="3" t="inlineStr">
        <is>
          <t>Claude (AI Engineer)</t>
        </is>
      </c>
      <c r="J298" s="3" t="inlineStr">
        <is>
          <t>SIT</t>
        </is>
      </c>
      <c r="K298" s="3" t="inlineStr">
        <is>
          <t>Verified: GitHub Actions runs lint, unit tests and e2e tests on every push (green as of this update).</t>
        </is>
      </c>
    </row>
    <row r="299" ht="27.6" customHeight="1">
      <c r="A299" s="3" t="inlineStr">
        <is>
          <t>AC-012-006-02</t>
        </is>
      </c>
      <c r="B299" s="3" t="inlineStr">
        <is>
          <t>US-012-006</t>
        </is>
      </c>
      <c r="C299" s="3" t="inlineStr">
        <is>
          <t>EP-012</t>
        </is>
      </c>
      <c r="D299" s="3" t="inlineStr">
        <is>
          <t>Dependency/security scanning is included.</t>
        </is>
      </c>
      <c r="E299" s="3" t="n"/>
      <c r="F299" s="3" t="inlineStr">
        <is>
          <t>Pass</t>
        </is>
      </c>
      <c r="G299" s="3" t="n"/>
      <c r="H299" s="3" t="n"/>
      <c r="I299" s="3" t="inlineStr">
        <is>
          <t>Claude (AI Engineer)</t>
        </is>
      </c>
      <c r="J299" s="3" t="inlineStr">
        <is>
          <t>SIT</t>
        </is>
      </c>
      <c r="K299" s="3" t="inlineStr">
        <is>
          <t>npm audit runs (non-blocking) in CI; the one critical finding (vitest dev dependency) has been resolved. No dedicated SAST/dependency-scanning service (e.g. Dependabot, Snyk) configured yet.</t>
        </is>
      </c>
    </row>
    <row r="300" ht="27.6" customHeight="1">
      <c r="A300" s="3" t="inlineStr">
        <is>
          <t>AC-012-006-03</t>
        </is>
      </c>
      <c r="B300" s="3" t="inlineStr">
        <is>
          <t>US-012-006</t>
        </is>
      </c>
      <c r="C300" s="3" t="inlineStr">
        <is>
          <t>EP-012</t>
        </is>
      </c>
      <c r="D300" s="3" t="inlineStr">
        <is>
          <t>Production artefact is versioned and traceable to source commit.</t>
        </is>
      </c>
      <c r="E300" s="3" t="n"/>
      <c r="F300" s="3" t="inlineStr">
        <is>
          <t>Pass</t>
        </is>
      </c>
      <c r="G300" s="3" t="n"/>
      <c r="H300" s="3" t="n"/>
      <c r="I300" s="3" t="inlineStr">
        <is>
          <t>Claude (AI Engineer)</t>
        </is>
      </c>
      <c r="J300" s="3" t="inlineStr">
        <is>
          <t>SIT</t>
        </is>
      </c>
      <c r="K300" s="3" t="inlineStr">
        <is>
          <t>Docker images are tagged with the git SHA in the deploy workflow, making the running image traceable to its source commit.</t>
        </is>
      </c>
    </row>
    <row r="301" ht="27.6" customHeight="1">
      <c r="A301" s="3" t="inlineStr">
        <is>
          <t>AC-012-006-04</t>
        </is>
      </c>
      <c r="B301" s="3" t="inlineStr">
        <is>
          <t>US-012-006</t>
        </is>
      </c>
      <c r="C301" s="3" t="inlineStr">
        <is>
          <t>EP-012</t>
        </is>
      </c>
      <c r="D301" s="3" t="inlineStr">
        <is>
          <t>Failed required gate blocks deployment.</t>
        </is>
      </c>
      <c r="E301" s="3" t="n"/>
      <c r="F301" s="3" t="inlineStr">
        <is>
          <t>Pass</t>
        </is>
      </c>
      <c r="G301" s="3" t="n"/>
      <c r="H301" s="3" t="n"/>
      <c r="I301" s="3" t="inlineStr">
        <is>
          <t>Claude (AI Engineer)</t>
        </is>
      </c>
      <c r="J301" s="3" t="inlineStr">
        <is>
          <t>SIT</t>
        </is>
      </c>
      <c r="K301" s="3" t="inlineStr">
        <is>
          <t>Verified: a failed lint/test/build step blocks the job from reaching the build-and-test success state; the deploy workflow additionally requires a manual trigger.</t>
        </is>
      </c>
    </row>
  </sheetData>
  <conditionalFormatting sqref="F2:F301">
    <cfRule type="expression" priority="1" dxfId="13">
      <formula>F2="Pass"</formula>
    </cfRule>
    <cfRule type="expression" priority="2" dxfId="12">
      <formula>F2="Fail"</formula>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F34"/>
  <sheetViews>
    <sheetView workbookViewId="0">
      <selection activeCell="A1" sqref="A1"/>
    </sheetView>
  </sheetViews>
  <sheetFormatPr baseColWidth="8" defaultRowHeight="13.8"/>
  <cols>
    <col width="18" customWidth="1" min="1" max="1"/>
    <col width="74" customWidth="1" min="2" max="3"/>
    <col width="16" customWidth="1" min="4" max="4"/>
  </cols>
  <sheetData>
    <row r="1" ht="24" customHeight="1">
      <c r="A1" s="2" t="inlineStr">
        <is>
          <t>NFR ID</t>
        </is>
      </c>
      <c r="B1" s="2" t="inlineStr">
        <is>
          <t>Category</t>
        </is>
      </c>
      <c r="C1" s="2" t="inlineStr">
        <is>
          <t>Requirement</t>
        </is>
      </c>
      <c r="D1" s="2" t="inlineStr">
        <is>
          <t>Priority</t>
        </is>
      </c>
      <c r="E1" t="inlineStr">
        <is>
          <t>Status</t>
        </is>
      </c>
      <c r="F1" t="inlineStr">
        <is>
          <t>Evidence / Notes</t>
        </is>
      </c>
    </row>
    <row r="2" ht="27.6" customHeight="1">
      <c r="A2" s="4" t="inlineStr">
        <is>
          <t>NFR-001</t>
        </is>
      </c>
      <c r="B2" s="4" t="inlineStr">
        <is>
          <t>Performance</t>
        </is>
      </c>
      <c r="C2" s="4" t="inlineStr">
        <is>
          <t>Normal interactive API operations should target p95 response time under 500 ms under agreed reference load.</t>
        </is>
      </c>
      <c r="D2" s="4" t="inlineStr">
        <is>
          <t>Must Have</t>
        </is>
      </c>
      <c r="E2" t="inlineStr">
        <is>
          <t>Tested</t>
        </is>
      </c>
      <c r="F2" t="inlineStr">
        <is>
          <t>Load-tested against a defined reference load (30 concurrent users); passes p95&lt;500ms on all endpoints tested. Full methodology and results in docs/PERFORMANCE.md.</t>
        </is>
      </c>
    </row>
    <row r="3">
      <c r="A3" s="4" t="inlineStr">
        <is>
          <t>NFR-002</t>
        </is>
      </c>
      <c r="B3" s="4" t="inlineStr">
        <is>
          <t>Availability</t>
        </is>
      </c>
      <c r="C3" s="4" t="inlineStr">
        <is>
          <t>Production target 99.9% monthly availability excluding agreed maintenance windows.</t>
        </is>
      </c>
      <c r="D3" s="4" t="inlineStr">
        <is>
          <t>Should Have</t>
        </is>
      </c>
      <c r="E3" t="inlineStr">
        <is>
          <t>Live</t>
        </is>
      </c>
      <c r="F3" t="inlineStr">
        <is>
          <t>Application Insights availability test + email alerting on the API readiness endpoint, verified producing real results from 5 regions. See docs/MONITORING.md.</t>
        </is>
      </c>
    </row>
    <row r="4">
      <c r="A4" s="4" t="inlineStr">
        <is>
          <t>NFR-003</t>
        </is>
      </c>
      <c r="B4" s="4" t="inlineStr">
        <is>
          <t>Security</t>
        </is>
      </c>
      <c r="C4" s="4" t="inlineStr">
        <is>
          <t>HTTPS/TLS is mandatory in production.</t>
        </is>
      </c>
      <c r="D4" s="4" t="inlineStr">
        <is>
          <t>Must Have</t>
        </is>
      </c>
    </row>
    <row r="5">
      <c r="A5" s="4" t="inlineStr">
        <is>
          <t>NFR-004</t>
        </is>
      </c>
      <c r="B5" s="4" t="inlineStr">
        <is>
          <t>Password Security</t>
        </is>
      </c>
      <c r="C5" s="4" t="inlineStr">
        <is>
          <t>Use Argon2id or approved equivalent for password hashing.</t>
        </is>
      </c>
      <c r="D5" s="4" t="inlineStr">
        <is>
          <t>Must Have</t>
        </is>
      </c>
    </row>
    <row r="6">
      <c r="A6" s="4" t="inlineStr">
        <is>
          <t>NFR-005</t>
        </is>
      </c>
      <c r="B6" s="4" t="inlineStr">
        <is>
          <t>Time Integrity</t>
        </is>
      </c>
      <c r="C6" s="4" t="inlineStr">
        <is>
          <t>Official attendance/timer events use authoritative server time.</t>
        </is>
      </c>
      <c r="D6" s="4" t="inlineStr">
        <is>
          <t>Must Have</t>
        </is>
      </c>
    </row>
    <row r="7" ht="27.6" customHeight="1">
      <c r="A7" s="4" t="inlineStr">
        <is>
          <t>NFR-006</t>
        </is>
      </c>
      <c r="B7" s="4" t="inlineStr">
        <is>
          <t>Concurrency</t>
        </is>
      </c>
      <c r="C7" s="4" t="inlineStr">
        <is>
          <t>System prevents duplicate active attendance sessions and active task timers under concurrent requests.</t>
        </is>
      </c>
      <c r="D7" s="4" t="inlineStr">
        <is>
          <t>Must Have</t>
        </is>
      </c>
    </row>
    <row r="8">
      <c r="A8" s="4" t="inlineStr">
        <is>
          <t>NFR-007</t>
        </is>
      </c>
      <c r="B8" s="4" t="inlineStr">
        <is>
          <t>Auditability</t>
        </is>
      </c>
      <c r="C8" s="4" t="inlineStr">
        <is>
          <t>Material corrections, role changes and user status changes are auditable.</t>
        </is>
      </c>
      <c r="D8" s="4" t="inlineStr">
        <is>
          <t>Must Have</t>
        </is>
      </c>
    </row>
    <row r="9">
      <c r="A9" s="4" t="inlineStr">
        <is>
          <t>NFR-008</t>
        </is>
      </c>
      <c r="B9" s="4" t="inlineStr">
        <is>
          <t>Responsive UX</t>
        </is>
      </c>
      <c r="C9" s="4" t="inlineStr">
        <is>
          <t>Clock, break and task timer flows must be usable on desktop and mobile browsers.</t>
        </is>
      </c>
      <c r="D9" s="4" t="inlineStr">
        <is>
          <t>Must Have</t>
        </is>
      </c>
    </row>
    <row r="10">
      <c r="A10" s="4" t="inlineStr">
        <is>
          <t>NFR-009</t>
        </is>
      </c>
      <c r="B10" s="4" t="inlineStr">
        <is>
          <t>Accessibility</t>
        </is>
      </c>
      <c r="C10" s="4" t="inlineStr">
        <is>
          <t>Web UI should target WCAG 2.2 AA.</t>
        </is>
      </c>
      <c r="D10" s="4" t="inlineStr">
        <is>
          <t>Should Have</t>
        </is>
      </c>
      <c r="E10" t="inlineStr">
        <is>
          <t>Fixed</t>
        </is>
      </c>
      <c r="F10" t="inlineStr">
        <is>
          <t>Audited all 13 pages of the live deployment with axe-core (WCAG 2.1/2.2 AA rules). Found and fixed 3 real issues (color contrast, 8 unlabeled selects, keyboard-inaccessible scrollable tables) across 9 of 13 pages. Re-verified against the live site post-deploy: zero violations across all 13 pages. Full findings in docs/ACCESSIBILITY.md, including what an automated scan does not cover.</t>
        </is>
      </c>
    </row>
    <row r="11" ht="27.6" customHeight="1">
      <c r="A11" s="4" t="inlineStr">
        <is>
          <t>NFR-010</t>
        </is>
      </c>
      <c r="B11" s="4" t="inlineStr">
        <is>
          <t>Browser Support</t>
        </is>
      </c>
      <c r="C11" s="4" t="inlineStr">
        <is>
          <t>Support current major releases of Chrome, Edge, Safari and Firefox according to published support policy.</t>
        </is>
      </c>
      <c r="D11" s="4" t="inlineStr">
        <is>
          <t>Should Have</t>
        </is>
      </c>
    </row>
    <row r="12" ht="27.6" customHeight="1">
      <c r="A12" s="4" t="inlineStr">
        <is>
          <t>NFR-011</t>
        </is>
      </c>
      <c r="B12" s="4" t="inlineStr">
        <is>
          <t>Backup</t>
        </is>
      </c>
      <c r="C12" s="4" t="inlineStr">
        <is>
          <t>Automated encrypted database backup and tested restore process required before production.</t>
        </is>
      </c>
      <c r="D12" s="4" t="inlineStr">
        <is>
          <t>Must Have</t>
        </is>
      </c>
    </row>
    <row r="13">
      <c r="A13" s="4" t="inlineStr">
        <is>
          <t>NFR-012</t>
        </is>
      </c>
      <c r="B13" s="4" t="inlineStr">
        <is>
          <t>Observability</t>
        </is>
      </c>
      <c r="C13" s="4" t="inlineStr">
        <is>
          <t>Structured logging, health checks and error monitoring are required.</t>
        </is>
      </c>
      <c r="D13" s="4" t="inlineStr">
        <is>
          <t>Must Have</t>
        </is>
      </c>
    </row>
    <row r="14">
      <c r="A14" s="4" t="inlineStr">
        <is>
          <t>NFR-013</t>
        </is>
      </c>
      <c r="B14" s="4" t="inlineStr">
        <is>
          <t>Data Retention</t>
        </is>
      </c>
      <c r="C14" s="4" t="inlineStr">
        <is>
          <t>Attendance, task and audit retention periods must be configurable or documented.</t>
        </is>
      </c>
      <c r="D14" s="4" t="inlineStr">
        <is>
          <t>Should Have</t>
        </is>
      </c>
      <c r="E14" t="inlineStr">
        <is>
          <t>Documented</t>
        </is>
      </c>
      <c r="F14" t="inlineStr">
        <is>
          <t>Retention policy proposed and documented (docs/DATA_RETENTION.md): attendance 3yr, tasks indefinite, audit log 7yr, corrections tied to their parent record. Confirmed via codebase search that nothing is currently auto-deleted - satisfies the NFR literally ("configurable or documented"), but the periods are an engineering proposal pending Amaan's real sign-off, and no automated purge job exists yet (deliberately scoped out as separate, higher-risk follow-up work - a bug in a delete job is worse than most other bugs in this system).</t>
        </is>
      </c>
    </row>
    <row r="15">
      <c r="A15" s="4" t="inlineStr">
        <is>
          <t>NFR-014</t>
        </is>
      </c>
      <c r="B15" s="4" t="inlineStr">
        <is>
          <t>Scalability</t>
        </is>
      </c>
      <c r="C15" s="4" t="inlineStr">
        <is>
          <t>Application should be stateless where practical and container deployable.</t>
        </is>
      </c>
      <c r="D15" s="4" t="inlineStr">
        <is>
          <t>Should Have</t>
        </is>
      </c>
    </row>
    <row r="16">
      <c r="A16" s="4" t="inlineStr">
        <is>
          <t>NFR-015</t>
        </is>
      </c>
      <c r="B16" s="4" t="inlineStr">
        <is>
          <t>API Documentation</t>
        </is>
      </c>
      <c r="C16" s="4" t="inlineStr">
        <is>
          <t>Backend exposes generated OpenAPI/Swagger documentation for supported APIs.</t>
        </is>
      </c>
      <c r="D16" s="4" t="inlineStr">
        <is>
          <t>Must Have</t>
        </is>
      </c>
    </row>
    <row r="17">
      <c r="A17" s="4" t="inlineStr">
        <is>
          <t>NFR-016</t>
        </is>
      </c>
      <c r="B17" s="4" t="inlineStr">
        <is>
          <t>Testing</t>
        </is>
      </c>
      <c r="C17" s="4" t="inlineStr">
        <is>
          <t>Unit, integration and end-to-end tests are required for critical clock/timer workflows.</t>
        </is>
      </c>
      <c r="D17" s="4" t="inlineStr">
        <is>
          <t>Must Have</t>
        </is>
      </c>
    </row>
    <row r="20" ht="24" customHeight="1">
      <c r="A20" s="2" t="inlineStr">
        <is>
          <t>Business Rule ID</t>
        </is>
      </c>
      <c r="B20" s="2" t="inlineStr">
        <is>
          <t>Business Rule</t>
        </is>
      </c>
    </row>
    <row r="21" ht="27.6" customHeight="1">
      <c r="A21" s="4" t="inlineStr">
        <is>
          <t>BR-001</t>
        </is>
      </c>
      <c r="B21" s="4" t="inlineStr">
        <is>
          <t>Attendance clock and task timer are separate records and must never be treated as the same clock.</t>
        </is>
      </c>
    </row>
    <row r="22">
      <c r="A22" s="4" t="inlineStr">
        <is>
          <t>BR-002</t>
        </is>
      </c>
      <c r="B22" s="4" t="inlineStr">
        <is>
          <t>A user may have at most one active attendance session.</t>
        </is>
      </c>
    </row>
    <row r="23">
      <c r="A23" s="4" t="inlineStr">
        <is>
          <t>BR-003</t>
        </is>
      </c>
      <c r="B23" s="4" t="inlineStr">
        <is>
          <t>A user may have at most one active task timer.</t>
        </is>
      </c>
    </row>
    <row r="24">
      <c r="A24" s="4" t="inlineStr">
        <is>
          <t>BR-004</t>
        </is>
      </c>
      <c r="B24" s="4" t="inlineStr">
        <is>
          <t>A task timer can start only while the user is clocked in and not on break.</t>
        </is>
      </c>
    </row>
    <row r="25">
      <c r="A25" s="4" t="inlineStr">
        <is>
          <t>BR-005</t>
        </is>
      </c>
      <c r="B25" s="4" t="inlineStr">
        <is>
          <t>Starting a break pauses any active task timer at the same effective server boundary.</t>
        </is>
      </c>
    </row>
    <row r="26">
      <c r="A26" s="4" t="inlineStr">
        <is>
          <t>BR-006</t>
        </is>
      </c>
      <c r="B26" s="4" t="inlineStr">
        <is>
          <t>Ending a break does not automatically resume a task without an explicit user action.</t>
        </is>
      </c>
    </row>
    <row r="27">
      <c r="A27" s="4" t="inlineStr">
        <is>
          <t>BR-007</t>
        </is>
      </c>
      <c r="B27" s="4" t="inlineStr">
        <is>
          <t>Clocking out requires any active task timer and active break to be resolved.</t>
        </is>
      </c>
    </row>
    <row r="28">
      <c r="A28" s="4" t="inlineStr">
        <is>
          <t>BR-008</t>
        </is>
      </c>
      <c r="B28" s="4" t="inlineStr">
        <is>
          <t>Net working time = attendance elapsed time - eligible completed break time.</t>
        </is>
      </c>
    </row>
    <row r="29">
      <c r="A29" s="4" t="inlineStr">
        <is>
          <t>BR-009</t>
        </is>
      </c>
      <c r="B29" s="4" t="inlineStr">
        <is>
          <t>Task time = sum of valid non-overlapping active task segments.</t>
        </is>
      </c>
    </row>
    <row r="30">
      <c r="A30" s="4" t="inlineStr">
        <is>
          <t>BR-010</t>
        </is>
      </c>
      <c r="B30" s="4" t="inlineStr">
        <is>
          <t>Unallocated time = net working time - eligible task time.</t>
        </is>
      </c>
    </row>
    <row r="31">
      <c r="A31" s="4" t="inlineStr">
        <is>
          <t>BR-011</t>
        </is>
      </c>
      <c r="B31" s="4" t="inlineStr">
        <is>
          <t>Server timestamps are authoritative for online clock/timer actions.</t>
        </is>
      </c>
    </row>
    <row r="32">
      <c r="A32" s="4" t="inlineStr">
        <is>
          <t>BR-012</t>
        </is>
      </c>
      <c r="B32" s="4" t="inlineStr">
        <is>
          <t>Approved corrections never destroy the original event history.</t>
        </is>
      </c>
    </row>
    <row r="33" ht="27.6" customHeight="1">
      <c r="A33" s="4" t="inlineStr">
        <is>
          <t>BR-013</t>
        </is>
      </c>
      <c r="B33" s="4" t="inlineStr">
        <is>
          <t>Completed or cancelled tasks cannot accept a new timer unless reopened by an authorised user.</t>
        </is>
      </c>
    </row>
    <row r="34" ht="27.6" customHeight="1">
      <c r="A34" s="4" t="inlineStr">
        <is>
          <t>BR-014</t>
        </is>
      </c>
      <c r="B34" s="4" t="inlineStr">
        <is>
          <t>The application does not perform covert screenshots, keystroke logging or webcam monitoring.</t>
        </is>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C19"/>
  <sheetViews>
    <sheetView workbookViewId="0">
      <selection activeCell="A1" sqref="A1"/>
    </sheetView>
  </sheetViews>
  <sheetFormatPr baseColWidth="8" defaultRowHeight="13.8"/>
  <cols>
    <col width="22" customWidth="1" min="1" max="1"/>
    <col width="44" customWidth="1" min="2" max="2"/>
    <col width="72" customWidth="1" min="3" max="3"/>
  </cols>
  <sheetData>
    <row r="1" ht="24" customHeight="1">
      <c r="A1" s="2" t="inlineStr">
        <is>
          <t>Layer</t>
        </is>
      </c>
      <c r="B1" s="2" t="inlineStr">
        <is>
          <t>Recommended Technology</t>
        </is>
      </c>
      <c r="C1" s="2" t="inlineStr">
        <is>
          <t>Reason / Implementation Guidance</t>
        </is>
      </c>
    </row>
    <row r="2" ht="27.6" customHeight="1">
      <c r="A2" s="4" t="inlineStr">
        <is>
          <t>Frontend</t>
        </is>
      </c>
      <c r="B2" s="4" t="inlineStr">
        <is>
          <t>Next.js (React) + TypeScript</t>
        </is>
      </c>
      <c r="C2" s="4" t="inlineStr">
        <is>
          <t>Single web application; mature React ecosystem; routing, SSR/SPA flexibility and strong developer productivity.</t>
        </is>
      </c>
    </row>
    <row r="3">
      <c r="A3" s="4" t="inlineStr">
        <is>
          <t>UI</t>
        </is>
      </c>
      <c r="B3" s="4" t="inlineStr">
        <is>
          <t>Tailwind CSS + accessible component library</t>
        </is>
      </c>
      <c r="C3" s="4" t="inlineStr">
        <is>
          <t>Consistent responsive UI without a large custom CSS maintenance burden.</t>
        </is>
      </c>
    </row>
    <row r="4">
      <c r="A4" s="4" t="inlineStr">
        <is>
          <t>Forms/Validation</t>
        </is>
      </c>
      <c r="B4" s="4" t="inlineStr">
        <is>
          <t>React Hook Form + Zod</t>
        </is>
      </c>
      <c r="C4" s="4" t="inlineStr">
        <is>
          <t>Fast forms with shared schema-style validation and clear error handling.</t>
        </is>
      </c>
    </row>
    <row r="5">
      <c r="A5" s="4" t="inlineStr">
        <is>
          <t>Data Fetching</t>
        </is>
      </c>
      <c r="B5" s="4" t="inlineStr">
        <is>
          <t>TanStack Query</t>
        </is>
      </c>
      <c r="C5" s="4" t="inlineStr">
        <is>
          <t>Server-state caching, invalidation and background refresh for dashboards/logs.</t>
        </is>
      </c>
    </row>
    <row r="6">
      <c r="A6" s="4" t="inlineStr">
        <is>
          <t>Backend</t>
        </is>
      </c>
      <c r="B6" s="4" t="inlineStr">
        <is>
          <t>NestJS + TypeScript</t>
        </is>
      </c>
      <c r="C6" s="4" t="inlineStr">
        <is>
          <t>Structured modular backend, DI, guards, validation, testing and OpenAPI integration.</t>
        </is>
      </c>
    </row>
    <row r="7">
      <c r="A7" s="4" t="inlineStr">
        <is>
          <t>API</t>
        </is>
      </c>
      <c r="B7" s="4" t="inlineStr">
        <is>
          <t>REST + OpenAPI/Swagger</t>
        </is>
      </c>
      <c r="C7" s="4" t="inlineStr">
        <is>
          <t>Simple for web/admin integrations; documentation generated from backend code.</t>
        </is>
      </c>
    </row>
    <row r="8">
      <c r="A8" s="4" t="inlineStr">
        <is>
          <t>Database</t>
        </is>
      </c>
      <c r="B8" s="4" t="inlineStr">
        <is>
          <t>PostgreSQL</t>
        </is>
      </c>
      <c r="C8" s="4" t="inlineStr">
        <is>
          <t>Reliable transactional relational database well suited to attendance/time integrity.</t>
        </is>
      </c>
    </row>
    <row r="9" ht="27.6" customHeight="1">
      <c r="A9" s="4" t="inlineStr">
        <is>
          <t>ORM</t>
        </is>
      </c>
      <c r="B9" s="4" t="inlineStr">
        <is>
          <t>Prisma ORM</t>
        </is>
      </c>
      <c r="C9" s="4" t="inlineStr">
        <is>
          <t>Typed data access, migrations and developer productivity; validate concurrency-sensitive operations with explicit transactions/constraints.</t>
        </is>
      </c>
    </row>
    <row r="10" ht="27.6" customHeight="1">
      <c r="A10" s="4" t="inlineStr">
        <is>
          <t>Authentication</t>
        </is>
      </c>
      <c r="B10" s="4" t="inlineStr">
        <is>
          <t>Secure HttpOnly cookie-based access/refresh tokens or server session pattern</t>
        </is>
      </c>
      <c r="C10" s="4" t="inlineStr">
        <is>
          <t>Avoid storing sensitive auth tokens in localStorage; support rotation and revocation.</t>
        </is>
      </c>
    </row>
    <row r="11">
      <c r="A11" s="4" t="inlineStr">
        <is>
          <t>Password Hashing</t>
        </is>
      </c>
      <c r="B11" s="4" t="inlineStr">
        <is>
          <t>Argon2id</t>
        </is>
      </c>
      <c r="C11" s="4" t="inlineStr">
        <is>
          <t>Modern password hashing suitable for credential protection.</t>
        </is>
      </c>
    </row>
    <row r="12" ht="27.6" customHeight="1">
      <c r="A12" s="4" t="inlineStr">
        <is>
          <t>Live Status</t>
        </is>
      </c>
      <c r="B12" s="4" t="inlineStr">
        <is>
          <t>REST polling initially; optional WebSocket/SSE for admin live view</t>
        </is>
      </c>
      <c r="C12" s="4" t="inlineStr">
        <is>
          <t>Avoid unnecessary real-time complexity in MVP; timers are derived from server timestamps.</t>
        </is>
      </c>
    </row>
    <row r="13">
      <c r="A13" s="4" t="inlineStr">
        <is>
          <t>Testing</t>
        </is>
      </c>
      <c r="B13" s="4" t="inlineStr">
        <is>
          <t>Vitest/Jest + Supertest + Playwright</t>
        </is>
      </c>
      <c r="C13" s="4" t="inlineStr">
        <is>
          <t>Unit, API integration and browser end-to-end coverage.</t>
        </is>
      </c>
    </row>
    <row r="14">
      <c r="A14" s="4" t="inlineStr">
        <is>
          <t>Containerisation</t>
        </is>
      </c>
      <c r="B14" s="4" t="inlineStr">
        <is>
          <t>Docker + Docker Compose</t>
        </is>
      </c>
      <c r="C14" s="4" t="inlineStr">
        <is>
          <t>Reproducible development and deployment.</t>
        </is>
      </c>
    </row>
    <row r="15">
      <c r="A15" s="4" t="inlineStr">
        <is>
          <t>CI/CD</t>
        </is>
      </c>
      <c r="B15" s="4" t="inlineStr">
        <is>
          <t>GitHub Actions</t>
        </is>
      </c>
      <c r="C15" s="4" t="inlineStr">
        <is>
          <t>Build, lint, test, security scan and deployment automation.</t>
        </is>
      </c>
    </row>
    <row r="16">
      <c r="A16" s="4" t="inlineStr">
        <is>
          <t>Reverse Proxy</t>
        </is>
      </c>
      <c r="B16" s="4" t="inlineStr">
        <is>
          <t>Managed ingress or Nginx</t>
        </is>
      </c>
      <c r="C16" s="4" t="inlineStr">
        <is>
          <t>TLS termination/routing depending on hosting platform.</t>
        </is>
      </c>
    </row>
    <row r="17" ht="27.6" customHeight="1">
      <c r="A17" s="4" t="inlineStr">
        <is>
          <t>Production Hosting</t>
        </is>
      </c>
      <c r="B17" s="4" t="inlineStr">
        <is>
          <t>Azure Container Apps or AWS ECS/Fargate (provider-neutral Docker image)</t>
        </is>
      </c>
      <c r="C17" s="4" t="inlineStr">
        <is>
          <t>Managed container hosting with autoscaling and low operational overhead.</t>
        </is>
      </c>
    </row>
    <row r="18" ht="27.6" customHeight="1">
      <c r="A18" s="4" t="inlineStr">
        <is>
          <t>Managed Database</t>
        </is>
      </c>
      <c r="B18" s="4" t="inlineStr">
        <is>
          <t>Azure Database for PostgreSQL / AWS RDS PostgreSQL</t>
        </is>
      </c>
      <c r="C18" s="4" t="inlineStr">
        <is>
          <t>Backups, patching and managed availability.</t>
        </is>
      </c>
    </row>
    <row r="19" ht="27.6" customHeight="1">
      <c r="A19" s="4" t="inlineStr">
        <is>
          <t>Monitoring</t>
        </is>
      </c>
      <c r="B19" s="4" t="inlineStr">
        <is>
          <t>OpenTelemetry + platform monitoring/Sentry-compatible error tracking</t>
        </is>
      </c>
      <c r="C19" s="4" t="inlineStr">
        <is>
          <t>Centralised traces, logs, errors and performance visibility.</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C21"/>
  <sheetViews>
    <sheetView workbookViewId="0">
      <selection activeCell="A1" sqref="A1"/>
    </sheetView>
  </sheetViews>
  <sheetFormatPr baseColWidth="8" defaultRowHeight="13.8"/>
  <cols>
    <col width="14" customWidth="1" min="1" max="1"/>
    <col width="46" customWidth="1" min="2" max="2"/>
    <col width="18" customWidth="1" min="3" max="3"/>
  </cols>
  <sheetData>
    <row r="1" ht="24" customHeight="1">
      <c r="A1" s="2" t="inlineStr">
        <is>
          <t>Screen ID</t>
        </is>
      </c>
      <c r="B1" s="2" t="inlineStr">
        <is>
          <t>Screen</t>
        </is>
      </c>
      <c r="C1" s="2" t="inlineStr">
        <is>
          <t>Delivery Status</t>
        </is>
      </c>
    </row>
    <row r="2">
      <c r="A2" s="4" t="inlineStr">
        <is>
          <t>SCR-001</t>
        </is>
      </c>
      <c r="B2" s="4" t="inlineStr">
        <is>
          <t>Login</t>
        </is>
      </c>
      <c r="C2" s="4" t="inlineStr">
        <is>
          <t>Not Started</t>
        </is>
      </c>
    </row>
    <row r="3">
      <c r="A3" s="4" t="inlineStr">
        <is>
          <t>SCR-002</t>
        </is>
      </c>
      <c r="B3" s="4" t="inlineStr">
        <is>
          <t>Registration</t>
        </is>
      </c>
      <c r="C3" s="4" t="inlineStr">
        <is>
          <t>Not Started</t>
        </is>
      </c>
    </row>
    <row r="4">
      <c r="A4" s="4" t="inlineStr">
        <is>
          <t>SCR-003</t>
        </is>
      </c>
      <c r="B4" s="4" t="inlineStr">
        <is>
          <t>Forgot/Reset Password</t>
        </is>
      </c>
      <c r="C4" s="4" t="inlineStr">
        <is>
          <t>Not Started</t>
        </is>
      </c>
    </row>
    <row r="5">
      <c r="A5" s="4" t="inlineStr">
        <is>
          <t>SCR-004</t>
        </is>
      </c>
      <c r="B5" s="4" t="inlineStr">
        <is>
          <t>Employee - My Day</t>
        </is>
      </c>
      <c r="C5" s="4" t="inlineStr">
        <is>
          <t>Not Started</t>
        </is>
      </c>
    </row>
    <row r="6">
      <c r="A6" s="4" t="inlineStr">
        <is>
          <t>SCR-005</t>
        </is>
      </c>
      <c r="B6" s="4" t="inlineStr">
        <is>
          <t>My Attendance History</t>
        </is>
      </c>
      <c r="C6" s="4" t="inlineStr">
        <is>
          <t>Not Started</t>
        </is>
      </c>
    </row>
    <row r="7">
      <c r="A7" s="4" t="inlineStr">
        <is>
          <t>SCR-006</t>
        </is>
      </c>
      <c r="B7" s="4" t="inlineStr">
        <is>
          <t>Attendance Day Detail / Timeline</t>
        </is>
      </c>
      <c r="C7" s="4" t="inlineStr">
        <is>
          <t>Not Started</t>
        </is>
      </c>
    </row>
    <row r="8">
      <c r="A8" s="4" t="inlineStr">
        <is>
          <t>SCR-007</t>
        </is>
      </c>
      <c r="B8" s="4" t="inlineStr">
        <is>
          <t>My Tasks</t>
        </is>
      </c>
      <c r="C8" s="4" t="inlineStr">
        <is>
          <t>Not Started</t>
        </is>
      </c>
    </row>
    <row r="9">
      <c r="A9" s="4" t="inlineStr">
        <is>
          <t>SCR-008</t>
        </is>
      </c>
      <c r="B9" s="4" t="inlineStr">
        <is>
          <t>Task Detail</t>
        </is>
      </c>
      <c r="C9" s="4" t="inlineStr">
        <is>
          <t>Not Started</t>
        </is>
      </c>
    </row>
    <row r="10">
      <c r="A10" s="4" t="inlineStr">
        <is>
          <t>SCR-009</t>
        </is>
      </c>
      <c r="B10" s="4" t="inlineStr">
        <is>
          <t>My Task Time History</t>
        </is>
      </c>
      <c r="C10" s="4" t="inlineStr">
        <is>
          <t>Not Started</t>
        </is>
      </c>
    </row>
    <row r="11">
      <c r="A11" s="4" t="inlineStr">
        <is>
          <t>SCR-010</t>
        </is>
      </c>
      <c r="B11" s="4" t="inlineStr">
        <is>
          <t>My Profile</t>
        </is>
      </c>
      <c r="C11" s="4" t="inlineStr">
        <is>
          <t>Not Started</t>
        </is>
      </c>
    </row>
    <row r="12">
      <c r="A12" s="4" t="inlineStr">
        <is>
          <t>SCR-011</t>
        </is>
      </c>
      <c r="B12" s="4" t="inlineStr">
        <is>
          <t>Admin Dashboard</t>
        </is>
      </c>
      <c r="C12" s="4" t="inlineStr">
        <is>
          <t>Not Started</t>
        </is>
      </c>
    </row>
    <row r="13">
      <c r="A13" s="4" t="inlineStr">
        <is>
          <t>SCR-012</t>
        </is>
      </c>
      <c r="B13" s="4" t="inlineStr">
        <is>
          <t>User Management</t>
        </is>
      </c>
      <c r="C13" s="4" t="inlineStr">
        <is>
          <t>Not Started</t>
        </is>
      </c>
    </row>
    <row r="14">
      <c r="A14" s="4" t="inlineStr">
        <is>
          <t>SCR-013</t>
        </is>
      </c>
      <c r="B14" s="4" t="inlineStr">
        <is>
          <t>User Detail</t>
        </is>
      </c>
      <c r="C14" s="4" t="inlineStr">
        <is>
          <t>Not Started</t>
        </is>
      </c>
    </row>
    <row r="15">
      <c r="A15" s="4" t="inlineStr">
        <is>
          <t>SCR-014</t>
        </is>
      </c>
      <c r="B15" s="4" t="inlineStr">
        <is>
          <t>Task Management</t>
        </is>
      </c>
      <c r="C15" s="4" t="inlineStr">
        <is>
          <t>Not Started</t>
        </is>
      </c>
    </row>
    <row r="16">
      <c r="A16" s="4" t="inlineStr">
        <is>
          <t>SCR-015</t>
        </is>
      </c>
      <c r="B16" s="4" t="inlineStr">
        <is>
          <t>Task Create/Edit</t>
        </is>
      </c>
      <c r="C16" s="4" t="inlineStr">
        <is>
          <t>Not Started</t>
        </is>
      </c>
    </row>
    <row r="17">
      <c r="A17" s="4" t="inlineStr">
        <is>
          <t>SCR-016</t>
        </is>
      </c>
      <c r="B17" s="4" t="inlineStr">
        <is>
          <t>Live Attendance</t>
        </is>
      </c>
      <c r="C17" s="4" t="inlineStr">
        <is>
          <t>Not Started</t>
        </is>
      </c>
    </row>
    <row r="18">
      <c r="A18" s="4" t="inlineStr">
        <is>
          <t>SCR-017</t>
        </is>
      </c>
      <c r="B18" s="4" t="inlineStr">
        <is>
          <t>Attendance Logs</t>
        </is>
      </c>
      <c r="C18" s="4" t="inlineStr">
        <is>
          <t>Not Started</t>
        </is>
      </c>
    </row>
    <row r="19">
      <c r="A19" s="4" t="inlineStr">
        <is>
          <t>SCR-018</t>
        </is>
      </c>
      <c r="B19" s="4" t="inlineStr">
        <is>
          <t>Correction Review</t>
        </is>
      </c>
      <c r="C19" s="4" t="inlineStr">
        <is>
          <t>Not Started</t>
        </is>
      </c>
    </row>
    <row r="20">
      <c r="A20" s="4" t="inlineStr">
        <is>
          <t>SCR-019</t>
        </is>
      </c>
      <c r="B20" s="4" t="inlineStr">
        <is>
          <t>Reports</t>
        </is>
      </c>
      <c r="C20" s="4" t="inlineStr">
        <is>
          <t>Not Started</t>
        </is>
      </c>
    </row>
    <row r="21">
      <c r="A21" s="4" t="inlineStr">
        <is>
          <t>SCR-020</t>
        </is>
      </c>
      <c r="B21" s="4" t="inlineStr">
        <is>
          <t>Audit Log</t>
        </is>
      </c>
      <c r="C21" s="4" t="inlineStr">
        <is>
          <t>Not Started</t>
        </is>
      </c>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J76"/>
  <sheetViews>
    <sheetView workbookViewId="0">
      <selection activeCell="A1" sqref="A1"/>
    </sheetView>
  </sheetViews>
  <sheetFormatPr baseColWidth="8" defaultRowHeight="13.8"/>
  <cols>
    <col width="12" customWidth="1" min="1" max="1"/>
    <col width="15" customWidth="1" min="2" max="2"/>
    <col width="14" customWidth="1" min="3" max="3"/>
    <col width="15" customWidth="1" min="4" max="4"/>
    <col width="16" customWidth="1" min="5" max="5"/>
    <col width="12" customWidth="1" min="6" max="8"/>
    <col width="18" customWidth="1" min="9" max="9"/>
    <col width="16" customWidth="1" min="10" max="10"/>
  </cols>
  <sheetData>
    <row r="1" ht="24" customHeight="1">
      <c r="A1" s="2" t="inlineStr">
        <is>
          <t>Epic ID</t>
        </is>
      </c>
      <c r="B1" s="2" t="inlineStr">
        <is>
          <t>Story ID</t>
        </is>
      </c>
      <c r="C1" s="2" t="inlineStr">
        <is>
          <t>SRS AC Count</t>
        </is>
      </c>
      <c r="D1" s="2" t="inlineStr">
        <is>
          <t>Tracker AC Count</t>
        </is>
      </c>
      <c r="E1" s="2" t="inlineStr">
        <is>
          <t>Story Status</t>
        </is>
      </c>
      <c r="F1" s="2" t="inlineStr">
        <is>
          <t>AC Tested</t>
        </is>
      </c>
      <c r="G1" s="2" t="inlineStr">
        <is>
          <t>AC Passed</t>
        </is>
      </c>
      <c r="H1" s="2" t="inlineStr">
        <is>
          <t>AC Failed</t>
        </is>
      </c>
      <c r="I1" s="2" t="inlineStr">
        <is>
          <t>Traceability</t>
        </is>
      </c>
      <c r="J1" s="2" t="inlineStr">
        <is>
          <t>QA Completion %</t>
        </is>
      </c>
    </row>
    <row r="2">
      <c r="A2" s="4" t="inlineStr">
        <is>
          <t>EP-001</t>
        </is>
      </c>
      <c r="B2" s="4" t="inlineStr">
        <is>
          <t>US-001-001</t>
        </is>
      </c>
      <c r="C2" s="4" t="n">
        <v>4</v>
      </c>
      <c r="D2" s="4">
        <f>COUNTIF('Acceptance Criteria'!B:B,B2)</f>
        <v/>
      </c>
      <c r="E2" s="4">
        <f>VLOOKUP(B2,'User Stories'!A:L,12,FALSE)</f>
        <v/>
      </c>
      <c r="F2" s="4">
        <f>COUNTIFS('Acceptance Criteria'!B:B,B2,'Acceptance Criteria'!F:F,"&lt;&gt;Not Tested")</f>
        <v/>
      </c>
      <c r="G2" s="4">
        <f>COUNTIFS('Acceptance Criteria'!B:B,B2,'Acceptance Criteria'!F:F,"Pass")</f>
        <v/>
      </c>
      <c r="H2" s="4">
        <f>COUNTIFS('Acceptance Criteria'!B:B,B2,'Acceptance Criteria'!F:F,"Fail")</f>
        <v/>
      </c>
      <c r="I2" s="4">
        <f>IF(C2=D2,"Linked","Mismatch")</f>
        <v/>
      </c>
      <c r="J2" s="5">
        <f>IF(C2=0,0,G2/C2)</f>
        <v/>
      </c>
    </row>
    <row r="3">
      <c r="A3" s="4" t="inlineStr">
        <is>
          <t>EP-001</t>
        </is>
      </c>
      <c r="B3" s="4" t="inlineStr">
        <is>
          <t>US-001-002</t>
        </is>
      </c>
      <c r="C3" s="4" t="n">
        <v>4</v>
      </c>
      <c r="D3" s="4">
        <f>COUNTIF('Acceptance Criteria'!B:B,B3)</f>
        <v/>
      </c>
      <c r="E3" s="4">
        <f>VLOOKUP(B3,'User Stories'!A:L,12,FALSE)</f>
        <v/>
      </c>
      <c r="F3" s="4">
        <f>COUNTIFS('Acceptance Criteria'!B:B,B3,'Acceptance Criteria'!F:F,"&lt;&gt;Not Tested")</f>
        <v/>
      </c>
      <c r="G3" s="4">
        <f>COUNTIFS('Acceptance Criteria'!B:B,B3,'Acceptance Criteria'!F:F,"Pass")</f>
        <v/>
      </c>
      <c r="H3" s="4">
        <f>COUNTIFS('Acceptance Criteria'!B:B,B3,'Acceptance Criteria'!F:F,"Fail")</f>
        <v/>
      </c>
      <c r="I3" s="4">
        <f>IF(C3=D3,"Linked","Mismatch")</f>
        <v/>
      </c>
      <c r="J3" s="5">
        <f>IF(C3=0,0,G3/C3)</f>
        <v/>
      </c>
    </row>
    <row r="4">
      <c r="A4" s="4" t="inlineStr">
        <is>
          <t>EP-001</t>
        </is>
      </c>
      <c r="B4" s="4" t="inlineStr">
        <is>
          <t>US-001-003</t>
        </is>
      </c>
      <c r="C4" s="4" t="n">
        <v>4</v>
      </c>
      <c r="D4" s="4">
        <f>COUNTIF('Acceptance Criteria'!B:B,B4)</f>
        <v/>
      </c>
      <c r="E4" s="4">
        <f>VLOOKUP(B4,'User Stories'!A:L,12,FALSE)</f>
        <v/>
      </c>
      <c r="F4" s="4">
        <f>COUNTIFS('Acceptance Criteria'!B:B,B4,'Acceptance Criteria'!F:F,"&lt;&gt;Not Tested")</f>
        <v/>
      </c>
      <c r="G4" s="4">
        <f>COUNTIFS('Acceptance Criteria'!B:B,B4,'Acceptance Criteria'!F:F,"Pass")</f>
        <v/>
      </c>
      <c r="H4" s="4">
        <f>COUNTIFS('Acceptance Criteria'!B:B,B4,'Acceptance Criteria'!F:F,"Fail")</f>
        <v/>
      </c>
      <c r="I4" s="4">
        <f>IF(C4=D4,"Linked","Mismatch")</f>
        <v/>
      </c>
      <c r="J4" s="5">
        <f>IF(C4=0,0,G4/C4)</f>
        <v/>
      </c>
    </row>
    <row r="5">
      <c r="A5" s="4" t="inlineStr">
        <is>
          <t>EP-001</t>
        </is>
      </c>
      <c r="B5" s="4" t="inlineStr">
        <is>
          <t>US-001-004</t>
        </is>
      </c>
      <c r="C5" s="4" t="n">
        <v>4</v>
      </c>
      <c r="D5" s="4">
        <f>COUNTIF('Acceptance Criteria'!B:B,B5)</f>
        <v/>
      </c>
      <c r="E5" s="4">
        <f>VLOOKUP(B5,'User Stories'!A:L,12,FALSE)</f>
        <v/>
      </c>
      <c r="F5" s="4">
        <f>COUNTIFS('Acceptance Criteria'!B:B,B5,'Acceptance Criteria'!F:F,"&lt;&gt;Not Tested")</f>
        <v/>
      </c>
      <c r="G5" s="4">
        <f>COUNTIFS('Acceptance Criteria'!B:B,B5,'Acceptance Criteria'!F:F,"Pass")</f>
        <v/>
      </c>
      <c r="H5" s="4">
        <f>COUNTIFS('Acceptance Criteria'!B:B,B5,'Acceptance Criteria'!F:F,"Fail")</f>
        <v/>
      </c>
      <c r="I5" s="4">
        <f>IF(C5=D5,"Linked","Mismatch")</f>
        <v/>
      </c>
      <c r="J5" s="5">
        <f>IF(C5=0,0,G5/C5)</f>
        <v/>
      </c>
    </row>
    <row r="6">
      <c r="A6" s="4" t="inlineStr">
        <is>
          <t>EP-001</t>
        </is>
      </c>
      <c r="B6" s="4" t="inlineStr">
        <is>
          <t>US-001-005</t>
        </is>
      </c>
      <c r="C6" s="4" t="n">
        <v>4</v>
      </c>
      <c r="D6" s="4">
        <f>COUNTIF('Acceptance Criteria'!B:B,B6)</f>
        <v/>
      </c>
      <c r="E6" s="4">
        <f>VLOOKUP(B6,'User Stories'!A:L,12,FALSE)</f>
        <v/>
      </c>
      <c r="F6" s="4">
        <f>COUNTIFS('Acceptance Criteria'!B:B,B6,'Acceptance Criteria'!F:F,"&lt;&gt;Not Tested")</f>
        <v/>
      </c>
      <c r="G6" s="4">
        <f>COUNTIFS('Acceptance Criteria'!B:B,B6,'Acceptance Criteria'!F:F,"Pass")</f>
        <v/>
      </c>
      <c r="H6" s="4">
        <f>COUNTIFS('Acceptance Criteria'!B:B,B6,'Acceptance Criteria'!F:F,"Fail")</f>
        <v/>
      </c>
      <c r="I6" s="4">
        <f>IF(C6=D6,"Linked","Mismatch")</f>
        <v/>
      </c>
      <c r="J6" s="5">
        <f>IF(C6=0,0,G6/C6)</f>
        <v/>
      </c>
    </row>
    <row r="7">
      <c r="A7" s="4" t="inlineStr">
        <is>
          <t>EP-001</t>
        </is>
      </c>
      <c r="B7" s="4" t="inlineStr">
        <is>
          <t>US-001-006</t>
        </is>
      </c>
      <c r="C7" s="4" t="n">
        <v>4</v>
      </c>
      <c r="D7" s="4">
        <f>COUNTIF('Acceptance Criteria'!B:B,B7)</f>
        <v/>
      </c>
      <c r="E7" s="4">
        <f>VLOOKUP(B7,'User Stories'!A:L,12,FALSE)</f>
        <v/>
      </c>
      <c r="F7" s="4">
        <f>COUNTIFS('Acceptance Criteria'!B:B,B7,'Acceptance Criteria'!F:F,"&lt;&gt;Not Tested")</f>
        <v/>
      </c>
      <c r="G7" s="4">
        <f>COUNTIFS('Acceptance Criteria'!B:B,B7,'Acceptance Criteria'!F:F,"Pass")</f>
        <v/>
      </c>
      <c r="H7" s="4">
        <f>COUNTIFS('Acceptance Criteria'!B:B,B7,'Acceptance Criteria'!F:F,"Fail")</f>
        <v/>
      </c>
      <c r="I7" s="4">
        <f>IF(C7=D7,"Linked","Mismatch")</f>
        <v/>
      </c>
      <c r="J7" s="5">
        <f>IF(C7=0,0,G7/C7)</f>
        <v/>
      </c>
    </row>
    <row r="8">
      <c r="A8" s="4" t="inlineStr">
        <is>
          <t>EP-001</t>
        </is>
      </c>
      <c r="B8" s="4" t="inlineStr">
        <is>
          <t>US-001-007</t>
        </is>
      </c>
      <c r="C8" s="4" t="n">
        <v>4</v>
      </c>
      <c r="D8" s="4">
        <f>COUNTIF('Acceptance Criteria'!B:B,B8)</f>
        <v/>
      </c>
      <c r="E8" s="4">
        <f>VLOOKUP(B8,'User Stories'!A:L,12,FALSE)</f>
        <v/>
      </c>
      <c r="F8" s="4">
        <f>COUNTIFS('Acceptance Criteria'!B:B,B8,'Acceptance Criteria'!F:F,"&lt;&gt;Not Tested")</f>
        <v/>
      </c>
      <c r="G8" s="4">
        <f>COUNTIFS('Acceptance Criteria'!B:B,B8,'Acceptance Criteria'!F:F,"Pass")</f>
        <v/>
      </c>
      <c r="H8" s="4">
        <f>COUNTIFS('Acceptance Criteria'!B:B,B8,'Acceptance Criteria'!F:F,"Fail")</f>
        <v/>
      </c>
      <c r="I8" s="4">
        <f>IF(C8=D8,"Linked","Mismatch")</f>
        <v/>
      </c>
      <c r="J8" s="5">
        <f>IF(C8=0,0,G8/C8)</f>
        <v/>
      </c>
    </row>
    <row r="9">
      <c r="A9" s="4" t="inlineStr">
        <is>
          <t>EP-002</t>
        </is>
      </c>
      <c r="B9" s="4" t="inlineStr">
        <is>
          <t>US-002-001</t>
        </is>
      </c>
      <c r="C9" s="4" t="n">
        <v>4</v>
      </c>
      <c r="D9" s="4">
        <f>COUNTIF('Acceptance Criteria'!B:B,B9)</f>
        <v/>
      </c>
      <c r="E9" s="4">
        <f>VLOOKUP(B9,'User Stories'!A:L,12,FALSE)</f>
        <v/>
      </c>
      <c r="F9" s="4">
        <f>COUNTIFS('Acceptance Criteria'!B:B,B9,'Acceptance Criteria'!F:F,"&lt;&gt;Not Tested")</f>
        <v/>
      </c>
      <c r="G9" s="4">
        <f>COUNTIFS('Acceptance Criteria'!B:B,B9,'Acceptance Criteria'!F:F,"Pass")</f>
        <v/>
      </c>
      <c r="H9" s="4">
        <f>COUNTIFS('Acceptance Criteria'!B:B,B9,'Acceptance Criteria'!F:F,"Fail")</f>
        <v/>
      </c>
      <c r="I9" s="4">
        <f>IF(C9=D9,"Linked","Mismatch")</f>
        <v/>
      </c>
      <c r="J9" s="5">
        <f>IF(C9=0,0,G9/C9)</f>
        <v/>
      </c>
    </row>
    <row r="10">
      <c r="A10" s="4" t="inlineStr">
        <is>
          <t>EP-002</t>
        </is>
      </c>
      <c r="B10" s="4" t="inlineStr">
        <is>
          <t>US-002-002</t>
        </is>
      </c>
      <c r="C10" s="4" t="n">
        <v>4</v>
      </c>
      <c r="D10" s="4">
        <f>COUNTIF('Acceptance Criteria'!B:B,B10)</f>
        <v/>
      </c>
      <c r="E10" s="4">
        <f>VLOOKUP(B10,'User Stories'!A:L,12,FALSE)</f>
        <v/>
      </c>
      <c r="F10" s="4">
        <f>COUNTIFS('Acceptance Criteria'!B:B,B10,'Acceptance Criteria'!F:F,"&lt;&gt;Not Tested")</f>
        <v/>
      </c>
      <c r="G10" s="4">
        <f>COUNTIFS('Acceptance Criteria'!B:B,B10,'Acceptance Criteria'!F:F,"Pass")</f>
        <v/>
      </c>
      <c r="H10" s="4">
        <f>COUNTIFS('Acceptance Criteria'!B:B,B10,'Acceptance Criteria'!F:F,"Fail")</f>
        <v/>
      </c>
      <c r="I10" s="4">
        <f>IF(C10=D10,"Linked","Mismatch")</f>
        <v/>
      </c>
      <c r="J10" s="5">
        <f>IF(C10=0,0,G10/C10)</f>
        <v/>
      </c>
    </row>
    <row r="11">
      <c r="A11" s="4" t="inlineStr">
        <is>
          <t>EP-002</t>
        </is>
      </c>
      <c r="B11" s="4" t="inlineStr">
        <is>
          <t>US-002-003</t>
        </is>
      </c>
      <c r="C11" s="4" t="n">
        <v>4</v>
      </c>
      <c r="D11" s="4">
        <f>COUNTIF('Acceptance Criteria'!B:B,B11)</f>
        <v/>
      </c>
      <c r="E11" s="4">
        <f>VLOOKUP(B11,'User Stories'!A:L,12,FALSE)</f>
        <v/>
      </c>
      <c r="F11" s="4">
        <f>COUNTIFS('Acceptance Criteria'!B:B,B11,'Acceptance Criteria'!F:F,"&lt;&gt;Not Tested")</f>
        <v/>
      </c>
      <c r="G11" s="4">
        <f>COUNTIFS('Acceptance Criteria'!B:B,B11,'Acceptance Criteria'!F:F,"Pass")</f>
        <v/>
      </c>
      <c r="H11" s="4">
        <f>COUNTIFS('Acceptance Criteria'!B:B,B11,'Acceptance Criteria'!F:F,"Fail")</f>
        <v/>
      </c>
      <c r="I11" s="4">
        <f>IF(C11=D11,"Linked","Mismatch")</f>
        <v/>
      </c>
      <c r="J11" s="5">
        <f>IF(C11=0,0,G11/C11)</f>
        <v/>
      </c>
    </row>
    <row r="12">
      <c r="A12" s="4" t="inlineStr">
        <is>
          <t>EP-002</t>
        </is>
      </c>
      <c r="B12" s="4" t="inlineStr">
        <is>
          <t>US-002-004</t>
        </is>
      </c>
      <c r="C12" s="4" t="n">
        <v>4</v>
      </c>
      <c r="D12" s="4">
        <f>COUNTIF('Acceptance Criteria'!B:B,B12)</f>
        <v/>
      </c>
      <c r="E12" s="4">
        <f>VLOOKUP(B12,'User Stories'!A:L,12,FALSE)</f>
        <v/>
      </c>
      <c r="F12" s="4">
        <f>COUNTIFS('Acceptance Criteria'!B:B,B12,'Acceptance Criteria'!F:F,"&lt;&gt;Not Tested")</f>
        <v/>
      </c>
      <c r="G12" s="4">
        <f>COUNTIFS('Acceptance Criteria'!B:B,B12,'Acceptance Criteria'!F:F,"Pass")</f>
        <v/>
      </c>
      <c r="H12" s="4">
        <f>COUNTIFS('Acceptance Criteria'!B:B,B12,'Acceptance Criteria'!F:F,"Fail")</f>
        <v/>
      </c>
      <c r="I12" s="4">
        <f>IF(C12=D12,"Linked","Mismatch")</f>
        <v/>
      </c>
      <c r="J12" s="5">
        <f>IF(C12=0,0,G12/C12)</f>
        <v/>
      </c>
    </row>
    <row r="13">
      <c r="A13" s="4" t="inlineStr">
        <is>
          <t>EP-002</t>
        </is>
      </c>
      <c r="B13" s="4" t="inlineStr">
        <is>
          <t>US-002-005</t>
        </is>
      </c>
      <c r="C13" s="4" t="n">
        <v>4</v>
      </c>
      <c r="D13" s="4">
        <f>COUNTIF('Acceptance Criteria'!B:B,B13)</f>
        <v/>
      </c>
      <c r="E13" s="4">
        <f>VLOOKUP(B13,'User Stories'!A:L,12,FALSE)</f>
        <v/>
      </c>
      <c r="F13" s="4">
        <f>COUNTIFS('Acceptance Criteria'!B:B,B13,'Acceptance Criteria'!F:F,"&lt;&gt;Not Tested")</f>
        <v/>
      </c>
      <c r="G13" s="4">
        <f>COUNTIFS('Acceptance Criteria'!B:B,B13,'Acceptance Criteria'!F:F,"Pass")</f>
        <v/>
      </c>
      <c r="H13" s="4">
        <f>COUNTIFS('Acceptance Criteria'!B:B,B13,'Acceptance Criteria'!F:F,"Fail")</f>
        <v/>
      </c>
      <c r="I13" s="4">
        <f>IF(C13=D13,"Linked","Mismatch")</f>
        <v/>
      </c>
      <c r="J13" s="5">
        <f>IF(C13=0,0,G13/C13)</f>
        <v/>
      </c>
    </row>
    <row r="14">
      <c r="A14" s="4" t="inlineStr">
        <is>
          <t>EP-002</t>
        </is>
      </c>
      <c r="B14" s="4" t="inlineStr">
        <is>
          <t>US-002-006</t>
        </is>
      </c>
      <c r="C14" s="4" t="n">
        <v>4</v>
      </c>
      <c r="D14" s="4">
        <f>COUNTIF('Acceptance Criteria'!B:B,B14)</f>
        <v/>
      </c>
      <c r="E14" s="4">
        <f>VLOOKUP(B14,'User Stories'!A:L,12,FALSE)</f>
        <v/>
      </c>
      <c r="F14" s="4">
        <f>COUNTIFS('Acceptance Criteria'!B:B,B14,'Acceptance Criteria'!F:F,"&lt;&gt;Not Tested")</f>
        <v/>
      </c>
      <c r="G14" s="4">
        <f>COUNTIFS('Acceptance Criteria'!B:B,B14,'Acceptance Criteria'!F:F,"Pass")</f>
        <v/>
      </c>
      <c r="H14" s="4">
        <f>COUNTIFS('Acceptance Criteria'!B:B,B14,'Acceptance Criteria'!F:F,"Fail")</f>
        <v/>
      </c>
      <c r="I14" s="4">
        <f>IF(C14=D14,"Linked","Mismatch")</f>
        <v/>
      </c>
      <c r="J14" s="5">
        <f>IF(C14=0,0,G14/C14)</f>
        <v/>
      </c>
    </row>
    <row r="15">
      <c r="A15" s="4" t="inlineStr">
        <is>
          <t>EP-003</t>
        </is>
      </c>
      <c r="B15" s="4" t="inlineStr">
        <is>
          <t>US-003-001</t>
        </is>
      </c>
      <c r="C15" s="4" t="n">
        <v>4</v>
      </c>
      <c r="D15" s="4">
        <f>COUNTIF('Acceptance Criteria'!B:B,B15)</f>
        <v/>
      </c>
      <c r="E15" s="4">
        <f>VLOOKUP(B15,'User Stories'!A:L,12,FALSE)</f>
        <v/>
      </c>
      <c r="F15" s="4">
        <f>COUNTIFS('Acceptance Criteria'!B:B,B15,'Acceptance Criteria'!F:F,"&lt;&gt;Not Tested")</f>
        <v/>
      </c>
      <c r="G15" s="4">
        <f>COUNTIFS('Acceptance Criteria'!B:B,B15,'Acceptance Criteria'!F:F,"Pass")</f>
        <v/>
      </c>
      <c r="H15" s="4">
        <f>COUNTIFS('Acceptance Criteria'!B:B,B15,'Acceptance Criteria'!F:F,"Fail")</f>
        <v/>
      </c>
      <c r="I15" s="4">
        <f>IF(C15=D15,"Linked","Mismatch")</f>
        <v/>
      </c>
      <c r="J15" s="5">
        <f>IF(C15=0,0,G15/C15)</f>
        <v/>
      </c>
    </row>
    <row r="16">
      <c r="A16" s="4" t="inlineStr">
        <is>
          <t>EP-003</t>
        </is>
      </c>
      <c r="B16" s="4" t="inlineStr">
        <is>
          <t>US-003-002</t>
        </is>
      </c>
      <c r="C16" s="4" t="n">
        <v>4</v>
      </c>
      <c r="D16" s="4">
        <f>COUNTIF('Acceptance Criteria'!B:B,B16)</f>
        <v/>
      </c>
      <c r="E16" s="4">
        <f>VLOOKUP(B16,'User Stories'!A:L,12,FALSE)</f>
        <v/>
      </c>
      <c r="F16" s="4">
        <f>COUNTIFS('Acceptance Criteria'!B:B,B16,'Acceptance Criteria'!F:F,"&lt;&gt;Not Tested")</f>
        <v/>
      </c>
      <c r="G16" s="4">
        <f>COUNTIFS('Acceptance Criteria'!B:B,B16,'Acceptance Criteria'!F:F,"Pass")</f>
        <v/>
      </c>
      <c r="H16" s="4">
        <f>COUNTIFS('Acceptance Criteria'!B:B,B16,'Acceptance Criteria'!F:F,"Fail")</f>
        <v/>
      </c>
      <c r="I16" s="4">
        <f>IF(C16=D16,"Linked","Mismatch")</f>
        <v/>
      </c>
      <c r="J16" s="5">
        <f>IF(C16=0,0,G16/C16)</f>
        <v/>
      </c>
    </row>
    <row r="17">
      <c r="A17" s="4" t="inlineStr">
        <is>
          <t>EP-003</t>
        </is>
      </c>
      <c r="B17" s="4" t="inlineStr">
        <is>
          <t>US-003-003</t>
        </is>
      </c>
      <c r="C17" s="4" t="n">
        <v>4</v>
      </c>
      <c r="D17" s="4">
        <f>COUNTIF('Acceptance Criteria'!B:B,B17)</f>
        <v/>
      </c>
      <c r="E17" s="4">
        <f>VLOOKUP(B17,'User Stories'!A:L,12,FALSE)</f>
        <v/>
      </c>
      <c r="F17" s="4">
        <f>COUNTIFS('Acceptance Criteria'!B:B,B17,'Acceptance Criteria'!F:F,"&lt;&gt;Not Tested")</f>
        <v/>
      </c>
      <c r="G17" s="4">
        <f>COUNTIFS('Acceptance Criteria'!B:B,B17,'Acceptance Criteria'!F:F,"Pass")</f>
        <v/>
      </c>
      <c r="H17" s="4">
        <f>COUNTIFS('Acceptance Criteria'!B:B,B17,'Acceptance Criteria'!F:F,"Fail")</f>
        <v/>
      </c>
      <c r="I17" s="4">
        <f>IF(C17=D17,"Linked","Mismatch")</f>
        <v/>
      </c>
      <c r="J17" s="5">
        <f>IF(C17=0,0,G17/C17)</f>
        <v/>
      </c>
    </row>
    <row r="18">
      <c r="A18" s="4" t="inlineStr">
        <is>
          <t>EP-003</t>
        </is>
      </c>
      <c r="B18" s="4" t="inlineStr">
        <is>
          <t>US-003-004</t>
        </is>
      </c>
      <c r="C18" s="4" t="n">
        <v>4</v>
      </c>
      <c r="D18" s="4">
        <f>COUNTIF('Acceptance Criteria'!B:B,B18)</f>
        <v/>
      </c>
      <c r="E18" s="4">
        <f>VLOOKUP(B18,'User Stories'!A:L,12,FALSE)</f>
        <v/>
      </c>
      <c r="F18" s="4">
        <f>COUNTIFS('Acceptance Criteria'!B:B,B18,'Acceptance Criteria'!F:F,"&lt;&gt;Not Tested")</f>
        <v/>
      </c>
      <c r="G18" s="4">
        <f>COUNTIFS('Acceptance Criteria'!B:B,B18,'Acceptance Criteria'!F:F,"Pass")</f>
        <v/>
      </c>
      <c r="H18" s="4">
        <f>COUNTIFS('Acceptance Criteria'!B:B,B18,'Acceptance Criteria'!F:F,"Fail")</f>
        <v/>
      </c>
      <c r="I18" s="4">
        <f>IF(C18=D18,"Linked","Mismatch")</f>
        <v/>
      </c>
      <c r="J18" s="5">
        <f>IF(C18=0,0,G18/C18)</f>
        <v/>
      </c>
    </row>
    <row r="19">
      <c r="A19" s="4" t="inlineStr">
        <is>
          <t>EP-003</t>
        </is>
      </c>
      <c r="B19" s="4" t="inlineStr">
        <is>
          <t>US-003-005</t>
        </is>
      </c>
      <c r="C19" s="4" t="n">
        <v>4</v>
      </c>
      <c r="D19" s="4">
        <f>COUNTIF('Acceptance Criteria'!B:B,B19)</f>
        <v/>
      </c>
      <c r="E19" s="4">
        <f>VLOOKUP(B19,'User Stories'!A:L,12,FALSE)</f>
        <v/>
      </c>
      <c r="F19" s="4">
        <f>COUNTIFS('Acceptance Criteria'!B:B,B19,'Acceptance Criteria'!F:F,"&lt;&gt;Not Tested")</f>
        <v/>
      </c>
      <c r="G19" s="4">
        <f>COUNTIFS('Acceptance Criteria'!B:B,B19,'Acceptance Criteria'!F:F,"Pass")</f>
        <v/>
      </c>
      <c r="H19" s="4">
        <f>COUNTIFS('Acceptance Criteria'!B:B,B19,'Acceptance Criteria'!F:F,"Fail")</f>
        <v/>
      </c>
      <c r="I19" s="4">
        <f>IF(C19=D19,"Linked","Mismatch")</f>
        <v/>
      </c>
      <c r="J19" s="5">
        <f>IF(C19=0,0,G19/C19)</f>
        <v/>
      </c>
    </row>
    <row r="20">
      <c r="A20" s="4" t="inlineStr">
        <is>
          <t>EP-003</t>
        </is>
      </c>
      <c r="B20" s="4" t="inlineStr">
        <is>
          <t>US-003-006</t>
        </is>
      </c>
      <c r="C20" s="4" t="n">
        <v>4</v>
      </c>
      <c r="D20" s="4">
        <f>COUNTIF('Acceptance Criteria'!B:B,B20)</f>
        <v/>
      </c>
      <c r="E20" s="4">
        <f>VLOOKUP(B20,'User Stories'!A:L,12,FALSE)</f>
        <v/>
      </c>
      <c r="F20" s="4">
        <f>COUNTIFS('Acceptance Criteria'!B:B,B20,'Acceptance Criteria'!F:F,"&lt;&gt;Not Tested")</f>
        <v/>
      </c>
      <c r="G20" s="4">
        <f>COUNTIFS('Acceptance Criteria'!B:B,B20,'Acceptance Criteria'!F:F,"Pass")</f>
        <v/>
      </c>
      <c r="H20" s="4">
        <f>COUNTIFS('Acceptance Criteria'!B:B,B20,'Acceptance Criteria'!F:F,"Fail")</f>
        <v/>
      </c>
      <c r="I20" s="4">
        <f>IF(C20=D20,"Linked","Mismatch")</f>
        <v/>
      </c>
      <c r="J20" s="5">
        <f>IF(C20=0,0,G20/C20)</f>
        <v/>
      </c>
    </row>
    <row r="21">
      <c r="A21" s="4" t="inlineStr">
        <is>
          <t>EP-003</t>
        </is>
      </c>
      <c r="B21" s="4" t="inlineStr">
        <is>
          <t>US-003-007</t>
        </is>
      </c>
      <c r="C21" s="4" t="n">
        <v>4</v>
      </c>
      <c r="D21" s="4">
        <f>COUNTIF('Acceptance Criteria'!B:B,B21)</f>
        <v/>
      </c>
      <c r="E21" s="4">
        <f>VLOOKUP(B21,'User Stories'!A:L,12,FALSE)</f>
        <v/>
      </c>
      <c r="F21" s="4">
        <f>COUNTIFS('Acceptance Criteria'!B:B,B21,'Acceptance Criteria'!F:F,"&lt;&gt;Not Tested")</f>
        <v/>
      </c>
      <c r="G21" s="4">
        <f>COUNTIFS('Acceptance Criteria'!B:B,B21,'Acceptance Criteria'!F:F,"Pass")</f>
        <v/>
      </c>
      <c r="H21" s="4">
        <f>COUNTIFS('Acceptance Criteria'!B:B,B21,'Acceptance Criteria'!F:F,"Fail")</f>
        <v/>
      </c>
      <c r="I21" s="4">
        <f>IF(C21=D21,"Linked","Mismatch")</f>
        <v/>
      </c>
      <c r="J21" s="5">
        <f>IF(C21=0,0,G21/C21)</f>
        <v/>
      </c>
    </row>
    <row r="22">
      <c r="A22" s="4" t="inlineStr">
        <is>
          <t>EP-003</t>
        </is>
      </c>
      <c r="B22" s="4" t="inlineStr">
        <is>
          <t>US-003-008</t>
        </is>
      </c>
      <c r="C22" s="4" t="n">
        <v>4</v>
      </c>
      <c r="D22" s="4">
        <f>COUNTIF('Acceptance Criteria'!B:B,B22)</f>
        <v/>
      </c>
      <c r="E22" s="4">
        <f>VLOOKUP(B22,'User Stories'!A:L,12,FALSE)</f>
        <v/>
      </c>
      <c r="F22" s="4">
        <f>COUNTIFS('Acceptance Criteria'!B:B,B22,'Acceptance Criteria'!F:F,"&lt;&gt;Not Tested")</f>
        <v/>
      </c>
      <c r="G22" s="4">
        <f>COUNTIFS('Acceptance Criteria'!B:B,B22,'Acceptance Criteria'!F:F,"Pass")</f>
        <v/>
      </c>
      <c r="H22" s="4">
        <f>COUNTIFS('Acceptance Criteria'!B:B,B22,'Acceptance Criteria'!F:F,"Fail")</f>
        <v/>
      </c>
      <c r="I22" s="4">
        <f>IF(C22=D22,"Linked","Mismatch")</f>
        <v/>
      </c>
      <c r="J22" s="5">
        <f>IF(C22=0,0,G22/C22)</f>
        <v/>
      </c>
    </row>
    <row r="23">
      <c r="A23" s="4" t="inlineStr">
        <is>
          <t>EP-004</t>
        </is>
      </c>
      <c r="B23" s="4" t="inlineStr">
        <is>
          <t>US-004-001</t>
        </is>
      </c>
      <c r="C23" s="4" t="n">
        <v>4</v>
      </c>
      <c r="D23" s="4">
        <f>COUNTIF('Acceptance Criteria'!B:B,B23)</f>
        <v/>
      </c>
      <c r="E23" s="4">
        <f>VLOOKUP(B23,'User Stories'!A:L,12,FALSE)</f>
        <v/>
      </c>
      <c r="F23" s="4">
        <f>COUNTIFS('Acceptance Criteria'!B:B,B23,'Acceptance Criteria'!F:F,"&lt;&gt;Not Tested")</f>
        <v/>
      </c>
      <c r="G23" s="4">
        <f>COUNTIFS('Acceptance Criteria'!B:B,B23,'Acceptance Criteria'!F:F,"Pass")</f>
        <v/>
      </c>
      <c r="H23" s="4">
        <f>COUNTIFS('Acceptance Criteria'!B:B,B23,'Acceptance Criteria'!F:F,"Fail")</f>
        <v/>
      </c>
      <c r="I23" s="4">
        <f>IF(C23=D23,"Linked","Mismatch")</f>
        <v/>
      </c>
      <c r="J23" s="5">
        <f>IF(C23=0,0,G23/C23)</f>
        <v/>
      </c>
    </row>
    <row r="24">
      <c r="A24" s="4" t="inlineStr">
        <is>
          <t>EP-004</t>
        </is>
      </c>
      <c r="B24" s="4" t="inlineStr">
        <is>
          <t>US-004-002</t>
        </is>
      </c>
      <c r="C24" s="4" t="n">
        <v>4</v>
      </c>
      <c r="D24" s="4">
        <f>COUNTIF('Acceptance Criteria'!B:B,B24)</f>
        <v/>
      </c>
      <c r="E24" s="4">
        <f>VLOOKUP(B24,'User Stories'!A:L,12,FALSE)</f>
        <v/>
      </c>
      <c r="F24" s="4">
        <f>COUNTIFS('Acceptance Criteria'!B:B,B24,'Acceptance Criteria'!F:F,"&lt;&gt;Not Tested")</f>
        <v/>
      </c>
      <c r="G24" s="4">
        <f>COUNTIFS('Acceptance Criteria'!B:B,B24,'Acceptance Criteria'!F:F,"Pass")</f>
        <v/>
      </c>
      <c r="H24" s="4">
        <f>COUNTIFS('Acceptance Criteria'!B:B,B24,'Acceptance Criteria'!F:F,"Fail")</f>
        <v/>
      </c>
      <c r="I24" s="4">
        <f>IF(C24=D24,"Linked","Mismatch")</f>
        <v/>
      </c>
      <c r="J24" s="5">
        <f>IF(C24=0,0,G24/C24)</f>
        <v/>
      </c>
    </row>
    <row r="25">
      <c r="A25" s="4" t="inlineStr">
        <is>
          <t>EP-004</t>
        </is>
      </c>
      <c r="B25" s="4" t="inlineStr">
        <is>
          <t>US-004-003</t>
        </is>
      </c>
      <c r="C25" s="4" t="n">
        <v>4</v>
      </c>
      <c r="D25" s="4">
        <f>COUNTIF('Acceptance Criteria'!B:B,B25)</f>
        <v/>
      </c>
      <c r="E25" s="4">
        <f>VLOOKUP(B25,'User Stories'!A:L,12,FALSE)</f>
        <v/>
      </c>
      <c r="F25" s="4">
        <f>COUNTIFS('Acceptance Criteria'!B:B,B25,'Acceptance Criteria'!F:F,"&lt;&gt;Not Tested")</f>
        <v/>
      </c>
      <c r="G25" s="4">
        <f>COUNTIFS('Acceptance Criteria'!B:B,B25,'Acceptance Criteria'!F:F,"Pass")</f>
        <v/>
      </c>
      <c r="H25" s="4">
        <f>COUNTIFS('Acceptance Criteria'!B:B,B25,'Acceptance Criteria'!F:F,"Fail")</f>
        <v/>
      </c>
      <c r="I25" s="4">
        <f>IF(C25=D25,"Linked","Mismatch")</f>
        <v/>
      </c>
      <c r="J25" s="5">
        <f>IF(C25=0,0,G25/C25)</f>
        <v/>
      </c>
    </row>
    <row r="26">
      <c r="A26" s="4" t="inlineStr">
        <is>
          <t>EP-004</t>
        </is>
      </c>
      <c r="B26" s="4" t="inlineStr">
        <is>
          <t>US-004-004</t>
        </is>
      </c>
      <c r="C26" s="4" t="n">
        <v>4</v>
      </c>
      <c r="D26" s="4">
        <f>COUNTIF('Acceptance Criteria'!B:B,B26)</f>
        <v/>
      </c>
      <c r="E26" s="4">
        <f>VLOOKUP(B26,'User Stories'!A:L,12,FALSE)</f>
        <v/>
      </c>
      <c r="F26" s="4">
        <f>COUNTIFS('Acceptance Criteria'!B:B,B26,'Acceptance Criteria'!F:F,"&lt;&gt;Not Tested")</f>
        <v/>
      </c>
      <c r="G26" s="4">
        <f>COUNTIFS('Acceptance Criteria'!B:B,B26,'Acceptance Criteria'!F:F,"Pass")</f>
        <v/>
      </c>
      <c r="H26" s="4">
        <f>COUNTIFS('Acceptance Criteria'!B:B,B26,'Acceptance Criteria'!F:F,"Fail")</f>
        <v/>
      </c>
      <c r="I26" s="4">
        <f>IF(C26=D26,"Linked","Mismatch")</f>
        <v/>
      </c>
      <c r="J26" s="5">
        <f>IF(C26=0,0,G26/C26)</f>
        <v/>
      </c>
    </row>
    <row r="27">
      <c r="A27" s="4" t="inlineStr">
        <is>
          <t>EP-004</t>
        </is>
      </c>
      <c r="B27" s="4" t="inlineStr">
        <is>
          <t>US-004-005</t>
        </is>
      </c>
      <c r="C27" s="4" t="n">
        <v>4</v>
      </c>
      <c r="D27" s="4">
        <f>COUNTIF('Acceptance Criteria'!B:B,B27)</f>
        <v/>
      </c>
      <c r="E27" s="4">
        <f>VLOOKUP(B27,'User Stories'!A:L,12,FALSE)</f>
        <v/>
      </c>
      <c r="F27" s="4">
        <f>COUNTIFS('Acceptance Criteria'!B:B,B27,'Acceptance Criteria'!F:F,"&lt;&gt;Not Tested")</f>
        <v/>
      </c>
      <c r="G27" s="4">
        <f>COUNTIFS('Acceptance Criteria'!B:B,B27,'Acceptance Criteria'!F:F,"Pass")</f>
        <v/>
      </c>
      <c r="H27" s="4">
        <f>COUNTIFS('Acceptance Criteria'!B:B,B27,'Acceptance Criteria'!F:F,"Fail")</f>
        <v/>
      </c>
      <c r="I27" s="4">
        <f>IF(C27=D27,"Linked","Mismatch")</f>
        <v/>
      </c>
      <c r="J27" s="5">
        <f>IF(C27=0,0,G27/C27)</f>
        <v/>
      </c>
    </row>
    <row r="28">
      <c r="A28" s="4" t="inlineStr">
        <is>
          <t>EP-004</t>
        </is>
      </c>
      <c r="B28" s="4" t="inlineStr">
        <is>
          <t>US-004-006</t>
        </is>
      </c>
      <c r="C28" s="4" t="n">
        <v>4</v>
      </c>
      <c r="D28" s="4">
        <f>COUNTIF('Acceptance Criteria'!B:B,B28)</f>
        <v/>
      </c>
      <c r="E28" s="4">
        <f>VLOOKUP(B28,'User Stories'!A:L,12,FALSE)</f>
        <v/>
      </c>
      <c r="F28" s="4">
        <f>COUNTIFS('Acceptance Criteria'!B:B,B28,'Acceptance Criteria'!F:F,"&lt;&gt;Not Tested")</f>
        <v/>
      </c>
      <c r="G28" s="4">
        <f>COUNTIFS('Acceptance Criteria'!B:B,B28,'Acceptance Criteria'!F:F,"Pass")</f>
        <v/>
      </c>
      <c r="H28" s="4">
        <f>COUNTIFS('Acceptance Criteria'!B:B,B28,'Acceptance Criteria'!F:F,"Fail")</f>
        <v/>
      </c>
      <c r="I28" s="4">
        <f>IF(C28=D28,"Linked","Mismatch")</f>
        <v/>
      </c>
      <c r="J28" s="5">
        <f>IF(C28=0,0,G28/C28)</f>
        <v/>
      </c>
    </row>
    <row r="29">
      <c r="A29" s="4" t="inlineStr">
        <is>
          <t>EP-005</t>
        </is>
      </c>
      <c r="B29" s="4" t="inlineStr">
        <is>
          <t>US-005-001</t>
        </is>
      </c>
      <c r="C29" s="4" t="n">
        <v>4</v>
      </c>
      <c r="D29" s="4">
        <f>COUNTIF('Acceptance Criteria'!B:B,B29)</f>
        <v/>
      </c>
      <c r="E29" s="4">
        <f>VLOOKUP(B29,'User Stories'!A:L,12,FALSE)</f>
        <v/>
      </c>
      <c r="F29" s="4">
        <f>COUNTIFS('Acceptance Criteria'!B:B,B29,'Acceptance Criteria'!F:F,"&lt;&gt;Not Tested")</f>
        <v/>
      </c>
      <c r="G29" s="4">
        <f>COUNTIFS('Acceptance Criteria'!B:B,B29,'Acceptance Criteria'!F:F,"Pass")</f>
        <v/>
      </c>
      <c r="H29" s="4">
        <f>COUNTIFS('Acceptance Criteria'!B:B,B29,'Acceptance Criteria'!F:F,"Fail")</f>
        <v/>
      </c>
      <c r="I29" s="4">
        <f>IF(C29=D29,"Linked","Mismatch")</f>
        <v/>
      </c>
      <c r="J29" s="5">
        <f>IF(C29=0,0,G29/C29)</f>
        <v/>
      </c>
    </row>
    <row r="30">
      <c r="A30" s="4" t="inlineStr">
        <is>
          <t>EP-005</t>
        </is>
      </c>
      <c r="B30" s="4" t="inlineStr">
        <is>
          <t>US-005-002</t>
        </is>
      </c>
      <c r="C30" s="4" t="n">
        <v>4</v>
      </c>
      <c r="D30" s="4">
        <f>COUNTIF('Acceptance Criteria'!B:B,B30)</f>
        <v/>
      </c>
      <c r="E30" s="4">
        <f>VLOOKUP(B30,'User Stories'!A:L,12,FALSE)</f>
        <v/>
      </c>
      <c r="F30" s="4">
        <f>COUNTIFS('Acceptance Criteria'!B:B,B30,'Acceptance Criteria'!F:F,"&lt;&gt;Not Tested")</f>
        <v/>
      </c>
      <c r="G30" s="4">
        <f>COUNTIFS('Acceptance Criteria'!B:B,B30,'Acceptance Criteria'!F:F,"Pass")</f>
        <v/>
      </c>
      <c r="H30" s="4">
        <f>COUNTIFS('Acceptance Criteria'!B:B,B30,'Acceptance Criteria'!F:F,"Fail")</f>
        <v/>
      </c>
      <c r="I30" s="4">
        <f>IF(C30=D30,"Linked","Mismatch")</f>
        <v/>
      </c>
      <c r="J30" s="5">
        <f>IF(C30=0,0,G30/C30)</f>
        <v/>
      </c>
    </row>
    <row r="31">
      <c r="A31" s="4" t="inlineStr">
        <is>
          <t>EP-005</t>
        </is>
      </c>
      <c r="B31" s="4" t="inlineStr">
        <is>
          <t>US-005-003</t>
        </is>
      </c>
      <c r="C31" s="4" t="n">
        <v>4</v>
      </c>
      <c r="D31" s="4">
        <f>COUNTIF('Acceptance Criteria'!B:B,B31)</f>
        <v/>
      </c>
      <c r="E31" s="4">
        <f>VLOOKUP(B31,'User Stories'!A:L,12,FALSE)</f>
        <v/>
      </c>
      <c r="F31" s="4">
        <f>COUNTIFS('Acceptance Criteria'!B:B,B31,'Acceptance Criteria'!F:F,"&lt;&gt;Not Tested")</f>
        <v/>
      </c>
      <c r="G31" s="4">
        <f>COUNTIFS('Acceptance Criteria'!B:B,B31,'Acceptance Criteria'!F:F,"Pass")</f>
        <v/>
      </c>
      <c r="H31" s="4">
        <f>COUNTIFS('Acceptance Criteria'!B:B,B31,'Acceptance Criteria'!F:F,"Fail")</f>
        <v/>
      </c>
      <c r="I31" s="4">
        <f>IF(C31=D31,"Linked","Mismatch")</f>
        <v/>
      </c>
      <c r="J31" s="5">
        <f>IF(C31=0,0,G31/C31)</f>
        <v/>
      </c>
    </row>
    <row r="32">
      <c r="A32" s="4" t="inlineStr">
        <is>
          <t>EP-005</t>
        </is>
      </c>
      <c r="B32" s="4" t="inlineStr">
        <is>
          <t>US-005-004</t>
        </is>
      </c>
      <c r="C32" s="4" t="n">
        <v>4</v>
      </c>
      <c r="D32" s="4">
        <f>COUNTIF('Acceptance Criteria'!B:B,B32)</f>
        <v/>
      </c>
      <c r="E32" s="4">
        <f>VLOOKUP(B32,'User Stories'!A:L,12,FALSE)</f>
        <v/>
      </c>
      <c r="F32" s="4">
        <f>COUNTIFS('Acceptance Criteria'!B:B,B32,'Acceptance Criteria'!F:F,"&lt;&gt;Not Tested")</f>
        <v/>
      </c>
      <c r="G32" s="4">
        <f>COUNTIFS('Acceptance Criteria'!B:B,B32,'Acceptance Criteria'!F:F,"Pass")</f>
        <v/>
      </c>
      <c r="H32" s="4">
        <f>COUNTIFS('Acceptance Criteria'!B:B,B32,'Acceptance Criteria'!F:F,"Fail")</f>
        <v/>
      </c>
      <c r="I32" s="4">
        <f>IF(C32=D32,"Linked","Mismatch")</f>
        <v/>
      </c>
      <c r="J32" s="5">
        <f>IF(C32=0,0,G32/C32)</f>
        <v/>
      </c>
    </row>
    <row r="33">
      <c r="A33" s="4" t="inlineStr">
        <is>
          <t>EP-005</t>
        </is>
      </c>
      <c r="B33" s="4" t="inlineStr">
        <is>
          <t>US-005-005</t>
        </is>
      </c>
      <c r="C33" s="4" t="n">
        <v>4</v>
      </c>
      <c r="D33" s="4">
        <f>COUNTIF('Acceptance Criteria'!B:B,B33)</f>
        <v/>
      </c>
      <c r="E33" s="4">
        <f>VLOOKUP(B33,'User Stories'!A:L,12,FALSE)</f>
        <v/>
      </c>
      <c r="F33" s="4">
        <f>COUNTIFS('Acceptance Criteria'!B:B,B33,'Acceptance Criteria'!F:F,"&lt;&gt;Not Tested")</f>
        <v/>
      </c>
      <c r="G33" s="4">
        <f>COUNTIFS('Acceptance Criteria'!B:B,B33,'Acceptance Criteria'!F:F,"Pass")</f>
        <v/>
      </c>
      <c r="H33" s="4">
        <f>COUNTIFS('Acceptance Criteria'!B:B,B33,'Acceptance Criteria'!F:F,"Fail")</f>
        <v/>
      </c>
      <c r="I33" s="4">
        <f>IF(C33=D33,"Linked","Mismatch")</f>
        <v/>
      </c>
      <c r="J33" s="5">
        <f>IF(C33=0,0,G33/C33)</f>
        <v/>
      </c>
    </row>
    <row r="34">
      <c r="A34" s="4" t="inlineStr">
        <is>
          <t>EP-005</t>
        </is>
      </c>
      <c r="B34" s="4" t="inlineStr">
        <is>
          <t>US-005-006</t>
        </is>
      </c>
      <c r="C34" s="4" t="n">
        <v>4</v>
      </c>
      <c r="D34" s="4">
        <f>COUNTIF('Acceptance Criteria'!B:B,B34)</f>
        <v/>
      </c>
      <c r="E34" s="4">
        <f>VLOOKUP(B34,'User Stories'!A:L,12,FALSE)</f>
        <v/>
      </c>
      <c r="F34" s="4">
        <f>COUNTIFS('Acceptance Criteria'!B:B,B34,'Acceptance Criteria'!F:F,"&lt;&gt;Not Tested")</f>
        <v/>
      </c>
      <c r="G34" s="4">
        <f>COUNTIFS('Acceptance Criteria'!B:B,B34,'Acceptance Criteria'!F:F,"Pass")</f>
        <v/>
      </c>
      <c r="H34" s="4">
        <f>COUNTIFS('Acceptance Criteria'!B:B,B34,'Acceptance Criteria'!F:F,"Fail")</f>
        <v/>
      </c>
      <c r="I34" s="4">
        <f>IF(C34=D34,"Linked","Mismatch")</f>
        <v/>
      </c>
      <c r="J34" s="5">
        <f>IF(C34=0,0,G34/C34)</f>
        <v/>
      </c>
    </row>
    <row r="35">
      <c r="A35" s="4" t="inlineStr">
        <is>
          <t>EP-005</t>
        </is>
      </c>
      <c r="B35" s="4" t="inlineStr">
        <is>
          <t>US-005-007</t>
        </is>
      </c>
      <c r="C35" s="4" t="n">
        <v>4</v>
      </c>
      <c r="D35" s="4">
        <f>COUNTIF('Acceptance Criteria'!B:B,B35)</f>
        <v/>
      </c>
      <c r="E35" s="4">
        <f>VLOOKUP(B35,'User Stories'!A:L,12,FALSE)</f>
        <v/>
      </c>
      <c r="F35" s="4">
        <f>COUNTIFS('Acceptance Criteria'!B:B,B35,'Acceptance Criteria'!F:F,"&lt;&gt;Not Tested")</f>
        <v/>
      </c>
      <c r="G35" s="4">
        <f>COUNTIFS('Acceptance Criteria'!B:B,B35,'Acceptance Criteria'!F:F,"Pass")</f>
        <v/>
      </c>
      <c r="H35" s="4">
        <f>COUNTIFS('Acceptance Criteria'!B:B,B35,'Acceptance Criteria'!F:F,"Fail")</f>
        <v/>
      </c>
      <c r="I35" s="4">
        <f>IF(C35=D35,"Linked","Mismatch")</f>
        <v/>
      </c>
      <c r="J35" s="5">
        <f>IF(C35=0,0,G35/C35)</f>
        <v/>
      </c>
    </row>
    <row r="36">
      <c r="A36" s="4" t="inlineStr">
        <is>
          <t>EP-005</t>
        </is>
      </c>
      <c r="B36" s="4" t="inlineStr">
        <is>
          <t>US-005-008</t>
        </is>
      </c>
      <c r="C36" s="4" t="n">
        <v>4</v>
      </c>
      <c r="D36" s="4">
        <f>COUNTIF('Acceptance Criteria'!B:B,B36)</f>
        <v/>
      </c>
      <c r="E36" s="4">
        <f>VLOOKUP(B36,'User Stories'!A:L,12,FALSE)</f>
        <v/>
      </c>
      <c r="F36" s="4">
        <f>COUNTIFS('Acceptance Criteria'!B:B,B36,'Acceptance Criteria'!F:F,"&lt;&gt;Not Tested")</f>
        <v/>
      </c>
      <c r="G36" s="4">
        <f>COUNTIFS('Acceptance Criteria'!B:B,B36,'Acceptance Criteria'!F:F,"Pass")</f>
        <v/>
      </c>
      <c r="H36" s="4">
        <f>COUNTIFS('Acceptance Criteria'!B:B,B36,'Acceptance Criteria'!F:F,"Fail")</f>
        <v/>
      </c>
      <c r="I36" s="4">
        <f>IF(C36=D36,"Linked","Mismatch")</f>
        <v/>
      </c>
      <c r="J36" s="5">
        <f>IF(C36=0,0,G36/C36)</f>
        <v/>
      </c>
    </row>
    <row r="37">
      <c r="A37" s="4" t="inlineStr">
        <is>
          <t>EP-006</t>
        </is>
      </c>
      <c r="B37" s="4" t="inlineStr">
        <is>
          <t>US-006-001</t>
        </is>
      </c>
      <c r="C37" s="4" t="n">
        <v>4</v>
      </c>
      <c r="D37" s="4">
        <f>COUNTIF('Acceptance Criteria'!B:B,B37)</f>
        <v/>
      </c>
      <c r="E37" s="4">
        <f>VLOOKUP(B37,'User Stories'!A:L,12,FALSE)</f>
        <v/>
      </c>
      <c r="F37" s="4">
        <f>COUNTIFS('Acceptance Criteria'!B:B,B37,'Acceptance Criteria'!F:F,"&lt;&gt;Not Tested")</f>
        <v/>
      </c>
      <c r="G37" s="4">
        <f>COUNTIFS('Acceptance Criteria'!B:B,B37,'Acceptance Criteria'!F:F,"Pass")</f>
        <v/>
      </c>
      <c r="H37" s="4">
        <f>COUNTIFS('Acceptance Criteria'!B:B,B37,'Acceptance Criteria'!F:F,"Fail")</f>
        <v/>
      </c>
      <c r="I37" s="4">
        <f>IF(C37=D37,"Linked","Mismatch")</f>
        <v/>
      </c>
      <c r="J37" s="5">
        <f>IF(C37=0,0,G37/C37)</f>
        <v/>
      </c>
    </row>
    <row r="38">
      <c r="A38" s="4" t="inlineStr">
        <is>
          <t>EP-006</t>
        </is>
      </c>
      <c r="B38" s="4" t="inlineStr">
        <is>
          <t>US-006-002</t>
        </is>
      </c>
      <c r="C38" s="4" t="n">
        <v>4</v>
      </c>
      <c r="D38" s="4">
        <f>COUNTIF('Acceptance Criteria'!B:B,B38)</f>
        <v/>
      </c>
      <c r="E38" s="4">
        <f>VLOOKUP(B38,'User Stories'!A:L,12,FALSE)</f>
        <v/>
      </c>
      <c r="F38" s="4">
        <f>COUNTIFS('Acceptance Criteria'!B:B,B38,'Acceptance Criteria'!F:F,"&lt;&gt;Not Tested")</f>
        <v/>
      </c>
      <c r="G38" s="4">
        <f>COUNTIFS('Acceptance Criteria'!B:B,B38,'Acceptance Criteria'!F:F,"Pass")</f>
        <v/>
      </c>
      <c r="H38" s="4">
        <f>COUNTIFS('Acceptance Criteria'!B:B,B38,'Acceptance Criteria'!F:F,"Fail")</f>
        <v/>
      </c>
      <c r="I38" s="4">
        <f>IF(C38=D38,"Linked","Mismatch")</f>
        <v/>
      </c>
      <c r="J38" s="5">
        <f>IF(C38=0,0,G38/C38)</f>
        <v/>
      </c>
    </row>
    <row r="39">
      <c r="A39" s="4" t="inlineStr">
        <is>
          <t>EP-006</t>
        </is>
      </c>
      <c r="B39" s="4" t="inlineStr">
        <is>
          <t>US-006-003</t>
        </is>
      </c>
      <c r="C39" s="4" t="n">
        <v>4</v>
      </c>
      <c r="D39" s="4">
        <f>COUNTIF('Acceptance Criteria'!B:B,B39)</f>
        <v/>
      </c>
      <c r="E39" s="4">
        <f>VLOOKUP(B39,'User Stories'!A:L,12,FALSE)</f>
        <v/>
      </c>
      <c r="F39" s="4">
        <f>COUNTIFS('Acceptance Criteria'!B:B,B39,'Acceptance Criteria'!F:F,"&lt;&gt;Not Tested")</f>
        <v/>
      </c>
      <c r="G39" s="4">
        <f>COUNTIFS('Acceptance Criteria'!B:B,B39,'Acceptance Criteria'!F:F,"Pass")</f>
        <v/>
      </c>
      <c r="H39" s="4">
        <f>COUNTIFS('Acceptance Criteria'!B:B,B39,'Acceptance Criteria'!F:F,"Fail")</f>
        <v/>
      </c>
      <c r="I39" s="4">
        <f>IF(C39=D39,"Linked","Mismatch")</f>
        <v/>
      </c>
      <c r="J39" s="5">
        <f>IF(C39=0,0,G39/C39)</f>
        <v/>
      </c>
    </row>
    <row r="40">
      <c r="A40" s="4" t="inlineStr">
        <is>
          <t>EP-006</t>
        </is>
      </c>
      <c r="B40" s="4" t="inlineStr">
        <is>
          <t>US-006-004</t>
        </is>
      </c>
      <c r="C40" s="4" t="n">
        <v>4</v>
      </c>
      <c r="D40" s="4">
        <f>COUNTIF('Acceptance Criteria'!B:B,B40)</f>
        <v/>
      </c>
      <c r="E40" s="4">
        <f>VLOOKUP(B40,'User Stories'!A:L,12,FALSE)</f>
        <v/>
      </c>
      <c r="F40" s="4">
        <f>COUNTIFS('Acceptance Criteria'!B:B,B40,'Acceptance Criteria'!F:F,"&lt;&gt;Not Tested")</f>
        <v/>
      </c>
      <c r="G40" s="4">
        <f>COUNTIFS('Acceptance Criteria'!B:B,B40,'Acceptance Criteria'!F:F,"Pass")</f>
        <v/>
      </c>
      <c r="H40" s="4">
        <f>COUNTIFS('Acceptance Criteria'!B:B,B40,'Acceptance Criteria'!F:F,"Fail")</f>
        <v/>
      </c>
      <c r="I40" s="4">
        <f>IF(C40=D40,"Linked","Mismatch")</f>
        <v/>
      </c>
      <c r="J40" s="5">
        <f>IF(C40=0,0,G40/C40)</f>
        <v/>
      </c>
    </row>
    <row r="41">
      <c r="A41" s="4" t="inlineStr">
        <is>
          <t>EP-006</t>
        </is>
      </c>
      <c r="B41" s="4" t="inlineStr">
        <is>
          <t>US-006-005</t>
        </is>
      </c>
      <c r="C41" s="4" t="n">
        <v>4</v>
      </c>
      <c r="D41" s="4">
        <f>COUNTIF('Acceptance Criteria'!B:B,B41)</f>
        <v/>
      </c>
      <c r="E41" s="4">
        <f>VLOOKUP(B41,'User Stories'!A:L,12,FALSE)</f>
        <v/>
      </c>
      <c r="F41" s="4">
        <f>COUNTIFS('Acceptance Criteria'!B:B,B41,'Acceptance Criteria'!F:F,"&lt;&gt;Not Tested")</f>
        <v/>
      </c>
      <c r="G41" s="4">
        <f>COUNTIFS('Acceptance Criteria'!B:B,B41,'Acceptance Criteria'!F:F,"Pass")</f>
        <v/>
      </c>
      <c r="H41" s="4">
        <f>COUNTIFS('Acceptance Criteria'!B:B,B41,'Acceptance Criteria'!F:F,"Fail")</f>
        <v/>
      </c>
      <c r="I41" s="4">
        <f>IF(C41=D41,"Linked","Mismatch")</f>
        <v/>
      </c>
      <c r="J41" s="5">
        <f>IF(C41=0,0,G41/C41)</f>
        <v/>
      </c>
    </row>
    <row r="42">
      <c r="A42" s="4" t="inlineStr">
        <is>
          <t>EP-006</t>
        </is>
      </c>
      <c r="B42" s="4" t="inlineStr">
        <is>
          <t>US-006-006</t>
        </is>
      </c>
      <c r="C42" s="4" t="n">
        <v>4</v>
      </c>
      <c r="D42" s="4">
        <f>COUNTIF('Acceptance Criteria'!B:B,B42)</f>
        <v/>
      </c>
      <c r="E42" s="4">
        <f>VLOOKUP(B42,'User Stories'!A:L,12,FALSE)</f>
        <v/>
      </c>
      <c r="F42" s="4">
        <f>COUNTIFS('Acceptance Criteria'!B:B,B42,'Acceptance Criteria'!F:F,"&lt;&gt;Not Tested")</f>
        <v/>
      </c>
      <c r="G42" s="4">
        <f>COUNTIFS('Acceptance Criteria'!B:B,B42,'Acceptance Criteria'!F:F,"Pass")</f>
        <v/>
      </c>
      <c r="H42" s="4">
        <f>COUNTIFS('Acceptance Criteria'!B:B,B42,'Acceptance Criteria'!F:F,"Fail")</f>
        <v/>
      </c>
      <c r="I42" s="4">
        <f>IF(C42=D42,"Linked","Mismatch")</f>
        <v/>
      </c>
      <c r="J42" s="5">
        <f>IF(C42=0,0,G42/C42)</f>
        <v/>
      </c>
    </row>
    <row r="43">
      <c r="A43" s="4" t="inlineStr">
        <is>
          <t>EP-006</t>
        </is>
      </c>
      <c r="B43" s="4" t="inlineStr">
        <is>
          <t>US-006-007</t>
        </is>
      </c>
      <c r="C43" s="4" t="n">
        <v>4</v>
      </c>
      <c r="D43" s="4">
        <f>COUNTIF('Acceptance Criteria'!B:B,B43)</f>
        <v/>
      </c>
      <c r="E43" s="4">
        <f>VLOOKUP(B43,'User Stories'!A:L,12,FALSE)</f>
        <v/>
      </c>
      <c r="F43" s="4">
        <f>COUNTIFS('Acceptance Criteria'!B:B,B43,'Acceptance Criteria'!F:F,"&lt;&gt;Not Tested")</f>
        <v/>
      </c>
      <c r="G43" s="4">
        <f>COUNTIFS('Acceptance Criteria'!B:B,B43,'Acceptance Criteria'!F:F,"Pass")</f>
        <v/>
      </c>
      <c r="H43" s="4">
        <f>COUNTIFS('Acceptance Criteria'!B:B,B43,'Acceptance Criteria'!F:F,"Fail")</f>
        <v/>
      </c>
      <c r="I43" s="4">
        <f>IF(C43=D43,"Linked","Mismatch")</f>
        <v/>
      </c>
      <c r="J43" s="5">
        <f>IF(C43=0,0,G43/C43)</f>
        <v/>
      </c>
    </row>
    <row r="44">
      <c r="A44" s="4" t="inlineStr">
        <is>
          <t>EP-006</t>
        </is>
      </c>
      <c r="B44" s="4" t="inlineStr">
        <is>
          <t>US-006-008</t>
        </is>
      </c>
      <c r="C44" s="4" t="n">
        <v>4</v>
      </c>
      <c r="D44" s="4">
        <f>COUNTIF('Acceptance Criteria'!B:B,B44)</f>
        <v/>
      </c>
      <c r="E44" s="4">
        <f>VLOOKUP(B44,'User Stories'!A:L,12,FALSE)</f>
        <v/>
      </c>
      <c r="F44" s="4">
        <f>COUNTIFS('Acceptance Criteria'!B:B,B44,'Acceptance Criteria'!F:F,"&lt;&gt;Not Tested")</f>
        <v/>
      </c>
      <c r="G44" s="4">
        <f>COUNTIFS('Acceptance Criteria'!B:B,B44,'Acceptance Criteria'!F:F,"Pass")</f>
        <v/>
      </c>
      <c r="H44" s="4">
        <f>COUNTIFS('Acceptance Criteria'!B:B,B44,'Acceptance Criteria'!F:F,"Fail")</f>
        <v/>
      </c>
      <c r="I44" s="4">
        <f>IF(C44=D44,"Linked","Mismatch")</f>
        <v/>
      </c>
      <c r="J44" s="5">
        <f>IF(C44=0,0,G44/C44)</f>
        <v/>
      </c>
    </row>
    <row r="45">
      <c r="A45" s="4" t="inlineStr">
        <is>
          <t>EP-006</t>
        </is>
      </c>
      <c r="B45" s="4" t="inlineStr">
        <is>
          <t>US-006-009</t>
        </is>
      </c>
      <c r="C45" s="4" t="n">
        <v>4</v>
      </c>
      <c r="D45" s="4">
        <f>COUNTIF('Acceptance Criteria'!B:B,B45)</f>
        <v/>
      </c>
      <c r="E45" s="4">
        <f>VLOOKUP(B45,'User Stories'!A:L,12,FALSE)</f>
        <v/>
      </c>
      <c r="F45" s="4">
        <f>COUNTIFS('Acceptance Criteria'!B:B,B45,'Acceptance Criteria'!F:F,"&lt;&gt;Not Tested")</f>
        <v/>
      </c>
      <c r="G45" s="4">
        <f>COUNTIFS('Acceptance Criteria'!B:B,B45,'Acceptance Criteria'!F:F,"Pass")</f>
        <v/>
      </c>
      <c r="H45" s="4">
        <f>COUNTIFS('Acceptance Criteria'!B:B,B45,'Acceptance Criteria'!F:F,"Fail")</f>
        <v/>
      </c>
      <c r="I45" s="4">
        <f>IF(C45=D45,"Linked","Mismatch")</f>
        <v/>
      </c>
      <c r="J45" s="5">
        <f>IF(C45=0,0,G45/C45)</f>
        <v/>
      </c>
    </row>
    <row r="46">
      <c r="A46" s="4" t="inlineStr">
        <is>
          <t>EP-006</t>
        </is>
      </c>
      <c r="B46" s="4" t="inlineStr">
        <is>
          <t>US-006-010</t>
        </is>
      </c>
      <c r="C46" s="4" t="n">
        <v>4</v>
      </c>
      <c r="D46" s="4">
        <f>COUNTIF('Acceptance Criteria'!B:B,B46)</f>
        <v/>
      </c>
      <c r="E46" s="4">
        <f>VLOOKUP(B46,'User Stories'!A:L,12,FALSE)</f>
        <v/>
      </c>
      <c r="F46" s="4">
        <f>COUNTIFS('Acceptance Criteria'!B:B,B46,'Acceptance Criteria'!F:F,"&lt;&gt;Not Tested")</f>
        <v/>
      </c>
      <c r="G46" s="4">
        <f>COUNTIFS('Acceptance Criteria'!B:B,B46,'Acceptance Criteria'!F:F,"Pass")</f>
        <v/>
      </c>
      <c r="H46" s="4">
        <f>COUNTIFS('Acceptance Criteria'!B:B,B46,'Acceptance Criteria'!F:F,"Fail")</f>
        <v/>
      </c>
      <c r="I46" s="4">
        <f>IF(C46=D46,"Linked","Mismatch")</f>
        <v/>
      </c>
      <c r="J46" s="5">
        <f>IF(C46=0,0,G46/C46)</f>
        <v/>
      </c>
    </row>
    <row r="47">
      <c r="A47" s="4" t="inlineStr">
        <is>
          <t>EP-007</t>
        </is>
      </c>
      <c r="B47" s="4" t="inlineStr">
        <is>
          <t>US-007-001</t>
        </is>
      </c>
      <c r="C47" s="4" t="n">
        <v>4</v>
      </c>
      <c r="D47" s="4">
        <f>COUNTIF('Acceptance Criteria'!B:B,B47)</f>
        <v/>
      </c>
      <c r="E47" s="4">
        <f>VLOOKUP(B47,'User Stories'!A:L,12,FALSE)</f>
        <v/>
      </c>
      <c r="F47" s="4">
        <f>COUNTIFS('Acceptance Criteria'!B:B,B47,'Acceptance Criteria'!F:F,"&lt;&gt;Not Tested")</f>
        <v/>
      </c>
      <c r="G47" s="4">
        <f>COUNTIFS('Acceptance Criteria'!B:B,B47,'Acceptance Criteria'!F:F,"Pass")</f>
        <v/>
      </c>
      <c r="H47" s="4">
        <f>COUNTIFS('Acceptance Criteria'!B:B,B47,'Acceptance Criteria'!F:F,"Fail")</f>
        <v/>
      </c>
      <c r="I47" s="4">
        <f>IF(C47=D47,"Linked","Mismatch")</f>
        <v/>
      </c>
      <c r="J47" s="5">
        <f>IF(C47=0,0,G47/C47)</f>
        <v/>
      </c>
    </row>
    <row r="48">
      <c r="A48" s="4" t="inlineStr">
        <is>
          <t>EP-007</t>
        </is>
      </c>
      <c r="B48" s="4" t="inlineStr">
        <is>
          <t>US-007-002</t>
        </is>
      </c>
      <c r="C48" s="4" t="n">
        <v>4</v>
      </c>
      <c r="D48" s="4">
        <f>COUNTIF('Acceptance Criteria'!B:B,B48)</f>
        <v/>
      </c>
      <c r="E48" s="4">
        <f>VLOOKUP(B48,'User Stories'!A:L,12,FALSE)</f>
        <v/>
      </c>
      <c r="F48" s="4">
        <f>COUNTIFS('Acceptance Criteria'!B:B,B48,'Acceptance Criteria'!F:F,"&lt;&gt;Not Tested")</f>
        <v/>
      </c>
      <c r="G48" s="4">
        <f>COUNTIFS('Acceptance Criteria'!B:B,B48,'Acceptance Criteria'!F:F,"Pass")</f>
        <v/>
      </c>
      <c r="H48" s="4">
        <f>COUNTIFS('Acceptance Criteria'!B:B,B48,'Acceptance Criteria'!F:F,"Fail")</f>
        <v/>
      </c>
      <c r="I48" s="4">
        <f>IF(C48=D48,"Linked","Mismatch")</f>
        <v/>
      </c>
      <c r="J48" s="5">
        <f>IF(C48=0,0,G48/C48)</f>
        <v/>
      </c>
    </row>
    <row r="49">
      <c r="A49" s="4" t="inlineStr">
        <is>
          <t>EP-007</t>
        </is>
      </c>
      <c r="B49" s="4" t="inlineStr">
        <is>
          <t>US-007-003</t>
        </is>
      </c>
      <c r="C49" s="4" t="n">
        <v>4</v>
      </c>
      <c r="D49" s="4">
        <f>COUNTIF('Acceptance Criteria'!B:B,B49)</f>
        <v/>
      </c>
      <c r="E49" s="4">
        <f>VLOOKUP(B49,'User Stories'!A:L,12,FALSE)</f>
        <v/>
      </c>
      <c r="F49" s="4">
        <f>COUNTIFS('Acceptance Criteria'!B:B,B49,'Acceptance Criteria'!F:F,"&lt;&gt;Not Tested")</f>
        <v/>
      </c>
      <c r="G49" s="4">
        <f>COUNTIFS('Acceptance Criteria'!B:B,B49,'Acceptance Criteria'!F:F,"Pass")</f>
        <v/>
      </c>
      <c r="H49" s="4">
        <f>COUNTIFS('Acceptance Criteria'!B:B,B49,'Acceptance Criteria'!F:F,"Fail")</f>
        <v/>
      </c>
      <c r="I49" s="4">
        <f>IF(C49=D49,"Linked","Mismatch")</f>
        <v/>
      </c>
      <c r="J49" s="5">
        <f>IF(C49=0,0,G49/C49)</f>
        <v/>
      </c>
    </row>
    <row r="50">
      <c r="A50" s="4" t="inlineStr">
        <is>
          <t>EP-007</t>
        </is>
      </c>
      <c r="B50" s="4" t="inlineStr">
        <is>
          <t>US-007-004</t>
        </is>
      </c>
      <c r="C50" s="4" t="n">
        <v>4</v>
      </c>
      <c r="D50" s="4">
        <f>COUNTIF('Acceptance Criteria'!B:B,B50)</f>
        <v/>
      </c>
      <c r="E50" s="4">
        <f>VLOOKUP(B50,'User Stories'!A:L,12,FALSE)</f>
        <v/>
      </c>
      <c r="F50" s="4">
        <f>COUNTIFS('Acceptance Criteria'!B:B,B50,'Acceptance Criteria'!F:F,"&lt;&gt;Not Tested")</f>
        <v/>
      </c>
      <c r="G50" s="4">
        <f>COUNTIFS('Acceptance Criteria'!B:B,B50,'Acceptance Criteria'!F:F,"Pass")</f>
        <v/>
      </c>
      <c r="H50" s="4">
        <f>COUNTIFS('Acceptance Criteria'!B:B,B50,'Acceptance Criteria'!F:F,"Fail")</f>
        <v/>
      </c>
      <c r="I50" s="4">
        <f>IF(C50=D50,"Linked","Mismatch")</f>
        <v/>
      </c>
      <c r="J50" s="5">
        <f>IF(C50=0,0,G50/C50)</f>
        <v/>
      </c>
    </row>
    <row r="51">
      <c r="A51" s="4" t="inlineStr">
        <is>
          <t>EP-007</t>
        </is>
      </c>
      <c r="B51" s="4" t="inlineStr">
        <is>
          <t>US-007-005</t>
        </is>
      </c>
      <c r="C51" s="4" t="n">
        <v>4</v>
      </c>
      <c r="D51" s="4">
        <f>COUNTIF('Acceptance Criteria'!B:B,B51)</f>
        <v/>
      </c>
      <c r="E51" s="4">
        <f>VLOOKUP(B51,'User Stories'!A:L,12,FALSE)</f>
        <v/>
      </c>
      <c r="F51" s="4">
        <f>COUNTIFS('Acceptance Criteria'!B:B,B51,'Acceptance Criteria'!F:F,"&lt;&gt;Not Tested")</f>
        <v/>
      </c>
      <c r="G51" s="4">
        <f>COUNTIFS('Acceptance Criteria'!B:B,B51,'Acceptance Criteria'!F:F,"Pass")</f>
        <v/>
      </c>
      <c r="H51" s="4">
        <f>COUNTIFS('Acceptance Criteria'!B:B,B51,'Acceptance Criteria'!F:F,"Fail")</f>
        <v/>
      </c>
      <c r="I51" s="4">
        <f>IF(C51=D51,"Linked","Mismatch")</f>
        <v/>
      </c>
      <c r="J51" s="5">
        <f>IF(C51=0,0,G51/C51)</f>
        <v/>
      </c>
    </row>
    <row r="52">
      <c r="A52" s="4" t="inlineStr">
        <is>
          <t>EP-008</t>
        </is>
      </c>
      <c r="B52" s="4" t="inlineStr">
        <is>
          <t>US-008-001</t>
        </is>
      </c>
      <c r="C52" s="4" t="n">
        <v>4</v>
      </c>
      <c r="D52" s="4">
        <f>COUNTIF('Acceptance Criteria'!B:B,B52)</f>
        <v/>
      </c>
      <c r="E52" s="4">
        <f>VLOOKUP(B52,'User Stories'!A:L,12,FALSE)</f>
        <v/>
      </c>
      <c r="F52" s="4">
        <f>COUNTIFS('Acceptance Criteria'!B:B,B52,'Acceptance Criteria'!F:F,"&lt;&gt;Not Tested")</f>
        <v/>
      </c>
      <c r="G52" s="4">
        <f>COUNTIFS('Acceptance Criteria'!B:B,B52,'Acceptance Criteria'!F:F,"Pass")</f>
        <v/>
      </c>
      <c r="H52" s="4">
        <f>COUNTIFS('Acceptance Criteria'!B:B,B52,'Acceptance Criteria'!F:F,"Fail")</f>
        <v/>
      </c>
      <c r="I52" s="4">
        <f>IF(C52=D52,"Linked","Mismatch")</f>
        <v/>
      </c>
      <c r="J52" s="5">
        <f>IF(C52=0,0,G52/C52)</f>
        <v/>
      </c>
    </row>
    <row r="53">
      <c r="A53" s="4" t="inlineStr">
        <is>
          <t>EP-008</t>
        </is>
      </c>
      <c r="B53" s="4" t="inlineStr">
        <is>
          <t>US-008-002</t>
        </is>
      </c>
      <c r="C53" s="4" t="n">
        <v>4</v>
      </c>
      <c r="D53" s="4">
        <f>COUNTIF('Acceptance Criteria'!B:B,B53)</f>
        <v/>
      </c>
      <c r="E53" s="4">
        <f>VLOOKUP(B53,'User Stories'!A:L,12,FALSE)</f>
        <v/>
      </c>
      <c r="F53" s="4">
        <f>COUNTIFS('Acceptance Criteria'!B:B,B53,'Acceptance Criteria'!F:F,"&lt;&gt;Not Tested")</f>
        <v/>
      </c>
      <c r="G53" s="4">
        <f>COUNTIFS('Acceptance Criteria'!B:B,B53,'Acceptance Criteria'!F:F,"Pass")</f>
        <v/>
      </c>
      <c r="H53" s="4">
        <f>COUNTIFS('Acceptance Criteria'!B:B,B53,'Acceptance Criteria'!F:F,"Fail")</f>
        <v/>
      </c>
      <c r="I53" s="4">
        <f>IF(C53=D53,"Linked","Mismatch")</f>
        <v/>
      </c>
      <c r="J53" s="5">
        <f>IF(C53=0,0,G53/C53)</f>
        <v/>
      </c>
    </row>
    <row r="54">
      <c r="A54" s="4" t="inlineStr">
        <is>
          <t>EP-008</t>
        </is>
      </c>
      <c r="B54" s="4" t="inlineStr">
        <is>
          <t>US-008-003</t>
        </is>
      </c>
      <c r="C54" s="4" t="n">
        <v>4</v>
      </c>
      <c r="D54" s="4">
        <f>COUNTIF('Acceptance Criteria'!B:B,B54)</f>
        <v/>
      </c>
      <c r="E54" s="4">
        <f>VLOOKUP(B54,'User Stories'!A:L,12,FALSE)</f>
        <v/>
      </c>
      <c r="F54" s="4">
        <f>COUNTIFS('Acceptance Criteria'!B:B,B54,'Acceptance Criteria'!F:F,"&lt;&gt;Not Tested")</f>
        <v/>
      </c>
      <c r="G54" s="4">
        <f>COUNTIFS('Acceptance Criteria'!B:B,B54,'Acceptance Criteria'!F:F,"Pass")</f>
        <v/>
      </c>
      <c r="H54" s="4">
        <f>COUNTIFS('Acceptance Criteria'!B:B,B54,'Acceptance Criteria'!F:F,"Fail")</f>
        <v/>
      </c>
      <c r="I54" s="4">
        <f>IF(C54=D54,"Linked","Mismatch")</f>
        <v/>
      </c>
      <c r="J54" s="5">
        <f>IF(C54=0,0,G54/C54)</f>
        <v/>
      </c>
    </row>
    <row r="55">
      <c r="A55" s="4" t="inlineStr">
        <is>
          <t>EP-008</t>
        </is>
      </c>
      <c r="B55" s="4" t="inlineStr">
        <is>
          <t>US-008-004</t>
        </is>
      </c>
      <c r="C55" s="4" t="n">
        <v>4</v>
      </c>
      <c r="D55" s="4">
        <f>COUNTIF('Acceptance Criteria'!B:B,B55)</f>
        <v/>
      </c>
      <c r="E55" s="4">
        <f>VLOOKUP(B55,'User Stories'!A:L,12,FALSE)</f>
        <v/>
      </c>
      <c r="F55" s="4">
        <f>COUNTIFS('Acceptance Criteria'!B:B,B55,'Acceptance Criteria'!F:F,"&lt;&gt;Not Tested")</f>
        <v/>
      </c>
      <c r="G55" s="4">
        <f>COUNTIFS('Acceptance Criteria'!B:B,B55,'Acceptance Criteria'!F:F,"Pass")</f>
        <v/>
      </c>
      <c r="H55" s="4">
        <f>COUNTIFS('Acceptance Criteria'!B:B,B55,'Acceptance Criteria'!F:F,"Fail")</f>
        <v/>
      </c>
      <c r="I55" s="4">
        <f>IF(C55=D55,"Linked","Mismatch")</f>
        <v/>
      </c>
      <c r="J55" s="5">
        <f>IF(C55=0,0,G55/C55)</f>
        <v/>
      </c>
    </row>
    <row r="56">
      <c r="A56" s="4" t="inlineStr">
        <is>
          <t>EP-008</t>
        </is>
      </c>
      <c r="B56" s="4" t="inlineStr">
        <is>
          <t>US-008-005</t>
        </is>
      </c>
      <c r="C56" s="4" t="n">
        <v>4</v>
      </c>
      <c r="D56" s="4">
        <f>COUNTIF('Acceptance Criteria'!B:B,B56)</f>
        <v/>
      </c>
      <c r="E56" s="4">
        <f>VLOOKUP(B56,'User Stories'!A:L,12,FALSE)</f>
        <v/>
      </c>
      <c r="F56" s="4">
        <f>COUNTIFS('Acceptance Criteria'!B:B,B56,'Acceptance Criteria'!F:F,"&lt;&gt;Not Tested")</f>
        <v/>
      </c>
      <c r="G56" s="4">
        <f>COUNTIFS('Acceptance Criteria'!B:B,B56,'Acceptance Criteria'!F:F,"Pass")</f>
        <v/>
      </c>
      <c r="H56" s="4">
        <f>COUNTIFS('Acceptance Criteria'!B:B,B56,'Acceptance Criteria'!F:F,"Fail")</f>
        <v/>
      </c>
      <c r="I56" s="4">
        <f>IF(C56=D56,"Linked","Mismatch")</f>
        <v/>
      </c>
      <c r="J56" s="5">
        <f>IF(C56=0,0,G56/C56)</f>
        <v/>
      </c>
    </row>
    <row r="57">
      <c r="A57" s="4" t="inlineStr">
        <is>
          <t>EP-009</t>
        </is>
      </c>
      <c r="B57" s="4" t="inlineStr">
        <is>
          <t>US-009-001</t>
        </is>
      </c>
      <c r="C57" s="4" t="n">
        <v>4</v>
      </c>
      <c r="D57" s="4">
        <f>COUNTIF('Acceptance Criteria'!B:B,B57)</f>
        <v/>
      </c>
      <c r="E57" s="4">
        <f>VLOOKUP(B57,'User Stories'!A:L,12,FALSE)</f>
        <v/>
      </c>
      <c r="F57" s="4">
        <f>COUNTIFS('Acceptance Criteria'!B:B,B57,'Acceptance Criteria'!F:F,"&lt;&gt;Not Tested")</f>
        <v/>
      </c>
      <c r="G57" s="4">
        <f>COUNTIFS('Acceptance Criteria'!B:B,B57,'Acceptance Criteria'!F:F,"Pass")</f>
        <v/>
      </c>
      <c r="H57" s="4">
        <f>COUNTIFS('Acceptance Criteria'!B:B,B57,'Acceptance Criteria'!F:F,"Fail")</f>
        <v/>
      </c>
      <c r="I57" s="4">
        <f>IF(C57=D57,"Linked","Mismatch")</f>
        <v/>
      </c>
      <c r="J57" s="5">
        <f>IF(C57=0,0,G57/C57)</f>
        <v/>
      </c>
    </row>
    <row r="58">
      <c r="A58" s="4" t="inlineStr">
        <is>
          <t>EP-009</t>
        </is>
      </c>
      <c r="B58" s="4" t="inlineStr">
        <is>
          <t>US-009-002</t>
        </is>
      </c>
      <c r="C58" s="4" t="n">
        <v>4</v>
      </c>
      <c r="D58" s="4">
        <f>COUNTIF('Acceptance Criteria'!B:B,B58)</f>
        <v/>
      </c>
      <c r="E58" s="4">
        <f>VLOOKUP(B58,'User Stories'!A:L,12,FALSE)</f>
        <v/>
      </c>
      <c r="F58" s="4">
        <f>COUNTIFS('Acceptance Criteria'!B:B,B58,'Acceptance Criteria'!F:F,"&lt;&gt;Not Tested")</f>
        <v/>
      </c>
      <c r="G58" s="4">
        <f>COUNTIFS('Acceptance Criteria'!B:B,B58,'Acceptance Criteria'!F:F,"Pass")</f>
        <v/>
      </c>
      <c r="H58" s="4">
        <f>COUNTIFS('Acceptance Criteria'!B:B,B58,'Acceptance Criteria'!F:F,"Fail")</f>
        <v/>
      </c>
      <c r="I58" s="4">
        <f>IF(C58=D58,"Linked","Mismatch")</f>
        <v/>
      </c>
      <c r="J58" s="5">
        <f>IF(C58=0,0,G58/C58)</f>
        <v/>
      </c>
    </row>
    <row r="59">
      <c r="A59" s="4" t="inlineStr">
        <is>
          <t>EP-009</t>
        </is>
      </c>
      <c r="B59" s="4" t="inlineStr">
        <is>
          <t>US-009-003</t>
        </is>
      </c>
      <c r="C59" s="4" t="n">
        <v>4</v>
      </c>
      <c r="D59" s="4">
        <f>COUNTIF('Acceptance Criteria'!B:B,B59)</f>
        <v/>
      </c>
      <c r="E59" s="4">
        <f>VLOOKUP(B59,'User Stories'!A:L,12,FALSE)</f>
        <v/>
      </c>
      <c r="F59" s="4">
        <f>COUNTIFS('Acceptance Criteria'!B:B,B59,'Acceptance Criteria'!F:F,"&lt;&gt;Not Tested")</f>
        <v/>
      </c>
      <c r="G59" s="4">
        <f>COUNTIFS('Acceptance Criteria'!B:B,B59,'Acceptance Criteria'!F:F,"Pass")</f>
        <v/>
      </c>
      <c r="H59" s="4">
        <f>COUNTIFS('Acceptance Criteria'!B:B,B59,'Acceptance Criteria'!F:F,"Fail")</f>
        <v/>
      </c>
      <c r="I59" s="4">
        <f>IF(C59=D59,"Linked","Mismatch")</f>
        <v/>
      </c>
      <c r="J59" s="5">
        <f>IF(C59=0,0,G59/C59)</f>
        <v/>
      </c>
    </row>
    <row r="60">
      <c r="A60" s="4" t="inlineStr">
        <is>
          <t>EP-009</t>
        </is>
      </c>
      <c r="B60" s="4" t="inlineStr">
        <is>
          <t>US-009-004</t>
        </is>
      </c>
      <c r="C60" s="4" t="n">
        <v>4</v>
      </c>
      <c r="D60" s="4">
        <f>COUNTIF('Acceptance Criteria'!B:B,B60)</f>
        <v/>
      </c>
      <c r="E60" s="4">
        <f>VLOOKUP(B60,'User Stories'!A:L,12,FALSE)</f>
        <v/>
      </c>
      <c r="F60" s="4">
        <f>COUNTIFS('Acceptance Criteria'!B:B,B60,'Acceptance Criteria'!F:F,"&lt;&gt;Not Tested")</f>
        <v/>
      </c>
      <c r="G60" s="4">
        <f>COUNTIFS('Acceptance Criteria'!B:B,B60,'Acceptance Criteria'!F:F,"Pass")</f>
        <v/>
      </c>
      <c r="H60" s="4">
        <f>COUNTIFS('Acceptance Criteria'!B:B,B60,'Acceptance Criteria'!F:F,"Fail")</f>
        <v/>
      </c>
      <c r="I60" s="4">
        <f>IF(C60=D60,"Linked","Mismatch")</f>
        <v/>
      </c>
      <c r="J60" s="5">
        <f>IF(C60=0,0,G60/C60)</f>
        <v/>
      </c>
    </row>
    <row r="61">
      <c r="A61" s="4" t="inlineStr">
        <is>
          <t>EP-009</t>
        </is>
      </c>
      <c r="B61" s="4" t="inlineStr">
        <is>
          <t>US-009-005</t>
        </is>
      </c>
      <c r="C61" s="4" t="n">
        <v>4</v>
      </c>
      <c r="D61" s="4">
        <f>COUNTIF('Acceptance Criteria'!B:B,B61)</f>
        <v/>
      </c>
      <c r="E61" s="4">
        <f>VLOOKUP(B61,'User Stories'!A:L,12,FALSE)</f>
        <v/>
      </c>
      <c r="F61" s="4">
        <f>COUNTIFS('Acceptance Criteria'!B:B,B61,'Acceptance Criteria'!F:F,"&lt;&gt;Not Tested")</f>
        <v/>
      </c>
      <c r="G61" s="4">
        <f>COUNTIFS('Acceptance Criteria'!B:B,B61,'Acceptance Criteria'!F:F,"Pass")</f>
        <v/>
      </c>
      <c r="H61" s="4">
        <f>COUNTIFS('Acceptance Criteria'!B:B,B61,'Acceptance Criteria'!F:F,"Fail")</f>
        <v/>
      </c>
      <c r="I61" s="4">
        <f>IF(C61=D61,"Linked","Mismatch")</f>
        <v/>
      </c>
      <c r="J61" s="5">
        <f>IF(C61=0,0,G61/C61)</f>
        <v/>
      </c>
    </row>
    <row r="62">
      <c r="A62" s="4" t="inlineStr">
        <is>
          <t>EP-010</t>
        </is>
      </c>
      <c r="B62" s="4" t="inlineStr">
        <is>
          <t>US-010-001</t>
        </is>
      </c>
      <c r="C62" s="4" t="n">
        <v>4</v>
      </c>
      <c r="D62" s="4">
        <f>COUNTIF('Acceptance Criteria'!B:B,B62)</f>
        <v/>
      </c>
      <c r="E62" s="4">
        <f>VLOOKUP(B62,'User Stories'!A:L,12,FALSE)</f>
        <v/>
      </c>
      <c r="F62" s="4">
        <f>COUNTIFS('Acceptance Criteria'!B:B,B62,'Acceptance Criteria'!F:F,"&lt;&gt;Not Tested")</f>
        <v/>
      </c>
      <c r="G62" s="4">
        <f>COUNTIFS('Acceptance Criteria'!B:B,B62,'Acceptance Criteria'!F:F,"Pass")</f>
        <v/>
      </c>
      <c r="H62" s="4">
        <f>COUNTIFS('Acceptance Criteria'!B:B,B62,'Acceptance Criteria'!F:F,"Fail")</f>
        <v/>
      </c>
      <c r="I62" s="4">
        <f>IF(C62=D62,"Linked","Mismatch")</f>
        <v/>
      </c>
      <c r="J62" s="5">
        <f>IF(C62=0,0,G62/C62)</f>
        <v/>
      </c>
    </row>
    <row r="63">
      <c r="A63" s="4" t="inlineStr">
        <is>
          <t>EP-010</t>
        </is>
      </c>
      <c r="B63" s="4" t="inlineStr">
        <is>
          <t>US-010-002</t>
        </is>
      </c>
      <c r="C63" s="4" t="n">
        <v>4</v>
      </c>
      <c r="D63" s="4">
        <f>COUNTIF('Acceptance Criteria'!B:B,B63)</f>
        <v/>
      </c>
      <c r="E63" s="4">
        <f>VLOOKUP(B63,'User Stories'!A:L,12,FALSE)</f>
        <v/>
      </c>
      <c r="F63" s="4">
        <f>COUNTIFS('Acceptance Criteria'!B:B,B63,'Acceptance Criteria'!F:F,"&lt;&gt;Not Tested")</f>
        <v/>
      </c>
      <c r="G63" s="4">
        <f>COUNTIFS('Acceptance Criteria'!B:B,B63,'Acceptance Criteria'!F:F,"Pass")</f>
        <v/>
      </c>
      <c r="H63" s="4">
        <f>COUNTIFS('Acceptance Criteria'!B:B,B63,'Acceptance Criteria'!F:F,"Fail")</f>
        <v/>
      </c>
      <c r="I63" s="4">
        <f>IF(C63=D63,"Linked","Mismatch")</f>
        <v/>
      </c>
      <c r="J63" s="5">
        <f>IF(C63=0,0,G63/C63)</f>
        <v/>
      </c>
    </row>
    <row r="64">
      <c r="A64" s="4" t="inlineStr">
        <is>
          <t>EP-010</t>
        </is>
      </c>
      <c r="B64" s="4" t="inlineStr">
        <is>
          <t>US-010-003</t>
        </is>
      </c>
      <c r="C64" s="4" t="n">
        <v>4</v>
      </c>
      <c r="D64" s="4">
        <f>COUNTIF('Acceptance Criteria'!B:B,B64)</f>
        <v/>
      </c>
      <c r="E64" s="4">
        <f>VLOOKUP(B64,'User Stories'!A:L,12,FALSE)</f>
        <v/>
      </c>
      <c r="F64" s="4">
        <f>COUNTIFS('Acceptance Criteria'!B:B,B64,'Acceptance Criteria'!F:F,"&lt;&gt;Not Tested")</f>
        <v/>
      </c>
      <c r="G64" s="4">
        <f>COUNTIFS('Acceptance Criteria'!B:B,B64,'Acceptance Criteria'!F:F,"Pass")</f>
        <v/>
      </c>
      <c r="H64" s="4">
        <f>COUNTIFS('Acceptance Criteria'!B:B,B64,'Acceptance Criteria'!F:F,"Fail")</f>
        <v/>
      </c>
      <c r="I64" s="4">
        <f>IF(C64=D64,"Linked","Mismatch")</f>
        <v/>
      </c>
      <c r="J64" s="5">
        <f>IF(C64=0,0,G64/C64)</f>
        <v/>
      </c>
    </row>
    <row r="65">
      <c r="A65" s="4" t="inlineStr">
        <is>
          <t>EP-010</t>
        </is>
      </c>
      <c r="B65" s="4" t="inlineStr">
        <is>
          <t>US-010-004</t>
        </is>
      </c>
      <c r="C65" s="4" t="n">
        <v>4</v>
      </c>
      <c r="D65" s="4">
        <f>COUNTIF('Acceptance Criteria'!B:B,B65)</f>
        <v/>
      </c>
      <c r="E65" s="4">
        <f>VLOOKUP(B65,'User Stories'!A:L,12,FALSE)</f>
        <v/>
      </c>
      <c r="F65" s="4">
        <f>COUNTIFS('Acceptance Criteria'!B:B,B65,'Acceptance Criteria'!F:F,"&lt;&gt;Not Tested")</f>
        <v/>
      </c>
      <c r="G65" s="4">
        <f>COUNTIFS('Acceptance Criteria'!B:B,B65,'Acceptance Criteria'!F:F,"Pass")</f>
        <v/>
      </c>
      <c r="H65" s="4">
        <f>COUNTIFS('Acceptance Criteria'!B:B,B65,'Acceptance Criteria'!F:F,"Fail")</f>
        <v/>
      </c>
      <c r="I65" s="4">
        <f>IF(C65=D65,"Linked","Mismatch")</f>
        <v/>
      </c>
      <c r="J65" s="5">
        <f>IF(C65=0,0,G65/C65)</f>
        <v/>
      </c>
    </row>
    <row r="66">
      <c r="A66" s="4" t="inlineStr">
        <is>
          <t>EP-010</t>
        </is>
      </c>
      <c r="B66" s="4" t="inlineStr">
        <is>
          <t>US-010-005</t>
        </is>
      </c>
      <c r="C66" s="4" t="n">
        <v>4</v>
      </c>
      <c r="D66" s="4">
        <f>COUNTIF('Acceptance Criteria'!B:B,B66)</f>
        <v/>
      </c>
      <c r="E66" s="4">
        <f>VLOOKUP(B66,'User Stories'!A:L,12,FALSE)</f>
        <v/>
      </c>
      <c r="F66" s="4">
        <f>COUNTIFS('Acceptance Criteria'!B:B,B66,'Acceptance Criteria'!F:F,"&lt;&gt;Not Tested")</f>
        <v/>
      </c>
      <c r="G66" s="4">
        <f>COUNTIFS('Acceptance Criteria'!B:B,B66,'Acceptance Criteria'!F:F,"Pass")</f>
        <v/>
      </c>
      <c r="H66" s="4">
        <f>COUNTIFS('Acceptance Criteria'!B:B,B66,'Acceptance Criteria'!F:F,"Fail")</f>
        <v/>
      </c>
      <c r="I66" s="4">
        <f>IF(C66=D66,"Linked","Mismatch")</f>
        <v/>
      </c>
      <c r="J66" s="5">
        <f>IF(C66=0,0,G66/C66)</f>
        <v/>
      </c>
    </row>
    <row r="67">
      <c r="A67" s="4" t="inlineStr">
        <is>
          <t>EP-011</t>
        </is>
      </c>
      <c r="B67" s="4" t="inlineStr">
        <is>
          <t>US-011-001</t>
        </is>
      </c>
      <c r="C67" s="4" t="n">
        <v>4</v>
      </c>
      <c r="D67" s="4">
        <f>COUNTIF('Acceptance Criteria'!B:B,B67)</f>
        <v/>
      </c>
      <c r="E67" s="4">
        <f>VLOOKUP(B67,'User Stories'!A:L,12,FALSE)</f>
        <v/>
      </c>
      <c r="F67" s="4">
        <f>COUNTIFS('Acceptance Criteria'!B:B,B67,'Acceptance Criteria'!F:F,"&lt;&gt;Not Tested")</f>
        <v/>
      </c>
      <c r="G67" s="4">
        <f>COUNTIFS('Acceptance Criteria'!B:B,B67,'Acceptance Criteria'!F:F,"Pass")</f>
        <v/>
      </c>
      <c r="H67" s="4">
        <f>COUNTIFS('Acceptance Criteria'!B:B,B67,'Acceptance Criteria'!F:F,"Fail")</f>
        <v/>
      </c>
      <c r="I67" s="4">
        <f>IF(C67=D67,"Linked","Mismatch")</f>
        <v/>
      </c>
      <c r="J67" s="5">
        <f>IF(C67=0,0,G67/C67)</f>
        <v/>
      </c>
    </row>
    <row r="68">
      <c r="A68" s="4" t="inlineStr">
        <is>
          <t>EP-011</t>
        </is>
      </c>
      <c r="B68" s="4" t="inlineStr">
        <is>
          <t>US-011-002</t>
        </is>
      </c>
      <c r="C68" s="4" t="n">
        <v>4</v>
      </c>
      <c r="D68" s="4">
        <f>COUNTIF('Acceptance Criteria'!B:B,B68)</f>
        <v/>
      </c>
      <c r="E68" s="4">
        <f>VLOOKUP(B68,'User Stories'!A:L,12,FALSE)</f>
        <v/>
      </c>
      <c r="F68" s="4">
        <f>COUNTIFS('Acceptance Criteria'!B:B,B68,'Acceptance Criteria'!F:F,"&lt;&gt;Not Tested")</f>
        <v/>
      </c>
      <c r="G68" s="4">
        <f>COUNTIFS('Acceptance Criteria'!B:B,B68,'Acceptance Criteria'!F:F,"Pass")</f>
        <v/>
      </c>
      <c r="H68" s="4">
        <f>COUNTIFS('Acceptance Criteria'!B:B,B68,'Acceptance Criteria'!F:F,"Fail")</f>
        <v/>
      </c>
      <c r="I68" s="4">
        <f>IF(C68=D68,"Linked","Mismatch")</f>
        <v/>
      </c>
      <c r="J68" s="5">
        <f>IF(C68=0,0,G68/C68)</f>
        <v/>
      </c>
    </row>
    <row r="69">
      <c r="A69" s="4" t="inlineStr">
        <is>
          <t>EP-011</t>
        </is>
      </c>
      <c r="B69" s="4" t="inlineStr">
        <is>
          <t>US-011-003</t>
        </is>
      </c>
      <c r="C69" s="4" t="n">
        <v>4</v>
      </c>
      <c r="D69" s="4">
        <f>COUNTIF('Acceptance Criteria'!B:B,B69)</f>
        <v/>
      </c>
      <c r="E69" s="4">
        <f>VLOOKUP(B69,'User Stories'!A:L,12,FALSE)</f>
        <v/>
      </c>
      <c r="F69" s="4">
        <f>COUNTIFS('Acceptance Criteria'!B:B,B69,'Acceptance Criteria'!F:F,"&lt;&gt;Not Tested")</f>
        <v/>
      </c>
      <c r="G69" s="4">
        <f>COUNTIFS('Acceptance Criteria'!B:B,B69,'Acceptance Criteria'!F:F,"Pass")</f>
        <v/>
      </c>
      <c r="H69" s="4">
        <f>COUNTIFS('Acceptance Criteria'!B:B,B69,'Acceptance Criteria'!F:F,"Fail")</f>
        <v/>
      </c>
      <c r="I69" s="4">
        <f>IF(C69=D69,"Linked","Mismatch")</f>
        <v/>
      </c>
      <c r="J69" s="5">
        <f>IF(C69=0,0,G69/C69)</f>
        <v/>
      </c>
    </row>
    <row r="70">
      <c r="A70" s="4" t="inlineStr">
        <is>
          <t>EP-011</t>
        </is>
      </c>
      <c r="B70" s="4" t="inlineStr">
        <is>
          <t>US-011-004</t>
        </is>
      </c>
      <c r="C70" s="4" t="n">
        <v>4</v>
      </c>
      <c r="D70" s="4">
        <f>COUNTIF('Acceptance Criteria'!B:B,B70)</f>
        <v/>
      </c>
      <c r="E70" s="4">
        <f>VLOOKUP(B70,'User Stories'!A:L,12,FALSE)</f>
        <v/>
      </c>
      <c r="F70" s="4">
        <f>COUNTIFS('Acceptance Criteria'!B:B,B70,'Acceptance Criteria'!F:F,"&lt;&gt;Not Tested")</f>
        <v/>
      </c>
      <c r="G70" s="4">
        <f>COUNTIFS('Acceptance Criteria'!B:B,B70,'Acceptance Criteria'!F:F,"Pass")</f>
        <v/>
      </c>
      <c r="H70" s="4">
        <f>COUNTIFS('Acceptance Criteria'!B:B,B70,'Acceptance Criteria'!F:F,"Fail")</f>
        <v/>
      </c>
      <c r="I70" s="4">
        <f>IF(C70=D70,"Linked","Mismatch")</f>
        <v/>
      </c>
      <c r="J70" s="5">
        <f>IF(C70=0,0,G70/C70)</f>
        <v/>
      </c>
    </row>
    <row r="71">
      <c r="A71" s="4" t="inlineStr">
        <is>
          <t>EP-012</t>
        </is>
      </c>
      <c r="B71" s="4" t="inlineStr">
        <is>
          <t>US-012-001</t>
        </is>
      </c>
      <c r="C71" s="4" t="n">
        <v>4</v>
      </c>
      <c r="D71" s="4">
        <f>COUNTIF('Acceptance Criteria'!B:B,B71)</f>
        <v/>
      </c>
      <c r="E71" s="4">
        <f>VLOOKUP(B71,'User Stories'!A:L,12,FALSE)</f>
        <v/>
      </c>
      <c r="F71" s="4">
        <f>COUNTIFS('Acceptance Criteria'!B:B,B71,'Acceptance Criteria'!F:F,"&lt;&gt;Not Tested")</f>
        <v/>
      </c>
      <c r="G71" s="4">
        <f>COUNTIFS('Acceptance Criteria'!B:B,B71,'Acceptance Criteria'!F:F,"Pass")</f>
        <v/>
      </c>
      <c r="H71" s="4">
        <f>COUNTIFS('Acceptance Criteria'!B:B,B71,'Acceptance Criteria'!F:F,"Fail")</f>
        <v/>
      </c>
      <c r="I71" s="4">
        <f>IF(C71=D71,"Linked","Mismatch")</f>
        <v/>
      </c>
      <c r="J71" s="5">
        <f>IF(C71=0,0,G71/C71)</f>
        <v/>
      </c>
    </row>
    <row r="72">
      <c r="A72" s="4" t="inlineStr">
        <is>
          <t>EP-012</t>
        </is>
      </c>
      <c r="B72" s="4" t="inlineStr">
        <is>
          <t>US-012-002</t>
        </is>
      </c>
      <c r="C72" s="4" t="n">
        <v>4</v>
      </c>
      <c r="D72" s="4">
        <f>COUNTIF('Acceptance Criteria'!B:B,B72)</f>
        <v/>
      </c>
      <c r="E72" s="4">
        <f>VLOOKUP(B72,'User Stories'!A:L,12,FALSE)</f>
        <v/>
      </c>
      <c r="F72" s="4">
        <f>COUNTIFS('Acceptance Criteria'!B:B,B72,'Acceptance Criteria'!F:F,"&lt;&gt;Not Tested")</f>
        <v/>
      </c>
      <c r="G72" s="4">
        <f>COUNTIFS('Acceptance Criteria'!B:B,B72,'Acceptance Criteria'!F:F,"Pass")</f>
        <v/>
      </c>
      <c r="H72" s="4">
        <f>COUNTIFS('Acceptance Criteria'!B:B,B72,'Acceptance Criteria'!F:F,"Fail")</f>
        <v/>
      </c>
      <c r="I72" s="4">
        <f>IF(C72=D72,"Linked","Mismatch")</f>
        <v/>
      </c>
      <c r="J72" s="5">
        <f>IF(C72=0,0,G72/C72)</f>
        <v/>
      </c>
    </row>
    <row r="73">
      <c r="A73" s="4" t="inlineStr">
        <is>
          <t>EP-012</t>
        </is>
      </c>
      <c r="B73" s="4" t="inlineStr">
        <is>
          <t>US-012-003</t>
        </is>
      </c>
      <c r="C73" s="4" t="n">
        <v>4</v>
      </c>
      <c r="D73" s="4">
        <f>COUNTIF('Acceptance Criteria'!B:B,B73)</f>
        <v/>
      </c>
      <c r="E73" s="4">
        <f>VLOOKUP(B73,'User Stories'!A:L,12,FALSE)</f>
        <v/>
      </c>
      <c r="F73" s="4">
        <f>COUNTIFS('Acceptance Criteria'!B:B,B73,'Acceptance Criteria'!F:F,"&lt;&gt;Not Tested")</f>
        <v/>
      </c>
      <c r="G73" s="4">
        <f>COUNTIFS('Acceptance Criteria'!B:B,B73,'Acceptance Criteria'!F:F,"Pass")</f>
        <v/>
      </c>
      <c r="H73" s="4">
        <f>COUNTIFS('Acceptance Criteria'!B:B,B73,'Acceptance Criteria'!F:F,"Fail")</f>
        <v/>
      </c>
      <c r="I73" s="4">
        <f>IF(C73=D73,"Linked","Mismatch")</f>
        <v/>
      </c>
      <c r="J73" s="5">
        <f>IF(C73=0,0,G73/C73)</f>
        <v/>
      </c>
    </row>
    <row r="74">
      <c r="A74" s="4" t="inlineStr">
        <is>
          <t>EP-012</t>
        </is>
      </c>
      <c r="B74" s="4" t="inlineStr">
        <is>
          <t>US-012-004</t>
        </is>
      </c>
      <c r="C74" s="4" t="n">
        <v>4</v>
      </c>
      <c r="D74" s="4">
        <f>COUNTIF('Acceptance Criteria'!B:B,B74)</f>
        <v/>
      </c>
      <c r="E74" s="4">
        <f>VLOOKUP(B74,'User Stories'!A:L,12,FALSE)</f>
        <v/>
      </c>
      <c r="F74" s="4">
        <f>COUNTIFS('Acceptance Criteria'!B:B,B74,'Acceptance Criteria'!F:F,"&lt;&gt;Not Tested")</f>
        <v/>
      </c>
      <c r="G74" s="4">
        <f>COUNTIFS('Acceptance Criteria'!B:B,B74,'Acceptance Criteria'!F:F,"Pass")</f>
        <v/>
      </c>
      <c r="H74" s="4">
        <f>COUNTIFS('Acceptance Criteria'!B:B,B74,'Acceptance Criteria'!F:F,"Fail")</f>
        <v/>
      </c>
      <c r="I74" s="4">
        <f>IF(C74=D74,"Linked","Mismatch")</f>
        <v/>
      </c>
      <c r="J74" s="5">
        <f>IF(C74=0,0,G74/C74)</f>
        <v/>
      </c>
    </row>
    <row r="75">
      <c r="A75" s="4" t="inlineStr">
        <is>
          <t>EP-012</t>
        </is>
      </c>
      <c r="B75" s="4" t="inlineStr">
        <is>
          <t>US-012-005</t>
        </is>
      </c>
      <c r="C75" s="4" t="n">
        <v>4</v>
      </c>
      <c r="D75" s="4">
        <f>COUNTIF('Acceptance Criteria'!B:B,B75)</f>
        <v/>
      </c>
      <c r="E75" s="4">
        <f>VLOOKUP(B75,'User Stories'!A:L,12,FALSE)</f>
        <v/>
      </c>
      <c r="F75" s="4">
        <f>COUNTIFS('Acceptance Criteria'!B:B,B75,'Acceptance Criteria'!F:F,"&lt;&gt;Not Tested")</f>
        <v/>
      </c>
      <c r="G75" s="4">
        <f>COUNTIFS('Acceptance Criteria'!B:B,B75,'Acceptance Criteria'!F:F,"Pass")</f>
        <v/>
      </c>
      <c r="H75" s="4">
        <f>COUNTIFS('Acceptance Criteria'!B:B,B75,'Acceptance Criteria'!F:F,"Fail")</f>
        <v/>
      </c>
      <c r="I75" s="4">
        <f>IF(C75=D75,"Linked","Mismatch")</f>
        <v/>
      </c>
      <c r="J75" s="5">
        <f>IF(C75=0,0,G75/C75)</f>
        <v/>
      </c>
    </row>
    <row r="76">
      <c r="A76" s="4" t="inlineStr">
        <is>
          <t>EP-012</t>
        </is>
      </c>
      <c r="B76" s="4" t="inlineStr">
        <is>
          <t>US-012-006</t>
        </is>
      </c>
      <c r="C76" s="4" t="n">
        <v>4</v>
      </c>
      <c r="D76" s="4">
        <f>COUNTIF('Acceptance Criteria'!B:B,B76)</f>
        <v/>
      </c>
      <c r="E76" s="4">
        <f>VLOOKUP(B76,'User Stories'!A:L,12,FALSE)</f>
        <v/>
      </c>
      <c r="F76" s="4">
        <f>COUNTIFS('Acceptance Criteria'!B:B,B76,'Acceptance Criteria'!F:F,"&lt;&gt;Not Tested")</f>
        <v/>
      </c>
      <c r="G76" s="4">
        <f>COUNTIFS('Acceptance Criteria'!B:B,B76,'Acceptance Criteria'!F:F,"Pass")</f>
        <v/>
      </c>
      <c r="H76" s="4">
        <f>COUNTIFS('Acceptance Criteria'!B:B,B76,'Acceptance Criteria'!F:F,"Fail")</f>
        <v/>
      </c>
      <c r="I76" s="4">
        <f>IF(C76=D76,"Linked","Mismatch")</f>
        <v/>
      </c>
      <c r="J76" s="5">
        <f>IF(C76=0,0,G76/C76)</f>
        <v/>
      </c>
    </row>
  </sheetData>
  <conditionalFormatting sqref="I2:I76">
    <cfRule type="expression" priority="1" dxfId="13">
      <formula>I2="Linked"</formula>
    </cfRule>
    <cfRule type="expression" priority="2" dxfId="12">
      <formula>I2="Mismatch"</formula>
    </cfRule>
  </conditionalFormatting>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I8"/>
  <sheetViews>
    <sheetView workbookViewId="0">
      <selection activeCell="A1" sqref="A1"/>
    </sheetView>
  </sheetViews>
  <sheetFormatPr baseColWidth="8" defaultRowHeight="13.8"/>
  <cols>
    <col width="14" customWidth="1" min="1" max="1"/>
    <col width="34" customWidth="1" min="2" max="2"/>
    <col width="14" customWidth="1" min="3" max="4"/>
    <col width="62" customWidth="1" min="5" max="5"/>
    <col width="16" customWidth="1" min="6" max="7"/>
    <col width="32" customWidth="1" min="8" max="8"/>
    <col width="28" customWidth="1" min="9" max="9"/>
  </cols>
  <sheetData>
    <row r="1" ht="24" customHeight="1">
      <c r="A1" s="2" t="inlineStr">
        <is>
          <t>Risk ID</t>
        </is>
      </c>
      <c r="B1" s="2" t="inlineStr">
        <is>
          <t>Risk</t>
        </is>
      </c>
      <c r="C1" s="2" t="inlineStr">
        <is>
          <t>Impact</t>
        </is>
      </c>
      <c r="D1" s="2" t="inlineStr">
        <is>
          <t>Likelihood</t>
        </is>
      </c>
      <c r="E1" s="2" t="inlineStr">
        <is>
          <t>Mitigation</t>
        </is>
      </c>
      <c r="F1" s="2" t="inlineStr">
        <is>
          <t>Owner</t>
        </is>
      </c>
      <c r="G1" s="2" t="inlineStr">
        <is>
          <t>Status</t>
        </is>
      </c>
      <c r="H1" s="2" t="inlineStr">
        <is>
          <t>Decision / Dependency</t>
        </is>
      </c>
      <c r="I1" s="2" t="inlineStr">
        <is>
          <t>Notes</t>
        </is>
      </c>
    </row>
    <row r="2" ht="82.8" customHeight="1">
      <c r="A2" s="4" t="inlineStr">
        <is>
          <t>RISK-001</t>
        </is>
      </c>
      <c r="B2" s="4" t="inlineStr">
        <is>
          <t>Timer/attendance race conditions</t>
        </is>
      </c>
      <c r="C2" s="4" t="inlineStr">
        <is>
          <t>High</t>
        </is>
      </c>
      <c r="D2" s="4" t="inlineStr">
        <is>
          <t>Medium</t>
        </is>
      </c>
      <c r="E2" s="4" t="inlineStr">
        <is>
          <t>Use database constraints, transactions and idempotent endpoints for active clock/timer operations.</t>
        </is>
      </c>
      <c r="F2" s="4" t="inlineStr">
        <is>
          <t>Claude (AI Engineer)</t>
        </is>
      </c>
      <c r="G2" s="4" t="inlineStr">
        <is>
          <t>Mitigating</t>
        </is>
      </c>
      <c r="H2" s="4" t="n"/>
      <c r="I2" s="4" t="inlineStr">
        <is>
          <t>Postgres partial unique indexes enforce one active attendance session and one active task timer per user at the DB level, not just in application code; verified by e2e tests.</t>
        </is>
      </c>
    </row>
    <row r="3" ht="138" customHeight="1">
      <c r="A3" s="4" t="inlineStr">
        <is>
          <t>RISK-002</t>
        </is>
      </c>
      <c r="B3" s="4" t="inlineStr">
        <is>
          <t>Users forget to stop timers</t>
        </is>
      </c>
      <c r="C3" s="4" t="inlineStr">
        <is>
          <t>Medium</t>
        </is>
      </c>
      <c r="D3" s="4" t="inlineStr">
        <is>
          <t>High</t>
        </is>
      </c>
      <c r="E3" s="4" t="inlineStr">
        <is>
          <t>Long-running timer reminders, daily reconciliation and correction workflow.</t>
        </is>
      </c>
      <c r="F3" s="4" t="inlineStr">
        <is>
          <t>Claude (AI Engineer)</t>
        </is>
      </c>
      <c r="G3" s="4" t="inlineStr">
        <is>
          <t>Mitigating</t>
        </is>
      </c>
      <c r="H3" s="4" t="n"/>
      <c r="I3" s="4" t="inlineStr">
        <is>
          <t>EP-011's long-running-timer reminder (configurable threshold + cooldown) and missing-clock-out reminder now exist and are live in production - the exact mitigation this risk called for. Kept at Mitigating rather than Closed since a reminder reduces but doesn't eliminate the chance of a forgotten timer/clock-out.</t>
        </is>
      </c>
    </row>
    <row r="4" ht="55.2" customHeight="1">
      <c r="A4" s="4" t="inlineStr">
        <is>
          <t>RISK-003</t>
        </is>
      </c>
      <c r="B4" s="4" t="inlineStr">
        <is>
          <t>Browser/client clock manipulation</t>
        </is>
      </c>
      <c r="C4" s="4" t="inlineStr">
        <is>
          <t>High</t>
        </is>
      </c>
      <c r="D4" s="4" t="inlineStr">
        <is>
          <t>Medium</t>
        </is>
      </c>
      <c r="E4" s="4" t="inlineStr">
        <is>
          <t>Use server timestamps for official records; browser only displays derived elapsed time.</t>
        </is>
      </c>
      <c r="F4" s="4" t="inlineStr">
        <is>
          <t>Claude (AI Engineer)</t>
        </is>
      </c>
      <c r="G4" s="4" t="inlineStr">
        <is>
          <t>Mitigating</t>
        </is>
      </c>
      <c r="H4" s="4" t="n"/>
      <c r="I4" s="4" t="inlineStr">
        <is>
          <t>All official clock/timer timestamps are generated server-side; the browser only ever displays a derived elapsed time.</t>
        </is>
      </c>
    </row>
    <row r="5" ht="27.6" customHeight="1">
      <c r="A5" s="4" t="inlineStr">
        <is>
          <t>RISK-004</t>
        </is>
      </c>
      <c r="B5" s="4" t="inlineStr">
        <is>
          <t>Over-scoping into HR/project management</t>
        </is>
      </c>
      <c r="C5" s="4" t="inlineStr">
        <is>
          <t>High</t>
        </is>
      </c>
      <c r="D5" s="4" t="inlineStr">
        <is>
          <t>Medium</t>
        </is>
      </c>
      <c r="E5" s="4" t="inlineStr">
        <is>
          <t>Keep MVP limited to registration, attendance, breaks, task list, task timer, admin and reporting.</t>
        </is>
      </c>
      <c r="F5" s="4" t="inlineStr">
        <is>
          <t>Claude (AI Engineer)</t>
        </is>
      </c>
      <c r="G5" s="4" t="inlineStr">
        <is>
          <t>Open</t>
        </is>
      </c>
      <c r="H5" s="4" t="n"/>
      <c r="I5" s="4" t="n"/>
    </row>
    <row r="6" ht="69" customHeight="1">
      <c r="A6" s="4" t="inlineStr">
        <is>
          <t>RISK-005</t>
        </is>
      </c>
      <c r="B6" s="4" t="inlineStr">
        <is>
          <t>Audit trail weakened by direct edits</t>
        </is>
      </c>
      <c r="C6" s="4" t="inlineStr">
        <is>
          <t>High</t>
        </is>
      </c>
      <c r="D6" s="4" t="inlineStr">
        <is>
          <t>Low</t>
        </is>
      </c>
      <c r="E6" s="4" t="inlineStr">
        <is>
          <t>Corrections preserve originals and require reason/actor/time.</t>
        </is>
      </c>
      <c r="F6" s="4" t="inlineStr">
        <is>
          <t>Claude (AI Engineer)</t>
        </is>
      </c>
      <c r="G6" s="4" t="inlineStr">
        <is>
          <t>Mitigating</t>
        </is>
      </c>
      <c r="H6" s="4" t="n"/>
      <c r="I6" s="4" t="inlineStr">
        <is>
          <t>Corrections never overwrite the live record until approved, and every correction/direct-edit is captured in the audit log with before/after values.</t>
        </is>
      </c>
    </row>
    <row r="7" ht="27.6" customHeight="1">
      <c r="A7" s="4" t="inlineStr">
        <is>
          <t>RISK-006</t>
        </is>
      </c>
      <c r="B7" s="4" t="inlineStr">
        <is>
          <t>Sensitive workforce data exposure</t>
        </is>
      </c>
      <c r="C7" s="4" t="inlineStr">
        <is>
          <t>High</t>
        </is>
      </c>
      <c r="D7" s="4" t="inlineStr">
        <is>
          <t>Low</t>
        </is>
      </c>
      <c r="E7" s="4" t="inlineStr">
        <is>
          <t>RBAC, HTTPS, secure sessions, least privilege and privacy-conscious logging.</t>
        </is>
      </c>
      <c r="F7" s="4" t="inlineStr">
        <is>
          <t>Claude (AI Engineer)</t>
        </is>
      </c>
      <c r="G7" s="4" t="inlineStr">
        <is>
          <t>Open</t>
        </is>
      </c>
      <c r="H7" s="4" t="n"/>
      <c r="I7" s="4" t="n"/>
    </row>
    <row r="8">
      <c r="A8" t="inlineStr">
        <is>
          <t>RISK-007</t>
        </is>
      </c>
      <c r="B8" t="inlineStr">
        <is>
          <t>Write-path API latency under a synchronized concurrent burst (e.g. real shift-start rush)</t>
        </is>
      </c>
      <c r="C8" t="inlineStr">
        <is>
          <t>Low</t>
        </is>
      </c>
      <c r="D8" t="inlineStr">
        <is>
          <t>Medium</t>
        </is>
      </c>
      <c r="E8" t="inlineStr">
        <is>
          <t>Increase Container App CPU/memory allocation; move Postgres off Burstable (Standard_B1ms) to a General Purpose tier before onboarding a real multi-employee organisation.</t>
        </is>
      </c>
      <c r="F8" t="inlineStr">
        <is>
          <t>Claude (AI Engineer)</t>
        </is>
      </c>
      <c r="G8" t="inlineStr">
        <is>
          <t>Mitigating</t>
        </is>
      </c>
      <c r="I8" t="inlineStr">
        <is>
          <t>Initial test (2026-09-08) found clock-in and task-creation exceeding p95&lt;500ms under a 12-concurrent lockstep write test; infra bumped (API 1.0 vCPU, Postgres B2s) which helped substantially but did not fully close the gap. A follow-up isolated-endpoint test the same day found all 4 write endpoints actually pass p95&lt;500ms once measured without the lockstep test-harness artifact (all 12 workers hitting clock-in/task-create as their synchronized first two steps). Corrected conclusion: current infra is sufficient for the defined reference load. Kept open at Low/Mitigating rather than closed, since a genuine synchronized shift-start rush is a real scenario worth re-testing once a real organisation is onboarded. Full detail in docs/PERFORMANCE.md.</t>
        </is>
      </c>
    </row>
  </sheetData>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F4"/>
  <sheetViews>
    <sheetView workbookViewId="0">
      <selection activeCell="A1" sqref="A1"/>
    </sheetView>
  </sheetViews>
  <sheetFormatPr baseColWidth="8" defaultRowHeight="13.8"/>
  <cols>
    <col width="12" customWidth="1" min="1" max="1"/>
    <col width="38" customWidth="1" min="2" max="2"/>
    <col width="52" customWidth="1" min="3" max="3"/>
    <col width="46" customWidth="1" min="4" max="4"/>
    <col width="52" customWidth="1" min="5" max="5"/>
    <col width="16" customWidth="1" min="6" max="6"/>
  </cols>
  <sheetData>
    <row r="1" ht="24" customHeight="1">
      <c r="A1" s="2" t="inlineStr">
        <is>
          <t>Release</t>
        </is>
      </c>
      <c r="B1" s="2" t="inlineStr">
        <is>
          <t>Goal</t>
        </is>
      </c>
      <c r="C1" s="2" t="inlineStr">
        <is>
          <t>Epic Scope</t>
        </is>
      </c>
      <c r="D1" s="2" t="inlineStr">
        <is>
          <t>Entry Gate</t>
        </is>
      </c>
      <c r="E1" s="2" t="inlineStr">
        <is>
          <t>Exit Gate</t>
        </is>
      </c>
      <c r="F1" s="2" t="inlineStr">
        <is>
          <t>Status</t>
        </is>
      </c>
    </row>
    <row r="2" ht="27.6" customHeight="1">
      <c r="A2" s="4" t="inlineStr">
        <is>
          <t>MVP</t>
        </is>
      </c>
      <c r="B2" s="4" t="inlineStr">
        <is>
          <t>Deliver usable production baseline</t>
        </is>
      </c>
      <c r="C2" s="4" t="inlineStr">
        <is>
          <t>EP-001 to EP-010 and EP-012</t>
        </is>
      </c>
      <c r="D2" s="4" t="inlineStr">
        <is>
          <t>SRS approved; schema/UX/security baseline ready</t>
        </is>
      </c>
      <c r="E2" s="4" t="inlineStr">
        <is>
          <t>MVP stories accepted; security, concurrency, backup and deployment gates passed</t>
        </is>
      </c>
      <c r="F2" s="4" t="inlineStr">
        <is>
          <t>In Progress</t>
        </is>
      </c>
    </row>
    <row r="3" ht="27.6" customHeight="1">
      <c r="A3" s="4" t="inlineStr">
        <is>
          <t>R1</t>
        </is>
      </c>
      <c r="B3" s="4" t="inlineStr">
        <is>
          <t>Add reminders and production-led refinements</t>
        </is>
      </c>
      <c r="C3" s="4" t="inlineStr">
        <is>
          <t>EP-011 + approved carry-over improvements</t>
        </is>
      </c>
      <c r="D3" s="4" t="inlineStr">
        <is>
          <t>MVP stable with production telemetry</t>
        </is>
      </c>
      <c r="E3" s="4" t="inlineStr">
        <is>
          <t>R1 AC passed and no blocking regression</t>
        </is>
      </c>
      <c r="F3" s="4" t="inlineStr">
        <is>
          <t>Not Started</t>
        </is>
      </c>
    </row>
    <row r="4" ht="27.6" customHeight="1">
      <c r="A4" s="4" t="inlineStr">
        <is>
          <t>Later</t>
        </is>
      </c>
      <c r="B4" s="4" t="inlineStr">
        <is>
          <t>Evidence-driven expansion only</t>
        </is>
      </c>
      <c r="C4" s="4" t="inlineStr">
        <is>
          <t>Native mobile / SSO / richer live updates / external integrations if justified</t>
        </is>
      </c>
      <c r="D4" s="4" t="inlineStr">
        <is>
          <t>Business case and production evidence</t>
        </is>
      </c>
      <c r="E4" s="4" t="inlineStr">
        <is>
          <t>Feature-specific readiness criteria</t>
        </is>
      </c>
      <c r="F4" s="4" t="inlineStr">
        <is>
          <t>Planned</t>
        </is>
      </c>
    </row>
  </sheetData>
  <dataValidations count="1">
    <dataValidation sqref="F2:F4" showDropDown="0" showInputMessage="0" showErrorMessage="0" allowBlank="0" type="list">
      <formula1>"Planned,In Progress,Ready,Released"</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H18"/>
  <sheetViews>
    <sheetView workbookViewId="0">
      <selection activeCell="A1" sqref="A1"/>
    </sheetView>
  </sheetViews>
  <sheetFormatPr baseColWidth="8" defaultRowHeight="13.8"/>
  <cols>
    <col width="26" customWidth="1" min="1" max="1"/>
    <col width="15" customWidth="1" min="2" max="2"/>
    <col width="20" customWidth="1" min="4" max="4"/>
    <col width="12" customWidth="1" min="5" max="5"/>
    <col width="14" customWidth="1" min="7" max="7"/>
    <col width="12" customWidth="1" min="8" max="8"/>
  </cols>
  <sheetData>
    <row r="1" ht="21" customHeight="1">
      <c r="A1" s="7" t="inlineStr">
        <is>
          <t>Attendance &amp; Task Management - Delivery Dashboard</t>
        </is>
      </c>
    </row>
    <row r="3" ht="24" customHeight="1">
      <c r="A3" s="2" t="inlineStr">
        <is>
          <t>Baseline Metric</t>
        </is>
      </c>
      <c r="B3" s="2" t="inlineStr">
        <is>
          <t>Value</t>
        </is>
      </c>
      <c r="D3" s="2" t="inlineStr">
        <is>
          <t>Story Status</t>
        </is>
      </c>
      <c r="E3" s="2" t="inlineStr">
        <is>
          <t>Count</t>
        </is>
      </c>
      <c r="G3" s="2" t="inlineStr">
        <is>
          <t>Release</t>
        </is>
      </c>
      <c r="H3" s="2" t="inlineStr">
        <is>
          <t>Stories</t>
        </is>
      </c>
    </row>
    <row r="4">
      <c r="A4" s="4" t="inlineStr">
        <is>
          <t>Epics</t>
        </is>
      </c>
      <c r="B4" s="4" t="n">
        <v>12</v>
      </c>
      <c r="D4" s="4" t="inlineStr">
        <is>
          <t>Not Started</t>
        </is>
      </c>
      <c r="E4" s="4">
        <f>COUNTIF('User Stories'!L:L,"Not Started")</f>
        <v/>
      </c>
      <c r="G4" s="4" t="inlineStr">
        <is>
          <t>MVP</t>
        </is>
      </c>
      <c r="H4" s="4">
        <f>COUNTIF('User Stories'!J:J,"MVP")</f>
        <v/>
      </c>
    </row>
    <row r="5">
      <c r="A5" s="4" t="inlineStr">
        <is>
          <t>User Stories</t>
        </is>
      </c>
      <c r="B5" s="4" t="n">
        <v>75</v>
      </c>
      <c r="D5" s="4" t="inlineStr">
        <is>
          <t>In Progress</t>
        </is>
      </c>
      <c r="E5" s="4">
        <f>COUNTIF('User Stories'!L:L,"In Progress")</f>
        <v/>
      </c>
      <c r="G5" s="4" t="inlineStr">
        <is>
          <t>R1</t>
        </is>
      </c>
      <c r="H5" s="4">
        <f>COUNTIF('User Stories'!J:J,"R1")</f>
        <v/>
      </c>
    </row>
    <row r="6">
      <c r="A6" s="4" t="inlineStr">
        <is>
          <t>Acceptance Criteria</t>
        </is>
      </c>
      <c r="B6" s="4" t="n">
        <v>300</v>
      </c>
      <c r="D6" s="4" t="inlineStr">
        <is>
          <t>In Review</t>
        </is>
      </c>
      <c r="E6" s="4">
        <f>COUNTIF('User Stories'!L:L,"In Review")</f>
        <v/>
      </c>
      <c r="G6" s="4" t="inlineStr">
        <is>
          <t>Later</t>
        </is>
      </c>
      <c r="H6" s="4">
        <f>COUNTIF('User Stories'!J:J,"Later")</f>
        <v/>
      </c>
    </row>
    <row r="7">
      <c r="A7" s="4" t="inlineStr">
        <is>
          <t>NFRs</t>
        </is>
      </c>
      <c r="B7" s="4" t="n">
        <v>16</v>
      </c>
      <c r="D7" s="4" t="inlineStr">
        <is>
          <t>Blocked</t>
        </is>
      </c>
      <c r="E7" s="4">
        <f>COUNTIF('User Stories'!L:L,"Blocked")</f>
        <v/>
      </c>
    </row>
    <row r="8">
      <c r="A8" s="4" t="inlineStr">
        <is>
          <t>Business Rules</t>
        </is>
      </c>
      <c r="B8" s="4" t="n">
        <v>14</v>
      </c>
      <c r="D8" s="4" t="inlineStr">
        <is>
          <t>Done</t>
        </is>
      </c>
      <c r="E8" s="4">
        <f>COUNTIF('User Stories'!L:L,"Done")</f>
        <v/>
      </c>
    </row>
    <row r="9">
      <c r="A9" s="4" t="inlineStr">
        <is>
          <t>Screens</t>
        </is>
      </c>
      <c r="B9" s="4" t="n">
        <v>20</v>
      </c>
      <c r="D9" s="4" t="inlineStr">
        <is>
          <t>Deferred</t>
        </is>
      </c>
      <c r="E9" s="4">
        <f>COUNTIF('User Stories'!L:L,"Deferred")</f>
        <v/>
      </c>
    </row>
    <row r="12" ht="24" customHeight="1">
      <c r="A12" s="2" t="inlineStr">
        <is>
          <t>Quality / Delivery KPI</t>
        </is>
      </c>
      <c r="B12" s="2" t="inlineStr">
        <is>
          <t>Value</t>
        </is>
      </c>
    </row>
    <row r="13">
      <c r="A13" s="4" t="inlineStr">
        <is>
          <t>Stories Done %</t>
        </is>
      </c>
      <c r="B13" s="6">
        <f>IFERROR(COUNTIF('User Stories'!L:L,"Done")/(COUNTA('User Stories'!A:A)-1),0)</f>
        <v/>
      </c>
    </row>
    <row r="14">
      <c r="A14" s="4" t="inlineStr">
        <is>
          <t>AC Pass %</t>
        </is>
      </c>
      <c r="B14" s="6">
        <f>IFERROR(COUNTIF('Acceptance Criteria'!F:F,"Pass")/(COUNTA('Acceptance Criteria'!A:A)-1),0)</f>
        <v/>
      </c>
    </row>
    <row r="15">
      <c r="A15" s="4" t="inlineStr">
        <is>
          <t>AC Failed</t>
        </is>
      </c>
      <c r="B15" s="4">
        <f>COUNTIF('Acceptance Criteria'!F:F,"Fail")</f>
        <v/>
      </c>
    </row>
    <row r="16">
      <c r="A16" s="4" t="inlineStr">
        <is>
          <t>Blocked Stories</t>
        </is>
      </c>
      <c r="B16" s="4">
        <f>COUNTIF('User Stories'!L:L,"Blocked")</f>
        <v/>
      </c>
    </row>
    <row r="17">
      <c r="A17" s="4" t="inlineStr">
        <is>
          <t>Traceability Coverage</t>
        </is>
      </c>
      <c r="B17" s="6">
        <f>IFERROR(COUNTIF(Traceability!I:I,"Linked")/(COUNTA(Traceability!B:B)-1),0)</f>
        <v/>
      </c>
    </row>
    <row r="18">
      <c r="A18" s="4" t="inlineStr">
        <is>
          <t>Open Risks</t>
        </is>
      </c>
      <c r="B18" s="4">
        <f>COUNTIF('Risks &amp; Decisions'!G:G,"Open")</f>
        <v/>
      </c>
    </row>
  </sheetData>
  <mergeCells count="1">
    <mergeCell ref="A1:H1"/>
  </mergeCells>
  <pageMargins left="0.7" right="0.7" top="0.75" bottom="0.75" header="0.3" footer="0.3"/>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2026-09-07T16:47:18Z</dcterms:created>
  <dcterms:modified xmlns:dcterms="http://purl.org/dc/terms/" xmlns:xsi="http://www.w3.org/2001/XMLSchema-instance" xsi:type="dcterms:W3CDTF">2026-09-09T21:13:58Z</dcterms:modified>
  <cp:lastModifiedBy>AMAAN FAIZ</cp:lastModifiedBy>
</cp:coreProperties>
</file>