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7EB86726DE925F8D1A6A3864F140629EE35F1C20"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J71" i="8"/>
  <c r="H71" i="8"/>
  <c r="G71" i="8"/>
  <c r="F71" i="8"/>
  <c r="E71" i="8"/>
  <c r="D71" i="8"/>
  <c r="I71" i="8" s="1"/>
  <c r="H70" i="8"/>
  <c r="G70" i="8"/>
  <c r="J70" i="8" s="1"/>
  <c r="F70" i="8"/>
  <c r="E70" i="8"/>
  <c r="D70" i="8"/>
  <c r="I70" i="8" s="1"/>
  <c r="H69" i="8"/>
  <c r="G69" i="8"/>
  <c r="J69" i="8" s="1"/>
  <c r="F69" i="8"/>
  <c r="E69" i="8"/>
  <c r="D69" i="8"/>
  <c r="I69" i="8" s="1"/>
  <c r="H68" i="8"/>
  <c r="G68" i="8"/>
  <c r="J68" i="8" s="1"/>
  <c r="F68" i="8"/>
  <c r="E68" i="8"/>
  <c r="D68" i="8"/>
  <c r="I68" i="8" s="1"/>
  <c r="I67" i="8"/>
  <c r="H67" i="8"/>
  <c r="G67" i="8"/>
  <c r="J67" i="8" s="1"/>
  <c r="F67" i="8"/>
  <c r="E67" i="8"/>
  <c r="D67" i="8"/>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J60" i="8"/>
  <c r="I60" i="8"/>
  <c r="H60" i="8"/>
  <c r="G60" i="8"/>
  <c r="F60" i="8"/>
  <c r="E60" i="8"/>
  <c r="D60" i="8"/>
  <c r="I59" i="8"/>
  <c r="H59" i="8"/>
  <c r="G59" i="8"/>
  <c r="J59" i="8" s="1"/>
  <c r="F59" i="8"/>
  <c r="E59" i="8"/>
  <c r="D59" i="8"/>
  <c r="H58" i="8"/>
  <c r="G58" i="8"/>
  <c r="J58" i="8" s="1"/>
  <c r="F58" i="8"/>
  <c r="E58" i="8"/>
  <c r="D58" i="8"/>
  <c r="I58" i="8" s="1"/>
  <c r="H57" i="8"/>
  <c r="G57" i="8"/>
  <c r="J57" i="8" s="1"/>
  <c r="F57" i="8"/>
  <c r="E57" i="8"/>
  <c r="D57" i="8"/>
  <c r="I57" i="8" s="1"/>
  <c r="H56" i="8"/>
  <c r="G56" i="8"/>
  <c r="J56" i="8" s="1"/>
  <c r="F56" i="8"/>
  <c r="E56" i="8"/>
  <c r="D56" i="8"/>
  <c r="I56" i="8" s="1"/>
  <c r="J55" i="8"/>
  <c r="H55" i="8"/>
  <c r="G55" i="8"/>
  <c r="F55" i="8"/>
  <c r="E55" i="8"/>
  <c r="D55" i="8"/>
  <c r="I55" i="8" s="1"/>
  <c r="H54" i="8"/>
  <c r="G54" i="8"/>
  <c r="J54" i="8" s="1"/>
  <c r="F54" i="8"/>
  <c r="E54" i="8"/>
  <c r="D54" i="8"/>
  <c r="I54" i="8" s="1"/>
  <c r="J53" i="8"/>
  <c r="I53" i="8"/>
  <c r="H53" i="8"/>
  <c r="G53" i="8"/>
  <c r="F53" i="8"/>
  <c r="E53" i="8"/>
  <c r="D53" i="8"/>
  <c r="I52" i="8"/>
  <c r="H52" i="8"/>
  <c r="G52" i="8"/>
  <c r="J52" i="8" s="1"/>
  <c r="F52" i="8"/>
  <c r="E52" i="8"/>
  <c r="D52" i="8"/>
  <c r="I51" i="8"/>
  <c r="H51" i="8"/>
  <c r="G51" i="8"/>
  <c r="J51" i="8" s="1"/>
  <c r="F51" i="8"/>
  <c r="E51" i="8"/>
  <c r="D51" i="8"/>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J46" i="8"/>
  <c r="H46" i="8"/>
  <c r="G46" i="8"/>
  <c r="F46" i="8"/>
  <c r="E46" i="8"/>
  <c r="D46" i="8"/>
  <c r="I46" i="8" s="1"/>
  <c r="I45" i="8"/>
  <c r="H45" i="8"/>
  <c r="G45" i="8"/>
  <c r="J45" i="8" s="1"/>
  <c r="F45" i="8"/>
  <c r="E45" i="8"/>
  <c r="D45" i="8"/>
  <c r="J44" i="8"/>
  <c r="H44" i="8"/>
  <c r="G44" i="8"/>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J39" i="8"/>
  <c r="H39" i="8"/>
  <c r="G39" i="8"/>
  <c r="F39" i="8"/>
  <c r="E39" i="8"/>
  <c r="D39" i="8"/>
  <c r="I39" i="8" s="1"/>
  <c r="J38" i="8"/>
  <c r="H38" i="8"/>
  <c r="G38" i="8"/>
  <c r="F38" i="8"/>
  <c r="E38" i="8"/>
  <c r="D38" i="8"/>
  <c r="I38" i="8" s="1"/>
  <c r="I37" i="8"/>
  <c r="H37" i="8"/>
  <c r="G37" i="8"/>
  <c r="J37" i="8" s="1"/>
  <c r="F37" i="8"/>
  <c r="E37" i="8"/>
  <c r="D37" i="8"/>
  <c r="J36" i="8"/>
  <c r="H36" i="8"/>
  <c r="G36" i="8"/>
  <c r="F36" i="8"/>
  <c r="E36" i="8"/>
  <c r="D36" i="8"/>
  <c r="I36" i="8" s="1"/>
  <c r="H35" i="8"/>
  <c r="G35" i="8"/>
  <c r="J35" i="8" s="1"/>
  <c r="F35" i="8"/>
  <c r="E35" i="8"/>
  <c r="D35" i="8"/>
  <c r="I35" i="8" s="1"/>
  <c r="I34" i="8"/>
  <c r="H34" i="8"/>
  <c r="G34" i="8"/>
  <c r="J34" i="8" s="1"/>
  <c r="F34" i="8"/>
  <c r="E34" i="8"/>
  <c r="D34" i="8"/>
  <c r="H33" i="8"/>
  <c r="G33" i="8"/>
  <c r="J33" i="8" s="1"/>
  <c r="F33" i="8"/>
  <c r="E33" i="8"/>
  <c r="D33" i="8"/>
  <c r="I33" i="8" s="1"/>
  <c r="H32" i="8"/>
  <c r="G32" i="8"/>
  <c r="J32" i="8" s="1"/>
  <c r="F32" i="8"/>
  <c r="E32" i="8"/>
  <c r="D32" i="8"/>
  <c r="I32" i="8" s="1"/>
  <c r="J31" i="8"/>
  <c r="H31" i="8"/>
  <c r="G31" i="8"/>
  <c r="F31" i="8"/>
  <c r="E31" i="8"/>
  <c r="D31" i="8"/>
  <c r="I31" i="8" s="1"/>
  <c r="H30" i="8"/>
  <c r="G30" i="8"/>
  <c r="J30" i="8" s="1"/>
  <c r="F30" i="8"/>
  <c r="E30" i="8"/>
  <c r="D30" i="8"/>
  <c r="I30" i="8" s="1"/>
  <c r="J29" i="8"/>
  <c r="H29" i="8"/>
  <c r="G29" i="8"/>
  <c r="F29" i="8"/>
  <c r="E29" i="8"/>
  <c r="D29" i="8"/>
  <c r="I29" i="8" s="1"/>
  <c r="H28" i="8"/>
  <c r="G28" i="8"/>
  <c r="J28" i="8" s="1"/>
  <c r="F28" i="8"/>
  <c r="E28" i="8"/>
  <c r="D28" i="8"/>
  <c r="I28" i="8" s="1"/>
  <c r="I27" i="8"/>
  <c r="H27" i="8"/>
  <c r="G27" i="8"/>
  <c r="J27" i="8" s="1"/>
  <c r="F27" i="8"/>
  <c r="E27" i="8"/>
  <c r="D27" i="8"/>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J22" i="8"/>
  <c r="H22" i="8"/>
  <c r="G22" i="8"/>
  <c r="F22" i="8"/>
  <c r="E22" i="8"/>
  <c r="D22" i="8"/>
  <c r="I22" i="8" s="1"/>
  <c r="J21" i="8"/>
  <c r="H21" i="8"/>
  <c r="G21" i="8"/>
  <c r="F21" i="8"/>
  <c r="E21" i="8"/>
  <c r="D21" i="8"/>
  <c r="I21" i="8" s="1"/>
  <c r="J20" i="8"/>
  <c r="H20" i="8"/>
  <c r="G20" i="8"/>
  <c r="F20" i="8"/>
  <c r="E20" i="8"/>
  <c r="D20" i="8"/>
  <c r="I20" i="8" s="1"/>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J14" i="8"/>
  <c r="H14" i="8"/>
  <c r="G14" i="8"/>
  <c r="F14" i="8"/>
  <c r="E14" i="8"/>
  <c r="D14" i="8"/>
  <c r="I14" i="8" s="1"/>
  <c r="H13" i="8"/>
  <c r="G13" i="8"/>
  <c r="J13" i="8" s="1"/>
  <c r="F13" i="8"/>
  <c r="E13" i="8"/>
  <c r="D13" i="8"/>
  <c r="I13" i="8" s="1"/>
  <c r="J12" i="8"/>
  <c r="H12" i="8"/>
  <c r="G12" i="8"/>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J7" i="8"/>
  <c r="H7" i="8"/>
  <c r="G7" i="8"/>
  <c r="F7" i="8"/>
  <c r="E7" i="8"/>
  <c r="D7" i="8"/>
  <c r="I7" i="8" s="1"/>
  <c r="H6" i="8"/>
  <c r="G6" i="8"/>
  <c r="J6" i="8" s="1"/>
  <c r="F6" i="8"/>
  <c r="E6" i="8"/>
  <c r="D6" i="8"/>
  <c r="I6" i="8" s="1"/>
  <c r="I5" i="8"/>
  <c r="H5" i="8"/>
  <c r="G5" i="8"/>
  <c r="J5" i="8" s="1"/>
  <c r="F5" i="8"/>
  <c r="E5" i="8"/>
  <c r="D5" i="8"/>
  <c r="H4" i="8"/>
  <c r="G4" i="8"/>
  <c r="J4" i="8" s="1"/>
  <c r="F4" i="8"/>
  <c r="E4" i="8"/>
  <c r="D4" i="8"/>
  <c r="I4" i="8" s="1"/>
  <c r="I3" i="8"/>
  <c r="H3" i="8"/>
  <c r="G3" i="8"/>
  <c r="J3" i="8" s="1"/>
  <c r="F3" i="8"/>
  <c r="E3" i="8"/>
  <c r="D3" i="8"/>
  <c r="H2" i="8"/>
  <c r="G2" i="8"/>
  <c r="J2" i="8" s="1"/>
  <c r="F2" i="8"/>
  <c r="E2" i="8"/>
  <c r="D2" i="8"/>
  <c r="I2" i="8" s="1"/>
  <c r="B17" i="11" l="1"/>
</calcChain>
</file>

<file path=xl/sharedStrings.xml><?xml version="1.0" encoding="utf-8"?>
<sst xmlns="http://schemas.openxmlformats.org/spreadsheetml/2006/main" count="4144" uniqueCount="1653">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</sst>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46BA-4096-8E62-C0D9604E175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1896-47E8-9E73-E77519A44FF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1031</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1031</v>
      </c>
      <c r="H16" t="s">
        <v>1607</v>
      </c>
      <c r="I16" t="s">
        <v>1608</v>
      </c>
    </row>
    <row r="17" spans="1:9">
      <c r="A17" t="s">
        <v>1609</v>
      </c>
      <c r="B17" t="s">
        <v>1610</v>
      </c>
      <c r="C17" t="s">
        <v>1561</v>
      </c>
      <c r="D17" t="s">
        <v>1544</v>
      </c>
      <c r="E17" t="s">
        <v>1611</v>
      </c>
      <c r="F17" t="s">
        <v>16</v>
      </c>
      <c r="G17" t="s">
        <v>1031</v>
      </c>
      <c r="H17" t="s">
        <v>1612</v>
      </c>
      <c r="I17" t="s">
        <v>1613</v>
      </c>
    </row>
    <row r="18" spans="1:9">
      <c r="A18" t="s">
        <v>1614</v>
      </c>
      <c r="B18" t="s">
        <v>1615</v>
      </c>
      <c r="C18" t="s">
        <v>1544</v>
      </c>
      <c r="D18" t="s">
        <v>1543</v>
      </c>
      <c r="E18" t="s">
        <v>1616</v>
      </c>
      <c r="F18" t="s">
        <v>16</v>
      </c>
      <c r="G18" t="s">
        <v>1031</v>
      </c>
      <c r="H18" t="s">
        <v>1617</v>
      </c>
      <c r="I18" t="s">
        <v>1618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1619</v>
      </c>
      <c r="C1" s="2" t="s">
        <v>1620</v>
      </c>
      <c r="D1" s="2" t="s">
        <v>1621</v>
      </c>
      <c r="E1" s="2" t="s">
        <v>1622</v>
      </c>
      <c r="F1" s="2" t="s">
        <v>1052</v>
      </c>
    </row>
    <row r="2" spans="1:6" ht="27.6" customHeight="1">
      <c r="A2" s="4" t="s">
        <v>1029</v>
      </c>
      <c r="B2" s="4" t="s">
        <v>1623</v>
      </c>
      <c r="C2" s="4" t="s">
        <v>1624</v>
      </c>
      <c r="D2" s="4" t="s">
        <v>1625</v>
      </c>
      <c r="E2" s="4" t="s">
        <v>1626</v>
      </c>
      <c r="F2" s="4" t="s">
        <v>1032</v>
      </c>
    </row>
    <row r="3" spans="1:6" ht="27.6" customHeight="1">
      <c r="A3" s="4" t="s">
        <v>1034</v>
      </c>
      <c r="B3" s="4" t="s">
        <v>1627</v>
      </c>
      <c r="C3" s="4" t="s">
        <v>1628</v>
      </c>
      <c r="D3" s="4" t="s">
        <v>1629</v>
      </c>
      <c r="E3" s="4" t="s">
        <v>1630</v>
      </c>
      <c r="F3" s="4" t="s">
        <v>1027</v>
      </c>
    </row>
    <row r="4" spans="1:6" ht="27.6" customHeight="1">
      <c r="A4" s="4" t="s">
        <v>1039</v>
      </c>
      <c r="B4" s="4" t="s">
        <v>1631</v>
      </c>
      <c r="C4" s="4" t="s">
        <v>1632</v>
      </c>
      <c r="D4" s="4" t="s">
        <v>1633</v>
      </c>
      <c r="E4" s="4" t="s">
        <v>1634</v>
      </c>
      <c r="F4" s="4" t="s">
        <v>1635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1636</v>
      </c>
      <c r="B1" s="8"/>
      <c r="C1" s="8"/>
      <c r="D1" s="8"/>
      <c r="E1" s="8"/>
      <c r="F1" s="8"/>
      <c r="G1" s="8"/>
      <c r="H1" s="8"/>
    </row>
    <row r="3" spans="1:8" ht="24" customHeight="1">
      <c r="A3" s="2" t="s">
        <v>1637</v>
      </c>
      <c r="B3" s="2" t="s">
        <v>1638</v>
      </c>
      <c r="D3" s="2" t="s">
        <v>1022</v>
      </c>
      <c r="E3" s="2" t="s">
        <v>1639</v>
      </c>
      <c r="G3" s="2" t="s">
        <v>1024</v>
      </c>
      <c r="H3" s="2" t="s">
        <v>1640</v>
      </c>
    </row>
    <row r="4" spans="1:8">
      <c r="A4" s="4" t="s">
        <v>1641</v>
      </c>
      <c r="B4" s="4">
        <v>12</v>
      </c>
      <c r="D4" s="4" t="s">
        <v>1027</v>
      </c>
      <c r="E4" s="4">
        <f>COUNTIF('User Stories'!L:L,"Not Started")</f>
        <v>0</v>
      </c>
      <c r="G4" s="4" t="s">
        <v>1029</v>
      </c>
      <c r="H4" s="4">
        <f>COUNTIF('User Stories'!J:J,"MVP")</f>
        <v>71</v>
      </c>
    </row>
    <row r="5" spans="1:8">
      <c r="A5" s="4" t="s">
        <v>1642</v>
      </c>
      <c r="B5" s="4">
        <v>75</v>
      </c>
      <c r="D5" s="4" t="s">
        <v>1032</v>
      </c>
      <c r="E5" s="4">
        <f>COUNTIF('User Stories'!L:L,"In Progress")</f>
        <v>0</v>
      </c>
      <c r="G5" s="4" t="s">
        <v>1034</v>
      </c>
      <c r="H5" s="4">
        <f>COUNTIF('User Stories'!J:J,"R1")</f>
        <v>4</v>
      </c>
    </row>
    <row r="6" spans="1:8">
      <c r="A6" s="4" t="s">
        <v>1643</v>
      </c>
      <c r="B6" s="4">
        <v>300</v>
      </c>
      <c r="D6" s="4" t="s">
        <v>1043</v>
      </c>
      <c r="E6" s="4">
        <f>COUNTIF('User Stories'!L:L,"In Review")</f>
        <v>0</v>
      </c>
      <c r="G6" s="4" t="s">
        <v>1039</v>
      </c>
      <c r="H6" s="4">
        <f>COUNTIF('User Stories'!J:J,"Later")</f>
        <v>0</v>
      </c>
    </row>
    <row r="7" spans="1:8">
      <c r="A7" s="4" t="s">
        <v>1644</v>
      </c>
      <c r="B7" s="4">
        <v>16</v>
      </c>
      <c r="D7" s="4" t="s">
        <v>1037</v>
      </c>
      <c r="E7" s="4">
        <f>COUNTIF('User Stories'!L:L,"Blocked")</f>
        <v>0</v>
      </c>
    </row>
    <row r="8" spans="1:8">
      <c r="A8" s="4" t="s">
        <v>1645</v>
      </c>
      <c r="B8" s="4">
        <v>14</v>
      </c>
      <c r="D8" s="4" t="s">
        <v>1045</v>
      </c>
      <c r="E8" s="4">
        <f>COUNTIF('User Stories'!L:L,"Done")</f>
        <v>75</v>
      </c>
    </row>
    <row r="9" spans="1:8">
      <c r="A9" s="4" t="s">
        <v>1646</v>
      </c>
      <c r="B9" s="4">
        <v>20</v>
      </c>
      <c r="D9" s="4" t="s">
        <v>1047</v>
      </c>
      <c r="E9" s="4">
        <f>COUNTIF('User Stories'!L:L,"Deferred")</f>
        <v>0</v>
      </c>
    </row>
    <row r="12" spans="1:8" ht="24" customHeight="1">
      <c r="A12" s="2" t="s">
        <v>1647</v>
      </c>
      <c r="B12" s="2" t="s">
        <v>1638</v>
      </c>
    </row>
    <row r="13" spans="1:8">
      <c r="A13" s="4" t="s">
        <v>1648</v>
      </c>
      <c r="B13" s="6">
        <f>IFERROR(COUNTIF('User Stories'!L:L,"Done")/(COUNTA('User Stories'!A:A)-1),0)</f>
        <v>1</v>
      </c>
    </row>
    <row r="14" spans="1:8">
      <c r="A14" s="4" t="s">
        <v>1649</v>
      </c>
      <c r="B14" s="6">
        <f>IFERROR(COUNTIF('Acceptance Criteria'!F:F,"Pass")/(COUNTA('Acceptance Criteria'!A:A)-1),0)</f>
        <v>1</v>
      </c>
    </row>
    <row r="15" spans="1:8">
      <c r="A15" s="4" t="s">
        <v>1532</v>
      </c>
      <c r="B15" s="4">
        <f>COUNTIF('Acceptance Criteria'!F:F,"Fail")</f>
        <v>0</v>
      </c>
    </row>
    <row r="16" spans="1:8">
      <c r="A16" s="4" t="s">
        <v>1650</v>
      </c>
      <c r="B16" s="4">
        <f>COUNTIF('User Stories'!L:L,"Blocked")</f>
        <v>0</v>
      </c>
    </row>
    <row r="17" spans="1:2">
      <c r="A17" s="4" t="s">
        <v>1651</v>
      </c>
      <c r="B17" s="6">
        <f>IFERROR(COUNTIF(Traceability!I:I,"Linked")/(COUNTA(Traceability!B:B)-1),0)</f>
        <v>1</v>
      </c>
    </row>
    <row r="18" spans="1:2">
      <c r="A18" s="4" t="s">
        <v>1652</v>
      </c>
      <c r="B18" s="4">
        <f>COUNTIF('Risks &amp; Decisions'!G:G,"Open")</f>
        <v>6</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2026-09-11T03:37:58Z</dcterms:modified>
</cp:coreProperties>
</file>